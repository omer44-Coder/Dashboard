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29" documentId="8_{CEE3634B-FE9E-4873-9A98-81E1D239CB53}" xr6:coauthVersionLast="47" xr6:coauthVersionMax="47" xr10:uidLastSave="{FA6EB345-695B-4E95-B7EC-9F115B8670E5}"/>
  <bookViews>
    <workbookView xWindow="-108" yWindow="-108" windowWidth="23256" windowHeight="13896" firstSheet="6" activeTab="16" xr2:uid="{00000000-000D-0000-FFFF-FFFF00000000}"/>
  </bookViews>
  <sheets>
    <sheet name="Genel" sheetId="11" r:id="rId1"/>
    <sheet name="Genel Müşteri Çıkış" sheetId="41" r:id="rId2"/>
    <sheet name="Genel Müşteri Çıkış (2)" sheetId="86" state="hidden" r:id="rId3"/>
    <sheet name="Çalışma saatleri" sheetId="8" r:id="rId4"/>
    <sheet name="Sayfa1" sheetId="85" state="hidden" r:id="rId5"/>
    <sheet name="2025 Birimler Pivot" sheetId="54" state="hidden" r:id="rId6"/>
    <sheet name="Haftalık Genel" sheetId="76" r:id="rId7"/>
    <sheet name="KPI TABLO" sheetId="79" r:id="rId8"/>
    <sheet name="Koli Kabul" sheetId="1" state="hidden" r:id="rId9"/>
    <sheet name="Adresleme" sheetId="2" r:id="rId10"/>
    <sheet name="Takım Lideri+Odp Çalışma Saat" sheetId="48" state="hidden" r:id="rId11"/>
    <sheet name="Toplama" sheetId="3" r:id="rId12"/>
    <sheet name="Sorter" sheetId="4" r:id="rId13"/>
    <sheet name="Taşıma Süre" sheetId="38" state="hidden" r:id="rId14"/>
    <sheet name="Tekli-Eksik Sevk" sheetId="16" r:id="rId15"/>
    <sheet name="Kargo" sheetId="5" r:id="rId16"/>
    <sheet name="Adres Denetim" sheetId="6" r:id="rId17"/>
    <sheet name="İade Kabul" sheetId="7" r:id="rId18"/>
    <sheet name="Personel Listesi" sheetId="90" r:id="rId19"/>
    <sheet name="Parametreler" sheetId="13" state="hidden" r:id="rId20"/>
  </sheets>
  <externalReferences>
    <externalReference r:id="rId21"/>
  </externalReferences>
  <definedNames>
    <definedName name="_xlnm._FilterDatabase" localSheetId="3" hidden="1">'Çalışma saatleri'!$A$1:$AI$552</definedName>
    <definedName name="_xlnm._FilterDatabase" localSheetId="18" hidden="1">'Personel Listesi'!$A$1:$H$1104</definedName>
  </definedNames>
  <calcPr calcId="191029"/>
  <pivotCaches>
    <pivotCache cacheId="0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637" i="8" l="1"/>
  <c r="O637" i="8"/>
  <c r="Q637" i="8"/>
  <c r="P637" i="8" s="1"/>
  <c r="R637" i="8"/>
  <c r="N638" i="8"/>
  <c r="O638" i="8"/>
  <c r="Q638" i="8"/>
  <c r="P638" i="8" s="1"/>
  <c r="R638" i="8"/>
  <c r="N639" i="8"/>
  <c r="O639" i="8"/>
  <c r="Q639" i="8"/>
  <c r="P639" i="8" s="1"/>
  <c r="R639" i="8"/>
  <c r="N640" i="8"/>
  <c r="O640" i="8"/>
  <c r="Q640" i="8"/>
  <c r="P640" i="8" s="1"/>
  <c r="R640" i="8"/>
  <c r="N641" i="8"/>
  <c r="O641" i="8"/>
  <c r="Q641" i="8"/>
  <c r="P641" i="8" s="1"/>
  <c r="R641" i="8"/>
  <c r="N642" i="8"/>
  <c r="O642" i="8"/>
  <c r="Q642" i="8"/>
  <c r="P642" i="8" s="1"/>
  <c r="R642" i="8"/>
  <c r="JL11" i="6"/>
  <c r="JM11" i="6"/>
  <c r="JN11" i="6"/>
  <c r="JO11" i="6"/>
  <c r="JP11" i="6"/>
  <c r="JQ11" i="6"/>
  <c r="JR11" i="6"/>
  <c r="JS11" i="6"/>
  <c r="AD636" i="8"/>
  <c r="W637" i="8"/>
  <c r="X637" i="8"/>
  <c r="Y637" i="8" s="1"/>
  <c r="W638" i="8"/>
  <c r="X638" i="8"/>
  <c r="Y638" i="8"/>
  <c r="W639" i="8"/>
  <c r="X639" i="8"/>
  <c r="AD639" i="8" s="1"/>
  <c r="Y639" i="8"/>
  <c r="W640" i="8"/>
  <c r="X640" i="8"/>
  <c r="AD640" i="8" s="1"/>
  <c r="Y640" i="8"/>
  <c r="W641" i="8"/>
  <c r="X641" i="8"/>
  <c r="Y641" i="8"/>
  <c r="W642" i="8"/>
  <c r="X642" i="8"/>
  <c r="Y642" i="8"/>
  <c r="AE637" i="8"/>
  <c r="AG637" i="8" s="1"/>
  <c r="AI637" i="8"/>
  <c r="AJ637" i="8"/>
  <c r="AE638" i="8"/>
  <c r="AG638" i="8" s="1"/>
  <c r="AF638" i="8"/>
  <c r="AH638" i="8"/>
  <c r="AI638" i="8"/>
  <c r="AJ638" i="8"/>
  <c r="AE639" i="8"/>
  <c r="AG639" i="8" s="1"/>
  <c r="AI639" i="8"/>
  <c r="AE640" i="8"/>
  <c r="AG640" i="8" s="1"/>
  <c r="AI640" i="8"/>
  <c r="AE641" i="8"/>
  <c r="AG641" i="8" s="1"/>
  <c r="AF641" i="8"/>
  <c r="AH641" i="8" s="1"/>
  <c r="AI641" i="8"/>
  <c r="AE642" i="8"/>
  <c r="AG642" i="8" s="1"/>
  <c r="AI642" i="8"/>
  <c r="AD637" i="8"/>
  <c r="AF637" i="8" s="1"/>
  <c r="AH637" i="8" s="1"/>
  <c r="AD638" i="8"/>
  <c r="AD641" i="8"/>
  <c r="AJ641" i="8" s="1"/>
  <c r="AD642" i="8"/>
  <c r="AF642" i="8" s="1"/>
  <c r="AH642" i="8" s="1"/>
  <c r="AF640" i="8" l="1"/>
  <c r="AH640" i="8" s="1"/>
  <c r="AJ640" i="8"/>
  <c r="AF639" i="8"/>
  <c r="AH639" i="8" s="1"/>
  <c r="AJ639" i="8"/>
  <c r="AJ642" i="8"/>
  <c r="JL11" i="41" l="1"/>
  <c r="JM11" i="41"/>
  <c r="JN11" i="41"/>
  <c r="JO11" i="41"/>
  <c r="JP11" i="41"/>
  <c r="JQ11" i="41"/>
  <c r="JR11" i="41"/>
  <c r="JS11" i="41"/>
  <c r="JL11" i="11"/>
  <c r="JM11" i="11"/>
  <c r="JN11" i="11"/>
  <c r="JO11" i="11"/>
  <c r="JP11" i="11"/>
  <c r="JQ11" i="11"/>
  <c r="JR11" i="11"/>
  <c r="JS11" i="11"/>
  <c r="JL11" i="7"/>
  <c r="JM11" i="7"/>
  <c r="JN11" i="7"/>
  <c r="JO11" i="7"/>
  <c r="JP11" i="7"/>
  <c r="JQ11" i="7"/>
  <c r="JR11" i="7"/>
  <c r="JS11" i="7"/>
  <c r="JL11" i="5"/>
  <c r="JM11" i="5"/>
  <c r="JN11" i="5"/>
  <c r="JO11" i="5"/>
  <c r="JP11" i="5"/>
  <c r="JQ11" i="5"/>
  <c r="JR11" i="5"/>
  <c r="JS11" i="5"/>
  <c r="JL11" i="16"/>
  <c r="JM11" i="16"/>
  <c r="JN11" i="16"/>
  <c r="JO11" i="16"/>
  <c r="JP11" i="16"/>
  <c r="JQ11" i="16"/>
  <c r="JR11" i="16"/>
  <c r="JS11" i="16"/>
  <c r="JM11" i="4"/>
  <c r="JN11" i="4"/>
  <c r="JO11" i="4"/>
  <c r="JP11" i="4"/>
  <c r="JQ11" i="4"/>
  <c r="JR11" i="4"/>
  <c r="JL11" i="2"/>
  <c r="JM11" i="2"/>
  <c r="JN11" i="2"/>
  <c r="JO11" i="2"/>
  <c r="JP11" i="2"/>
  <c r="JQ11" i="2"/>
  <c r="JR11" i="2"/>
  <c r="JS11" i="2"/>
  <c r="JL11" i="3"/>
  <c r="JM11" i="3"/>
  <c r="JN11" i="3"/>
  <c r="JO11" i="3"/>
  <c r="JP11" i="3"/>
  <c r="JQ11" i="3"/>
  <c r="JR11" i="3"/>
  <c r="JS11" i="3"/>
  <c r="JF11" i="11"/>
  <c r="N629" i="8"/>
  <c r="O629" i="8"/>
  <c r="P629" i="8"/>
  <c r="Q629" i="8"/>
  <c r="R629" i="8"/>
  <c r="O630" i="8"/>
  <c r="R630" i="8"/>
  <c r="O631" i="8"/>
  <c r="R631" i="8"/>
  <c r="O632" i="8"/>
  <c r="R632" i="8"/>
  <c r="O633" i="8"/>
  <c r="R633" i="8"/>
  <c r="O634" i="8"/>
  <c r="R634" i="8"/>
  <c r="O635" i="8"/>
  <c r="R635" i="8"/>
  <c r="JE11" i="3" l="1"/>
  <c r="JF11" i="3"/>
  <c r="JG11" i="3"/>
  <c r="JH11" i="3"/>
  <c r="JI11" i="3"/>
  <c r="JJ11" i="3"/>
  <c r="JK11" i="3"/>
  <c r="AI633" i="8"/>
  <c r="JE11" i="7"/>
  <c r="JF11" i="7"/>
  <c r="JG11" i="7"/>
  <c r="JH11" i="7"/>
  <c r="JI11" i="7"/>
  <c r="JJ11" i="7"/>
  <c r="JK11" i="7"/>
  <c r="JE11" i="5"/>
  <c r="JF11" i="5"/>
  <c r="JG11" i="5"/>
  <c r="JH11" i="5"/>
  <c r="JI11" i="5"/>
  <c r="JJ11" i="5"/>
  <c r="JK11" i="5"/>
  <c r="X631" i="8"/>
  <c r="X630" i="8"/>
  <c r="Y631" i="8"/>
  <c r="W632" i="8"/>
  <c r="AE630" i="8"/>
  <c r="AG630" i="8"/>
  <c r="AI630" i="8"/>
  <c r="AJ630" i="8"/>
  <c r="AE631" i="8"/>
  <c r="AG631" i="8"/>
  <c r="AI631" i="8"/>
  <c r="AE632" i="8"/>
  <c r="AG632" i="8" s="1"/>
  <c r="AI632" i="8"/>
  <c r="AE633" i="8"/>
  <c r="AG633" i="8"/>
  <c r="AE634" i="8"/>
  <c r="AG634" i="8" s="1"/>
  <c r="AI634" i="8"/>
  <c r="AE635" i="8"/>
  <c r="AG635" i="8" s="1"/>
  <c r="AI635" i="8"/>
  <c r="AD630" i="8"/>
  <c r="AF630" i="8" s="1"/>
  <c r="AH630" i="8" s="1"/>
  <c r="AD631" i="8"/>
  <c r="AF631" i="8" s="1"/>
  <c r="AH631" i="8" s="1"/>
  <c r="AD632" i="8"/>
  <c r="AF632" i="8" s="1"/>
  <c r="AH632" i="8" s="1"/>
  <c r="AD633" i="8"/>
  <c r="AF633" i="8" s="1"/>
  <c r="AH633" i="8" s="1"/>
  <c r="Y630" i="8"/>
  <c r="X632" i="8"/>
  <c r="Y632" i="8" s="1"/>
  <c r="X633" i="8"/>
  <c r="Y633" i="8" s="1"/>
  <c r="X634" i="8"/>
  <c r="AD634" i="8" s="1"/>
  <c r="AF634" i="8" s="1"/>
  <c r="AH634" i="8" s="1"/>
  <c r="X635" i="8"/>
  <c r="AD635" i="8" s="1"/>
  <c r="AF635" i="8" s="1"/>
  <c r="AH635" i="8" s="1"/>
  <c r="W630" i="8"/>
  <c r="W631" i="8"/>
  <c r="W633" i="8"/>
  <c r="W634" i="8"/>
  <c r="W635" i="8"/>
  <c r="Y635" i="8" l="1"/>
  <c r="Y634" i="8"/>
  <c r="AJ633" i="8"/>
  <c r="N635" i="8"/>
  <c r="Q635" i="8"/>
  <c r="P635" i="8" s="1"/>
  <c r="N633" i="8"/>
  <c r="Q633" i="8"/>
  <c r="P633" i="8" s="1"/>
  <c r="N632" i="8"/>
  <c r="Q632" i="8"/>
  <c r="P632" i="8" s="1"/>
  <c r="N631" i="8"/>
  <c r="Q631" i="8"/>
  <c r="P631" i="8" s="1"/>
  <c r="Q634" i="8"/>
  <c r="P634" i="8" s="1"/>
  <c r="N634" i="8"/>
  <c r="Q630" i="8"/>
  <c r="P630" i="8" s="1"/>
  <c r="N630" i="8"/>
  <c r="AJ635" i="8"/>
  <c r="AJ634" i="8"/>
  <c r="AJ632" i="8"/>
  <c r="AJ631" i="8"/>
  <c r="JE11" i="41"/>
  <c r="JF11" i="41"/>
  <c r="JG11" i="41"/>
  <c r="JH11" i="41"/>
  <c r="JI11" i="41"/>
  <c r="JJ11" i="41"/>
  <c r="JK11" i="41"/>
  <c r="JE11" i="11"/>
  <c r="JG11" i="11"/>
  <c r="JH11" i="11"/>
  <c r="JI11" i="11"/>
  <c r="JJ11" i="11"/>
  <c r="JK11" i="11"/>
  <c r="JE11" i="6"/>
  <c r="JF11" i="6"/>
  <c r="JG11" i="6"/>
  <c r="JH11" i="6"/>
  <c r="JI11" i="6"/>
  <c r="JJ11" i="6"/>
  <c r="JK11" i="6"/>
  <c r="JE11" i="16"/>
  <c r="JF11" i="16"/>
  <c r="JG11" i="16"/>
  <c r="JH11" i="16"/>
  <c r="JI11" i="16"/>
  <c r="JJ11" i="16"/>
  <c r="JK11" i="16"/>
  <c r="JF11" i="4"/>
  <c r="JG11" i="4"/>
  <c r="JH11" i="4"/>
  <c r="JI11" i="4"/>
  <c r="JJ11" i="4"/>
  <c r="JK11" i="4"/>
  <c r="JE11" i="2"/>
  <c r="JF11" i="2"/>
  <c r="JG11" i="2"/>
  <c r="JH11" i="2"/>
  <c r="JI11" i="2"/>
  <c r="JJ11" i="2"/>
  <c r="JK11" i="2"/>
  <c r="O626" i="8"/>
  <c r="O623" i="8"/>
  <c r="R623" i="8"/>
  <c r="O624" i="8"/>
  <c r="R624" i="8"/>
  <c r="O625" i="8"/>
  <c r="R625" i="8"/>
  <c r="R626" i="8"/>
  <c r="O627" i="8"/>
  <c r="R627" i="8"/>
  <c r="O628" i="8"/>
  <c r="R628" i="8"/>
  <c r="X625" i="8"/>
  <c r="Y625" i="8" s="1"/>
  <c r="R622" i="8"/>
  <c r="AE623" i="8"/>
  <c r="AG623" i="8"/>
  <c r="AI623" i="8"/>
  <c r="AJ623" i="8"/>
  <c r="AE624" i="8"/>
  <c r="AF624" i="8"/>
  <c r="AH624" i="8" s="1"/>
  <c r="AG624" i="8"/>
  <c r="AI624" i="8"/>
  <c r="AE625" i="8"/>
  <c r="AG625" i="8"/>
  <c r="AI625" i="8"/>
  <c r="AE626" i="8"/>
  <c r="AG626" i="8"/>
  <c r="AI626" i="8"/>
  <c r="AJ626" i="8"/>
  <c r="AE627" i="8"/>
  <c r="AG627" i="8"/>
  <c r="AI627" i="8"/>
  <c r="AE628" i="8"/>
  <c r="AG628" i="8" s="1"/>
  <c r="AI628" i="8"/>
  <c r="AD623" i="8"/>
  <c r="AF623" i="8" s="1"/>
  <c r="AH623" i="8" s="1"/>
  <c r="AD624" i="8"/>
  <c r="AJ624" i="8" s="1"/>
  <c r="AD625" i="8"/>
  <c r="AF625" i="8" s="1"/>
  <c r="AH625" i="8" s="1"/>
  <c r="AD626" i="8"/>
  <c r="AF626" i="8" s="1"/>
  <c r="AH626" i="8" s="1"/>
  <c r="AD627" i="8"/>
  <c r="AF627" i="8" s="1"/>
  <c r="AH627" i="8" s="1"/>
  <c r="AD628" i="8"/>
  <c r="AF628" i="8" s="1"/>
  <c r="AH628" i="8" s="1"/>
  <c r="Y623" i="8"/>
  <c r="X623" i="8"/>
  <c r="X624" i="8"/>
  <c r="Y624" i="8" s="1"/>
  <c r="X626" i="8"/>
  <c r="Y626" i="8" s="1"/>
  <c r="X627" i="8"/>
  <c r="Y627" i="8" s="1"/>
  <c r="X628" i="8"/>
  <c r="Y628" i="8" s="1"/>
  <c r="W623" i="8"/>
  <c r="W624" i="8"/>
  <c r="W625" i="8"/>
  <c r="W626" i="8"/>
  <c r="W627" i="8"/>
  <c r="W628" i="8"/>
  <c r="IX11" i="41"/>
  <c r="IY11" i="41"/>
  <c r="IZ11" i="41"/>
  <c r="JA11" i="41"/>
  <c r="JB11" i="41"/>
  <c r="JC11" i="41"/>
  <c r="JD11" i="41"/>
  <c r="IX11" i="11"/>
  <c r="IY11" i="11"/>
  <c r="IZ11" i="11"/>
  <c r="JA11" i="11"/>
  <c r="JB11" i="11"/>
  <c r="JC11" i="11"/>
  <c r="JD11" i="11"/>
  <c r="IX11" i="2"/>
  <c r="IY11" i="2"/>
  <c r="IZ11" i="2"/>
  <c r="JA11" i="2"/>
  <c r="JB11" i="2"/>
  <c r="JC11" i="2"/>
  <c r="JD11" i="2"/>
  <c r="IX11" i="3"/>
  <c r="IY11" i="3"/>
  <c r="IZ11" i="3"/>
  <c r="JA11" i="3"/>
  <c r="JB11" i="3"/>
  <c r="JC11" i="3"/>
  <c r="JD11" i="3"/>
  <c r="IY11" i="4"/>
  <c r="IZ11" i="4"/>
  <c r="JA11" i="4"/>
  <c r="JB11" i="4"/>
  <c r="JC11" i="4"/>
  <c r="JD11" i="4"/>
  <c r="IX11" i="16"/>
  <c r="IY11" i="16"/>
  <c r="IZ11" i="16"/>
  <c r="JA11" i="16"/>
  <c r="JB11" i="16"/>
  <c r="JC11" i="16"/>
  <c r="JD11" i="16"/>
  <c r="IX11" i="5"/>
  <c r="IY11" i="5"/>
  <c r="IZ11" i="5"/>
  <c r="JA11" i="5"/>
  <c r="JB11" i="5"/>
  <c r="JC11" i="5"/>
  <c r="JD11" i="5"/>
  <c r="IX11" i="6"/>
  <c r="IY11" i="6"/>
  <c r="IZ11" i="6"/>
  <c r="JA11" i="6"/>
  <c r="JB11" i="6"/>
  <c r="JC11" i="6"/>
  <c r="JD11" i="6"/>
  <c r="IX11" i="7"/>
  <c r="IY11" i="7"/>
  <c r="IZ11" i="7"/>
  <c r="JA11" i="7"/>
  <c r="JB11" i="7"/>
  <c r="JC11" i="7"/>
  <c r="JD11" i="7"/>
  <c r="X616" i="8"/>
  <c r="R616" i="8"/>
  <c r="P616" i="8" s="1"/>
  <c r="R617" i="8"/>
  <c r="R618" i="8"/>
  <c r="R619" i="8"/>
  <c r="R620" i="8"/>
  <c r="R621" i="8"/>
  <c r="Q616" i="8"/>
  <c r="Q617" i="8"/>
  <c r="Q618" i="8"/>
  <c r="Q619" i="8"/>
  <c r="Q620" i="8"/>
  <c r="P620" i="8" s="1"/>
  <c r="Q621" i="8"/>
  <c r="P621" i="8" s="1"/>
  <c r="O616" i="8"/>
  <c r="O617" i="8"/>
  <c r="O618" i="8"/>
  <c r="O619" i="8"/>
  <c r="O620" i="8"/>
  <c r="O621" i="8"/>
  <c r="O622" i="8"/>
  <c r="N616" i="8"/>
  <c r="N617" i="8"/>
  <c r="N618" i="8"/>
  <c r="N619" i="8"/>
  <c r="N620" i="8"/>
  <c r="N621" i="8"/>
  <c r="IR11" i="5"/>
  <c r="IS11" i="5"/>
  <c r="IT11" i="5"/>
  <c r="IU11" i="5"/>
  <c r="IV11" i="5"/>
  <c r="IW11" i="5"/>
  <c r="W618" i="8"/>
  <c r="AE616" i="8"/>
  <c r="AF616" i="8"/>
  <c r="AG616" i="8"/>
  <c r="AH616" i="8"/>
  <c r="AI616" i="8"/>
  <c r="AJ616" i="8"/>
  <c r="AE617" i="8"/>
  <c r="AF617" i="8"/>
  <c r="AH617" i="8" s="1"/>
  <c r="AG617" i="8"/>
  <c r="AI617" i="8"/>
  <c r="AJ617" i="8"/>
  <c r="AE618" i="8"/>
  <c r="AF618" i="8"/>
  <c r="AG618" i="8"/>
  <c r="AH618" i="8"/>
  <c r="AI618" i="8"/>
  <c r="AJ618" i="8"/>
  <c r="AE619" i="8"/>
  <c r="AF619" i="8"/>
  <c r="AH619" i="8" s="1"/>
  <c r="AG619" i="8"/>
  <c r="AI619" i="8"/>
  <c r="AJ619" i="8"/>
  <c r="AE620" i="8"/>
  <c r="AG620" i="8" s="1"/>
  <c r="AF620" i="8"/>
  <c r="AH620" i="8"/>
  <c r="AI620" i="8"/>
  <c r="AJ620" i="8"/>
  <c r="AE621" i="8"/>
  <c r="AG621" i="8" s="1"/>
  <c r="AF621" i="8"/>
  <c r="AH621" i="8"/>
  <c r="AI621" i="8"/>
  <c r="AJ621" i="8"/>
  <c r="AD616" i="8"/>
  <c r="AD617" i="8"/>
  <c r="AD618" i="8"/>
  <c r="AD619" i="8"/>
  <c r="AD620" i="8"/>
  <c r="AD621" i="8"/>
  <c r="Y616" i="8"/>
  <c r="Y617" i="8"/>
  <c r="Y618" i="8"/>
  <c r="Y619" i="8"/>
  <c r="Y620" i="8"/>
  <c r="Y621" i="8"/>
  <c r="X617" i="8"/>
  <c r="X618" i="8"/>
  <c r="X619" i="8"/>
  <c r="X620" i="8"/>
  <c r="X621" i="8"/>
  <c r="W616" i="8"/>
  <c r="W617" i="8"/>
  <c r="W619" i="8"/>
  <c r="W620" i="8"/>
  <c r="W621" i="8"/>
  <c r="N625" i="8" l="1"/>
  <c r="Q625" i="8"/>
  <c r="P625" i="8" s="1"/>
  <c r="N624" i="8"/>
  <c r="Q624" i="8"/>
  <c r="P624" i="8" s="1"/>
  <c r="N623" i="8"/>
  <c r="Q623" i="8"/>
  <c r="P623" i="8" s="1"/>
  <c r="Q628" i="8"/>
  <c r="P628" i="8" s="1"/>
  <c r="N628" i="8"/>
  <c r="N627" i="8"/>
  <c r="Q627" i="8"/>
  <c r="N626" i="8"/>
  <c r="Q626" i="8"/>
  <c r="AJ625" i="8"/>
  <c r="P627" i="8"/>
  <c r="P626" i="8"/>
  <c r="AJ628" i="8"/>
  <c r="AJ627" i="8"/>
  <c r="N622" i="8"/>
  <c r="Q622" i="8"/>
  <c r="P622" i="8" s="1"/>
  <c r="P619" i="8"/>
  <c r="P618" i="8"/>
  <c r="P617" i="8"/>
  <c r="IR11" i="7"/>
  <c r="IS11" i="7"/>
  <c r="IT11" i="7"/>
  <c r="IU11" i="7"/>
  <c r="IV11" i="7"/>
  <c r="IW11" i="7"/>
  <c r="IR11" i="6"/>
  <c r="IS11" i="6"/>
  <c r="IT11" i="6"/>
  <c r="IU11" i="6"/>
  <c r="IV11" i="6"/>
  <c r="IW11" i="6"/>
  <c r="IJ11" i="16" l="1"/>
  <c r="IK11" i="16"/>
  <c r="IL11" i="16"/>
  <c r="IM11" i="16"/>
  <c r="IN11" i="16"/>
  <c r="IO11" i="16"/>
  <c r="IP11" i="16"/>
  <c r="IQ11" i="16"/>
  <c r="IR11" i="16"/>
  <c r="IS11" i="16"/>
  <c r="IT11" i="16"/>
  <c r="IU11" i="16"/>
  <c r="IV11" i="16"/>
  <c r="IW11" i="16"/>
  <c r="IR11" i="4"/>
  <c r="IS11" i="4"/>
  <c r="IT11" i="4"/>
  <c r="IU11" i="4"/>
  <c r="IV11" i="4"/>
  <c r="IW11" i="4"/>
  <c r="IR11" i="3"/>
  <c r="IS11" i="3"/>
  <c r="IT11" i="3"/>
  <c r="IU11" i="3"/>
  <c r="IV11" i="3"/>
  <c r="IW11" i="3"/>
  <c r="IR11" i="2"/>
  <c r="IS11" i="2"/>
  <c r="IT11" i="2"/>
  <c r="IU11" i="2"/>
  <c r="IV11" i="2"/>
  <c r="IW11" i="2"/>
  <c r="IR11" i="11"/>
  <c r="IS11" i="11"/>
  <c r="IT11" i="11"/>
  <c r="IU11" i="11"/>
  <c r="IV11" i="11"/>
  <c r="IW11" i="11"/>
  <c r="Y609" i="8"/>
  <c r="AF610" i="8"/>
  <c r="AF611" i="8"/>
  <c r="AF612" i="8"/>
  <c r="AF613" i="8"/>
  <c r="AF614" i="8"/>
  <c r="AF615" i="8"/>
  <c r="AF609" i="8"/>
  <c r="R608" i="8"/>
  <c r="R614" i="8"/>
  <c r="Q608" i="8"/>
  <c r="O608" i="8"/>
  <c r="O609" i="8"/>
  <c r="O610" i="8"/>
  <c r="O611" i="8"/>
  <c r="O612" i="8"/>
  <c r="O613" i="8"/>
  <c r="O614" i="8"/>
  <c r="O615" i="8"/>
  <c r="IJ11" i="5"/>
  <c r="IK11" i="5"/>
  <c r="IL11" i="5"/>
  <c r="IM11" i="5"/>
  <c r="IN11" i="5"/>
  <c r="IO11" i="5"/>
  <c r="IP11" i="5"/>
  <c r="IQ11" i="5"/>
  <c r="AE609" i="8"/>
  <c r="AG609" i="8" s="1"/>
  <c r="R609" i="8" s="1"/>
  <c r="AI609" i="8"/>
  <c r="AE610" i="8"/>
  <c r="AG610" i="8"/>
  <c r="R610" i="8" s="1"/>
  <c r="AI610" i="8"/>
  <c r="AE611" i="8"/>
  <c r="AG611" i="8"/>
  <c r="R611" i="8" s="1"/>
  <c r="AI611" i="8"/>
  <c r="AE612" i="8"/>
  <c r="AG612" i="8"/>
  <c r="R612" i="8" s="1"/>
  <c r="AI612" i="8"/>
  <c r="AE613" i="8"/>
  <c r="AG613" i="8" s="1"/>
  <c r="R613" i="8" s="1"/>
  <c r="AI613" i="8"/>
  <c r="AE614" i="8"/>
  <c r="AG614" i="8" s="1"/>
  <c r="AI614" i="8"/>
  <c r="AE615" i="8"/>
  <c r="AG615" i="8"/>
  <c r="R615" i="8" s="1"/>
  <c r="AI615" i="8"/>
  <c r="AD610" i="8"/>
  <c r="AJ610" i="8" s="1"/>
  <c r="Y612" i="8"/>
  <c r="Y611" i="8"/>
  <c r="Y613" i="8"/>
  <c r="Y614" i="8"/>
  <c r="Y615" i="8"/>
  <c r="X608" i="8"/>
  <c r="Y608" i="8" s="1"/>
  <c r="X609" i="8"/>
  <c r="AD609" i="8" s="1"/>
  <c r="X610" i="8"/>
  <c r="Y610" i="8" s="1"/>
  <c r="X611" i="8"/>
  <c r="AD611" i="8" s="1"/>
  <c r="X612" i="8"/>
  <c r="AD612" i="8" s="1"/>
  <c r="X613" i="8"/>
  <c r="AD613" i="8" s="1"/>
  <c r="X614" i="8"/>
  <c r="AD614" i="8" s="1"/>
  <c r="X615" i="8"/>
  <c r="AD615" i="8" s="1"/>
  <c r="W609" i="8"/>
  <c r="W610" i="8"/>
  <c r="W611" i="8"/>
  <c r="W612" i="8"/>
  <c r="W613" i="8"/>
  <c r="W614" i="8"/>
  <c r="W615" i="8"/>
  <c r="W607" i="8"/>
  <c r="AJ614" i="8" l="1"/>
  <c r="AH614" i="8"/>
  <c r="AH615" i="8"/>
  <c r="AJ615" i="8"/>
  <c r="AJ613" i="8"/>
  <c r="AH613" i="8"/>
  <c r="AH612" i="8"/>
  <c r="AJ612" i="8"/>
  <c r="AH611" i="8"/>
  <c r="AJ611" i="8"/>
  <c r="AH609" i="8"/>
  <c r="AJ609" i="8"/>
  <c r="AH610" i="8"/>
  <c r="Q610" i="8" s="1"/>
  <c r="P608" i="8"/>
  <c r="IJ11" i="7"/>
  <c r="IK11" i="7"/>
  <c r="IL11" i="7"/>
  <c r="IM11" i="7"/>
  <c r="IN11" i="7"/>
  <c r="IO11" i="7"/>
  <c r="IP11" i="7"/>
  <c r="IQ11" i="7"/>
  <c r="IJ11" i="6"/>
  <c r="IK11" i="6"/>
  <c r="IL11" i="6"/>
  <c r="IM11" i="6"/>
  <c r="IN11" i="6"/>
  <c r="IO11" i="6"/>
  <c r="IP11" i="6"/>
  <c r="IQ11" i="6"/>
  <c r="IK11" i="4"/>
  <c r="IL11" i="4"/>
  <c r="IM11" i="4"/>
  <c r="IN11" i="4"/>
  <c r="IO11" i="4"/>
  <c r="IP11" i="4"/>
  <c r="IQ11" i="4"/>
  <c r="IJ11" i="3"/>
  <c r="IK11" i="3"/>
  <c r="IL11" i="3"/>
  <c r="IM11" i="3"/>
  <c r="IN11" i="3"/>
  <c r="IO11" i="3"/>
  <c r="IP11" i="3"/>
  <c r="IQ11" i="3"/>
  <c r="IJ11" i="2"/>
  <c r="IK11" i="2"/>
  <c r="IL11" i="2"/>
  <c r="IM11" i="2"/>
  <c r="IN11" i="2"/>
  <c r="IO11" i="2"/>
  <c r="IP11" i="2"/>
  <c r="IQ11" i="2"/>
  <c r="IJ11" i="41"/>
  <c r="IK11" i="41"/>
  <c r="IL11" i="41"/>
  <c r="IM11" i="41"/>
  <c r="IN11" i="41"/>
  <c r="IO11" i="41"/>
  <c r="IP11" i="41"/>
  <c r="IQ11" i="41"/>
  <c r="IJ11" i="11"/>
  <c r="IK11" i="11"/>
  <c r="IL11" i="11"/>
  <c r="IM11" i="11"/>
  <c r="IN11" i="11"/>
  <c r="IO11" i="11"/>
  <c r="IP11" i="11"/>
  <c r="IQ11" i="11"/>
  <c r="O602" i="8"/>
  <c r="O603" i="8"/>
  <c r="O604" i="8"/>
  <c r="O605" i="8"/>
  <c r="O606" i="8"/>
  <c r="O607" i="8"/>
  <c r="N608" i="8"/>
  <c r="Q609" i="8" l="1"/>
  <c r="P609" i="8" s="1"/>
  <c r="N609" i="8"/>
  <c r="N615" i="8"/>
  <c r="Q615" i="8"/>
  <c r="P615" i="8" s="1"/>
  <c r="N611" i="8"/>
  <c r="Q611" i="8"/>
  <c r="P611" i="8" s="1"/>
  <c r="Q613" i="8"/>
  <c r="P613" i="8" s="1"/>
  <c r="N613" i="8"/>
  <c r="P610" i="8"/>
  <c r="N610" i="8"/>
  <c r="N612" i="8"/>
  <c r="Q612" i="8"/>
  <c r="P612" i="8" s="1"/>
  <c r="N614" i="8"/>
  <c r="Q614" i="8"/>
  <c r="P614" i="8" s="1"/>
  <c r="ID11" i="11"/>
  <c r="IE11" i="11"/>
  <c r="IF11" i="11"/>
  <c r="IG11" i="11"/>
  <c r="IH11" i="11"/>
  <c r="II11" i="11"/>
  <c r="ID11" i="41"/>
  <c r="IE11" i="41"/>
  <c r="IF11" i="41"/>
  <c r="IG11" i="41"/>
  <c r="IH11" i="41"/>
  <c r="II11" i="41"/>
  <c r="Y603" i="8"/>
  <c r="ID11" i="7"/>
  <c r="IE11" i="7"/>
  <c r="IF11" i="7"/>
  <c r="IG11" i="7"/>
  <c r="IH11" i="7"/>
  <c r="II11" i="7"/>
  <c r="IE11" i="6"/>
  <c r="IF11" i="6"/>
  <c r="IG11" i="6"/>
  <c r="IH11" i="6"/>
  <c r="II11" i="6"/>
  <c r="ID11" i="6"/>
  <c r="W602" i="8"/>
  <c r="X603" i="8"/>
  <c r="AD603" i="8" s="1"/>
  <c r="AE602" i="8"/>
  <c r="AG602" i="8" s="1"/>
  <c r="R602" i="8" s="1"/>
  <c r="AI602" i="8"/>
  <c r="AE603" i="8"/>
  <c r="AG603" i="8" s="1"/>
  <c r="R603" i="8" s="1"/>
  <c r="AI603" i="8"/>
  <c r="AE604" i="8"/>
  <c r="AG604" i="8"/>
  <c r="R604" i="8" s="1"/>
  <c r="AI604" i="8"/>
  <c r="AE605" i="8"/>
  <c r="AG605" i="8"/>
  <c r="R605" i="8" s="1"/>
  <c r="AI605" i="8"/>
  <c r="AE606" i="8"/>
  <c r="AG606" i="8" s="1"/>
  <c r="R606" i="8" s="1"/>
  <c r="AI606" i="8"/>
  <c r="AE607" i="8"/>
  <c r="AG607" i="8" s="1"/>
  <c r="R607" i="8" s="1"/>
  <c r="AI607" i="8"/>
  <c r="AD607" i="8"/>
  <c r="AJ607" i="8" s="1"/>
  <c r="X602" i="8"/>
  <c r="AD602" i="8" s="1"/>
  <c r="X604" i="8"/>
  <c r="Y604" i="8" s="1"/>
  <c r="X605" i="8"/>
  <c r="Y605" i="8" s="1"/>
  <c r="X606" i="8"/>
  <c r="Y606" i="8" s="1"/>
  <c r="X607" i="8"/>
  <c r="Y607" i="8" s="1"/>
  <c r="W603" i="8"/>
  <c r="W604" i="8"/>
  <c r="W605" i="8"/>
  <c r="W606" i="8"/>
  <c r="AF602" i="8" l="1"/>
  <c r="AH602" i="8" s="1"/>
  <c r="AJ602" i="8"/>
  <c r="AF603" i="8"/>
  <c r="AH603" i="8" s="1"/>
  <c r="AJ603" i="8"/>
  <c r="AD605" i="8"/>
  <c r="AD604" i="8"/>
  <c r="Y602" i="8"/>
  <c r="AD606" i="8"/>
  <c r="AF606" i="8" s="1"/>
  <c r="AH606" i="8" s="1"/>
  <c r="Q606" i="8"/>
  <c r="N606" i="8"/>
  <c r="AF607" i="8"/>
  <c r="AH607" i="8" s="1"/>
  <c r="N607" i="8" s="1"/>
  <c r="AJ606" i="8"/>
  <c r="Q607" i="8"/>
  <c r="ID11" i="5"/>
  <c r="IE11" i="5"/>
  <c r="IF11" i="5"/>
  <c r="IG11" i="5"/>
  <c r="IH11" i="5"/>
  <c r="II11" i="5"/>
  <c r="ID11" i="16"/>
  <c r="IE11" i="16"/>
  <c r="IF11" i="16"/>
  <c r="IG11" i="16"/>
  <c r="IH11" i="16"/>
  <c r="II11" i="16"/>
  <c r="ID11" i="4"/>
  <c r="IE11" i="4"/>
  <c r="IF11" i="4"/>
  <c r="IG11" i="4"/>
  <c r="IH11" i="4"/>
  <c r="II11" i="4"/>
  <c r="ID11" i="3"/>
  <c r="IE11" i="3"/>
  <c r="IF11" i="3"/>
  <c r="IG11" i="3"/>
  <c r="IH11" i="3"/>
  <c r="II11" i="3"/>
  <c r="ID11" i="2"/>
  <c r="IE11" i="2"/>
  <c r="IF11" i="2"/>
  <c r="IG11" i="2"/>
  <c r="IH11" i="2"/>
  <c r="II11" i="2"/>
  <c r="IH24" i="86"/>
  <c r="IG24" i="86"/>
  <c r="IF24" i="86"/>
  <c r="IE24" i="86"/>
  <c r="ID24" i="86"/>
  <c r="IC24" i="86"/>
  <c r="IB24" i="86"/>
  <c r="HW17" i="86"/>
  <c r="HW19" i="86" s="1"/>
  <c r="HX16" i="86"/>
  <c r="HX17" i="86" s="1"/>
  <c r="HW16" i="86"/>
  <c r="HZ15" i="86"/>
  <c r="HZ17" i="86" s="1"/>
  <c r="HX15" i="86"/>
  <c r="IC11" i="86"/>
  <c r="IB11" i="86"/>
  <c r="IA11" i="86"/>
  <c r="HZ11" i="86"/>
  <c r="HY11" i="86"/>
  <c r="HX11" i="86"/>
  <c r="HW11" i="86"/>
  <c r="HV11" i="86"/>
  <c r="HU11" i="86"/>
  <c r="HT11" i="86"/>
  <c r="HS11" i="86"/>
  <c r="HR11" i="86"/>
  <c r="HQ11" i="86"/>
  <c r="HP11" i="86"/>
  <c r="HO11" i="86"/>
  <c r="HN11" i="86"/>
  <c r="HM11" i="86"/>
  <c r="HL11" i="86"/>
  <c r="HK11" i="86"/>
  <c r="HJ11" i="86"/>
  <c r="HI11" i="86"/>
  <c r="HH11" i="86"/>
  <c r="HG11" i="86"/>
  <c r="HF11" i="86"/>
  <c r="HE11" i="86"/>
  <c r="HD11" i="86"/>
  <c r="HC11" i="86"/>
  <c r="HB11" i="86"/>
  <c r="HA11" i="86"/>
  <c r="GZ11" i="86"/>
  <c r="GY11" i="86"/>
  <c r="GX11" i="86"/>
  <c r="GW11" i="86"/>
  <c r="GV11" i="86"/>
  <c r="GU11" i="86"/>
  <c r="GT11" i="86"/>
  <c r="GS11" i="86"/>
  <c r="GR11" i="86"/>
  <c r="GQ11" i="86"/>
  <c r="GP11" i="86"/>
  <c r="GO11" i="86"/>
  <c r="GN11" i="86"/>
  <c r="GM11" i="86"/>
  <c r="GL11" i="86"/>
  <c r="GK11" i="86"/>
  <c r="GJ11" i="86"/>
  <c r="GI11" i="86"/>
  <c r="GH11" i="86"/>
  <c r="GG11" i="86"/>
  <c r="GF11" i="86"/>
  <c r="GE11" i="86"/>
  <c r="GD11" i="86"/>
  <c r="GC11" i="86"/>
  <c r="GB11" i="86"/>
  <c r="GA11" i="86"/>
  <c r="FZ11" i="86"/>
  <c r="FY11" i="86"/>
  <c r="FX11" i="86"/>
  <c r="FW11" i="86"/>
  <c r="FV11" i="86"/>
  <c r="FU11" i="86"/>
  <c r="FT11" i="86"/>
  <c r="FS11" i="86"/>
  <c r="FR11" i="86"/>
  <c r="FQ11" i="86"/>
  <c r="FP11" i="86"/>
  <c r="FO11" i="86"/>
  <c r="FN11" i="86"/>
  <c r="FM11" i="86"/>
  <c r="FL11" i="86"/>
  <c r="FK11" i="86"/>
  <c r="FJ11" i="86"/>
  <c r="FI11" i="86"/>
  <c r="FH11" i="86"/>
  <c r="FG11" i="86"/>
  <c r="FF11" i="86"/>
  <c r="FE11" i="86"/>
  <c r="FD11" i="86"/>
  <c r="FC11" i="86"/>
  <c r="FB11" i="86"/>
  <c r="FA11" i="86"/>
  <c r="EZ11" i="86"/>
  <c r="EY11" i="86"/>
  <c r="EX11" i="86"/>
  <c r="EW11" i="86"/>
  <c r="EV11" i="86"/>
  <c r="ER11" i="86"/>
  <c r="EQ11" i="86"/>
  <c r="EP11" i="86"/>
  <c r="EO11" i="86"/>
  <c r="EN11" i="86"/>
  <c r="EM11" i="86"/>
  <c r="EL11" i="86"/>
  <c r="EK11" i="86"/>
  <c r="EJ11" i="86"/>
  <c r="EI11" i="86"/>
  <c r="EH11" i="86"/>
  <c r="EG11" i="86"/>
  <c r="EF11" i="86"/>
  <c r="EE11" i="86"/>
  <c r="ED11" i="86"/>
  <c r="EC11" i="86"/>
  <c r="EB11" i="86"/>
  <c r="EA11" i="86"/>
  <c r="DZ11" i="86"/>
  <c r="DY11" i="86"/>
  <c r="DX11" i="86"/>
  <c r="DW11" i="86"/>
  <c r="DV11" i="86"/>
  <c r="DU11" i="86"/>
  <c r="DT11" i="86"/>
  <c r="DS11" i="86"/>
  <c r="DR11" i="86"/>
  <c r="DQ11" i="86"/>
  <c r="DP11" i="86"/>
  <c r="DO11" i="86"/>
  <c r="DN11" i="86"/>
  <c r="DM11" i="86"/>
  <c r="DL11" i="86"/>
  <c r="DK11" i="86"/>
  <c r="DJ11" i="86"/>
  <c r="DI11" i="86"/>
  <c r="DH11" i="86"/>
  <c r="DG11" i="86"/>
  <c r="DF11" i="86"/>
  <c r="DE11" i="86"/>
  <c r="DD11" i="86"/>
  <c r="DC11" i="86"/>
  <c r="DB11" i="86"/>
  <c r="DA11" i="86"/>
  <c r="CZ11" i="86"/>
  <c r="CY11" i="86"/>
  <c r="CX11" i="86"/>
  <c r="CW11" i="86"/>
  <c r="CV11" i="86"/>
  <c r="CU11" i="86"/>
  <c r="CT11" i="86"/>
  <c r="CS11" i="86"/>
  <c r="CR11" i="86"/>
  <c r="CQ11" i="86"/>
  <c r="CP11" i="86"/>
  <c r="CO11" i="86"/>
  <c r="CN11" i="86"/>
  <c r="CM11" i="86"/>
  <c r="CL11" i="86"/>
  <c r="CK11" i="86"/>
  <c r="CJ11" i="86"/>
  <c r="CI11" i="86"/>
  <c r="CH11" i="86"/>
  <c r="CG11" i="86"/>
  <c r="CF11" i="86"/>
  <c r="CE11" i="86"/>
  <c r="CD11" i="86"/>
  <c r="CC11" i="86"/>
  <c r="CB11" i="86"/>
  <c r="CA11" i="86"/>
  <c r="BZ11" i="86"/>
  <c r="BY11" i="86"/>
  <c r="BX11" i="86"/>
  <c r="BW11" i="86"/>
  <c r="BV11" i="86"/>
  <c r="BU11" i="86"/>
  <c r="BT11" i="86"/>
  <c r="BS11" i="86"/>
  <c r="BR11" i="86"/>
  <c r="BQ11" i="86"/>
  <c r="BP11" i="86"/>
  <c r="BO11" i="86"/>
  <c r="BN11" i="86"/>
  <c r="BM11" i="86"/>
  <c r="BL11" i="86"/>
  <c r="BK11" i="86"/>
  <c r="BJ11" i="86"/>
  <c r="BI11" i="86"/>
  <c r="BH11" i="86"/>
  <c r="BG11" i="86"/>
  <c r="BF11" i="86"/>
  <c r="BE11" i="86"/>
  <c r="BD11" i="86"/>
  <c r="BC11" i="86"/>
  <c r="BB11" i="86"/>
  <c r="BA11" i="86"/>
  <c r="AZ11" i="86"/>
  <c r="AY11" i="86"/>
  <c r="AX11" i="86"/>
  <c r="AW11" i="86"/>
  <c r="AV11" i="86"/>
  <c r="AU11" i="86"/>
  <c r="AT11" i="86"/>
  <c r="AS11" i="86"/>
  <c r="AR11" i="86"/>
  <c r="AQ11" i="86"/>
  <c r="AP11" i="86"/>
  <c r="AO11" i="86"/>
  <c r="AN11" i="86"/>
  <c r="AM11" i="86"/>
  <c r="AL11" i="86"/>
  <c r="AK11" i="86"/>
  <c r="AJ11" i="86"/>
  <c r="AI11" i="86"/>
  <c r="AH11" i="86"/>
  <c r="AG11" i="86"/>
  <c r="AF11" i="86"/>
  <c r="AE11" i="86"/>
  <c r="AD11" i="86"/>
  <c r="AC11" i="86"/>
  <c r="AB11" i="86"/>
  <c r="AA11" i="86"/>
  <c r="Z11" i="86"/>
  <c r="Y11" i="86"/>
  <c r="X11" i="86"/>
  <c r="W11" i="86"/>
  <c r="V11" i="86"/>
  <c r="U11" i="86"/>
  <c r="T11" i="86"/>
  <c r="S11" i="86"/>
  <c r="R11" i="86"/>
  <c r="Q11" i="86"/>
  <c r="P11" i="86"/>
  <c r="O11" i="86"/>
  <c r="N11" i="86"/>
  <c r="M11" i="86"/>
  <c r="L11" i="86"/>
  <c r="K11" i="86"/>
  <c r="J11" i="86"/>
  <c r="I11" i="86"/>
  <c r="H11" i="86"/>
  <c r="G11" i="86"/>
  <c r="E11" i="86"/>
  <c r="D11" i="86"/>
  <c r="A10" i="86"/>
  <c r="A11" i="86" s="1"/>
  <c r="A9" i="86"/>
  <c r="D7" i="86"/>
  <c r="E7" i="86" s="1"/>
  <c r="F7" i="86" s="1"/>
  <c r="G7" i="86" s="1"/>
  <c r="H7" i="86" s="1"/>
  <c r="I7" i="86" s="1"/>
  <c r="J7" i="86" s="1"/>
  <c r="K7" i="86" s="1"/>
  <c r="L7" i="86" s="1"/>
  <c r="M7" i="86" s="1"/>
  <c r="N7" i="86" s="1"/>
  <c r="O7" i="86" s="1"/>
  <c r="P7" i="86" s="1"/>
  <c r="Q7" i="86" s="1"/>
  <c r="R7" i="86" s="1"/>
  <c r="S7" i="86" s="1"/>
  <c r="T7" i="86" s="1"/>
  <c r="U7" i="86" s="1"/>
  <c r="V7" i="86" s="1"/>
  <c r="W7" i="86" s="1"/>
  <c r="X7" i="86" s="1"/>
  <c r="Y7" i="86" s="1"/>
  <c r="Z7" i="86" s="1"/>
  <c r="AA7" i="86" s="1"/>
  <c r="AB7" i="86" s="1"/>
  <c r="AC7" i="86" s="1"/>
  <c r="AD7" i="86" s="1"/>
  <c r="AE7" i="86" s="1"/>
  <c r="AF7" i="86" s="1"/>
  <c r="AG7" i="86" s="1"/>
  <c r="AH7" i="86" s="1"/>
  <c r="AI7" i="86" s="1"/>
  <c r="AJ7" i="86" s="1"/>
  <c r="AK7" i="86" s="1"/>
  <c r="AL7" i="86" s="1"/>
  <c r="AM7" i="86" s="1"/>
  <c r="AN7" i="86" s="1"/>
  <c r="AO7" i="86" s="1"/>
  <c r="AP7" i="86" s="1"/>
  <c r="AQ7" i="86" s="1"/>
  <c r="AR7" i="86" s="1"/>
  <c r="AS7" i="86" s="1"/>
  <c r="AT7" i="86" s="1"/>
  <c r="AU7" i="86" s="1"/>
  <c r="AV7" i="86" s="1"/>
  <c r="AW7" i="86" s="1"/>
  <c r="AX7" i="86" s="1"/>
  <c r="AY7" i="86" s="1"/>
  <c r="AZ7" i="86" s="1"/>
  <c r="BA7" i="86" s="1"/>
  <c r="BB7" i="86" s="1"/>
  <c r="BC7" i="86" s="1"/>
  <c r="BD7" i="86" s="1"/>
  <c r="BE7" i="86" s="1"/>
  <c r="BF7" i="86" s="1"/>
  <c r="BG7" i="86" s="1"/>
  <c r="BH7" i="86" s="1"/>
  <c r="BI7" i="86" s="1"/>
  <c r="BJ7" i="86" s="1"/>
  <c r="BK7" i="86" s="1"/>
  <c r="BL7" i="86" s="1"/>
  <c r="BM7" i="86" s="1"/>
  <c r="BN7" i="86" s="1"/>
  <c r="BO7" i="86" s="1"/>
  <c r="BP7" i="86" s="1"/>
  <c r="BQ7" i="86" s="1"/>
  <c r="BR7" i="86" s="1"/>
  <c r="BS7" i="86" s="1"/>
  <c r="BT7" i="86" s="1"/>
  <c r="BU7" i="86" s="1"/>
  <c r="BV7" i="86" s="1"/>
  <c r="BW7" i="86" s="1"/>
  <c r="BX7" i="86" s="1"/>
  <c r="BY7" i="86" s="1"/>
  <c r="BZ7" i="86" s="1"/>
  <c r="CA7" i="86" s="1"/>
  <c r="CB7" i="86" s="1"/>
  <c r="CC7" i="86" s="1"/>
  <c r="CD7" i="86" s="1"/>
  <c r="CE7" i="86" s="1"/>
  <c r="CF7" i="86" s="1"/>
  <c r="CG7" i="86" s="1"/>
  <c r="CH7" i="86" s="1"/>
  <c r="CI7" i="86" s="1"/>
  <c r="CJ7" i="86" s="1"/>
  <c r="CK7" i="86" s="1"/>
  <c r="CL7" i="86" s="1"/>
  <c r="CM7" i="86" s="1"/>
  <c r="CN7" i="86" s="1"/>
  <c r="CO7" i="86" s="1"/>
  <c r="CP7" i="86" s="1"/>
  <c r="CQ7" i="86" s="1"/>
  <c r="CR7" i="86" s="1"/>
  <c r="CS7" i="86" s="1"/>
  <c r="CT7" i="86" s="1"/>
  <c r="CU7" i="86" s="1"/>
  <c r="CV7" i="86" s="1"/>
  <c r="CW7" i="86" s="1"/>
  <c r="CX7" i="86" s="1"/>
  <c r="CY7" i="86" s="1"/>
  <c r="CZ7" i="86" s="1"/>
  <c r="DA7" i="86" s="1"/>
  <c r="DB7" i="86" s="1"/>
  <c r="DC7" i="86" s="1"/>
  <c r="DD7" i="86" s="1"/>
  <c r="DE7" i="86" s="1"/>
  <c r="DF7" i="86" s="1"/>
  <c r="DG7" i="86" s="1"/>
  <c r="DH7" i="86" s="1"/>
  <c r="DI7" i="86" s="1"/>
  <c r="DJ7" i="86" s="1"/>
  <c r="DK7" i="86" s="1"/>
  <c r="DL7" i="86" s="1"/>
  <c r="DM7" i="86" s="1"/>
  <c r="DN7" i="86" s="1"/>
  <c r="DO7" i="86" s="1"/>
  <c r="DP7" i="86" s="1"/>
  <c r="DQ7" i="86" s="1"/>
  <c r="DR7" i="86" s="1"/>
  <c r="DS7" i="86" s="1"/>
  <c r="DT7" i="86" s="1"/>
  <c r="DU7" i="86" s="1"/>
  <c r="DV7" i="86" s="1"/>
  <c r="DW7" i="86" s="1"/>
  <c r="DX7" i="86" s="1"/>
  <c r="DY7" i="86" s="1"/>
  <c r="DZ7" i="86" s="1"/>
  <c r="EA7" i="86" s="1"/>
  <c r="EB7" i="86" s="1"/>
  <c r="EC7" i="86" s="1"/>
  <c r="ED7" i="86" s="1"/>
  <c r="EE7" i="86" s="1"/>
  <c r="EF7" i="86" s="1"/>
  <c r="EG7" i="86" s="1"/>
  <c r="EH7" i="86" s="1"/>
  <c r="EI7" i="86" s="1"/>
  <c r="EJ7" i="86" s="1"/>
  <c r="EK7" i="86" s="1"/>
  <c r="EL7" i="86" s="1"/>
  <c r="EM7" i="86" s="1"/>
  <c r="EN7" i="86" s="1"/>
  <c r="EO7" i="86" s="1"/>
  <c r="EP7" i="86" s="1"/>
  <c r="EQ7" i="86" s="1"/>
  <c r="ER7" i="86" s="1"/>
  <c r="ES7" i="86" s="1"/>
  <c r="ET7" i="86" s="1"/>
  <c r="EU7" i="86" s="1"/>
  <c r="EV7" i="86" s="1"/>
  <c r="EW7" i="86" s="1"/>
  <c r="EX7" i="86" s="1"/>
  <c r="EY7" i="86" s="1"/>
  <c r="EZ7" i="86" s="1"/>
  <c r="FA7" i="86" s="1"/>
  <c r="FB7" i="86" s="1"/>
  <c r="FC7" i="86" s="1"/>
  <c r="FD7" i="86" s="1"/>
  <c r="FE7" i="86" s="1"/>
  <c r="FF7" i="86" s="1"/>
  <c r="FG7" i="86" s="1"/>
  <c r="FH7" i="86" s="1"/>
  <c r="FI7" i="86" s="1"/>
  <c r="FJ7" i="86" s="1"/>
  <c r="FK7" i="86" s="1"/>
  <c r="FL7" i="86" s="1"/>
  <c r="FM7" i="86" s="1"/>
  <c r="FN7" i="86" s="1"/>
  <c r="FO7" i="86" s="1"/>
  <c r="FP7" i="86" s="1"/>
  <c r="FQ7" i="86" s="1"/>
  <c r="FR7" i="86" s="1"/>
  <c r="FS7" i="86" s="1"/>
  <c r="FT7" i="86" s="1"/>
  <c r="FU7" i="86" s="1"/>
  <c r="FV7" i="86" s="1"/>
  <c r="FW7" i="86" s="1"/>
  <c r="FX7" i="86" s="1"/>
  <c r="FY7" i="86" s="1"/>
  <c r="FZ7" i="86" s="1"/>
  <c r="GA7" i="86" s="1"/>
  <c r="GB7" i="86" s="1"/>
  <c r="GC7" i="86" s="1"/>
  <c r="GD7" i="86" s="1"/>
  <c r="GE7" i="86" s="1"/>
  <c r="GF7" i="86" s="1"/>
  <c r="GG7" i="86" s="1"/>
  <c r="GH7" i="86" s="1"/>
  <c r="GI7" i="86" s="1"/>
  <c r="GJ7" i="86" s="1"/>
  <c r="GK7" i="86" s="1"/>
  <c r="GL7" i="86" s="1"/>
  <c r="GM7" i="86" s="1"/>
  <c r="GN7" i="86" s="1"/>
  <c r="GO7" i="86" s="1"/>
  <c r="GP7" i="86" s="1"/>
  <c r="GQ7" i="86" s="1"/>
  <c r="GR7" i="86" s="1"/>
  <c r="GS7" i="86" s="1"/>
  <c r="GT7" i="86" s="1"/>
  <c r="GU7" i="86" s="1"/>
  <c r="GV7" i="86" s="1"/>
  <c r="GW7" i="86" s="1"/>
  <c r="GX7" i="86" s="1"/>
  <c r="GY7" i="86" s="1"/>
  <c r="GZ7" i="86" s="1"/>
  <c r="HA7" i="86" s="1"/>
  <c r="HB7" i="86" s="1"/>
  <c r="HC7" i="86" s="1"/>
  <c r="HD7" i="86" s="1"/>
  <c r="HE7" i="86" s="1"/>
  <c r="HF7" i="86" s="1"/>
  <c r="HG7" i="86" s="1"/>
  <c r="HH7" i="86" s="1"/>
  <c r="HI7" i="86" s="1"/>
  <c r="HJ7" i="86" s="1"/>
  <c r="HK7" i="86" s="1"/>
  <c r="HL7" i="86" s="1"/>
  <c r="HM7" i="86" s="1"/>
  <c r="HN7" i="86" s="1"/>
  <c r="HO7" i="86" s="1"/>
  <c r="HP7" i="86" s="1"/>
  <c r="HQ7" i="86" s="1"/>
  <c r="HR7" i="86" s="1"/>
  <c r="HS7" i="86" s="1"/>
  <c r="HT7" i="86" s="1"/>
  <c r="HU7" i="86" s="1"/>
  <c r="HV7" i="86" s="1"/>
  <c r="HW7" i="86" s="1"/>
  <c r="HX7" i="86" s="1"/>
  <c r="HY7" i="86" s="1"/>
  <c r="HZ7" i="86" s="1"/>
  <c r="IA7" i="86" s="1"/>
  <c r="IB7" i="86" s="1"/>
  <c r="IC7" i="86" s="1"/>
  <c r="ID7" i="86" s="1"/>
  <c r="IE7" i="86" s="1"/>
  <c r="IF7" i="86" s="1"/>
  <c r="IG7" i="86" s="1"/>
  <c r="IH7" i="86" s="1"/>
  <c r="II7" i="86" s="1"/>
  <c r="IJ7" i="86" s="1"/>
  <c r="IK7" i="86" s="1"/>
  <c r="IL7" i="86" s="1"/>
  <c r="IM7" i="86" s="1"/>
  <c r="IN7" i="86" s="1"/>
  <c r="IO7" i="86" s="1"/>
  <c r="IP7" i="86" s="1"/>
  <c r="IQ7" i="86" s="1"/>
  <c r="IR7" i="86" s="1"/>
  <c r="IS7" i="86" s="1"/>
  <c r="IT7" i="86" s="1"/>
  <c r="IU7" i="86" s="1"/>
  <c r="IV7" i="86" s="1"/>
  <c r="IW7" i="86" s="1"/>
  <c r="IX7" i="86" s="1"/>
  <c r="IY7" i="86" s="1"/>
  <c r="IZ7" i="86" s="1"/>
  <c r="JA7" i="86" s="1"/>
  <c r="JB7" i="86" s="1"/>
  <c r="JC7" i="86" s="1"/>
  <c r="JD7" i="86" s="1"/>
  <c r="JE7" i="86" s="1"/>
  <c r="JF7" i="86" s="1"/>
  <c r="JG7" i="86" s="1"/>
  <c r="JH7" i="86" s="1"/>
  <c r="JI7" i="86" s="1"/>
  <c r="JJ7" i="86" s="1"/>
  <c r="JK7" i="86" s="1"/>
  <c r="JL7" i="86" s="1"/>
  <c r="JM7" i="86" s="1"/>
  <c r="JN7" i="86" s="1"/>
  <c r="JO7" i="86" s="1"/>
  <c r="JP7" i="86" s="1"/>
  <c r="JQ7" i="86" s="1"/>
  <c r="JR7" i="86" s="1"/>
  <c r="JS7" i="86" s="1"/>
  <c r="JT7" i="86" s="1"/>
  <c r="JU7" i="86" s="1"/>
  <c r="JV7" i="86" s="1"/>
  <c r="JW7" i="86" s="1"/>
  <c r="JX7" i="86" s="1"/>
  <c r="JY7" i="86" s="1"/>
  <c r="JZ7" i="86" s="1"/>
  <c r="KA7" i="86" s="1"/>
  <c r="KB7" i="86" s="1"/>
  <c r="KC7" i="86" s="1"/>
  <c r="KD7" i="86" s="1"/>
  <c r="KE7" i="86" s="1"/>
  <c r="KF7" i="86" s="1"/>
  <c r="KG7" i="86" s="1"/>
  <c r="KH7" i="86" s="1"/>
  <c r="KI7" i="86" s="1"/>
  <c r="KJ7" i="86" s="1"/>
  <c r="KK7" i="86" s="1"/>
  <c r="KL7" i="86" s="1"/>
  <c r="KM7" i="86" s="1"/>
  <c r="KN7" i="86" s="1"/>
  <c r="KO7" i="86" s="1"/>
  <c r="KP7" i="86" s="1"/>
  <c r="KQ7" i="86" s="1"/>
  <c r="KR7" i="86" s="1"/>
  <c r="KS7" i="86" s="1"/>
  <c r="KT7" i="86" s="1"/>
  <c r="KU7" i="86" s="1"/>
  <c r="KV7" i="86" s="1"/>
  <c r="KW7" i="86" s="1"/>
  <c r="KX7" i="86" s="1"/>
  <c r="KY7" i="86" s="1"/>
  <c r="KZ7" i="86" s="1"/>
  <c r="LA7" i="86" s="1"/>
  <c r="LB7" i="86" s="1"/>
  <c r="LC7" i="86" s="1"/>
  <c r="LD7" i="86" s="1"/>
  <c r="LE7" i="86" s="1"/>
  <c r="LF7" i="86" s="1"/>
  <c r="LG7" i="86" s="1"/>
  <c r="LH7" i="86" s="1"/>
  <c r="LI7" i="86" s="1"/>
  <c r="LJ7" i="86" s="1"/>
  <c r="LK7" i="86" s="1"/>
  <c r="LL7" i="86" s="1"/>
  <c r="LM7" i="86" s="1"/>
  <c r="LN7" i="86" s="1"/>
  <c r="LO7" i="86" s="1"/>
  <c r="LP7" i="86" s="1"/>
  <c r="LQ7" i="86" s="1"/>
  <c r="LR7" i="86" s="1"/>
  <c r="LS7" i="86" s="1"/>
  <c r="LT7" i="86" s="1"/>
  <c r="LU7" i="86" s="1"/>
  <c r="LV7" i="86" s="1"/>
  <c r="LW7" i="86" s="1"/>
  <c r="LX7" i="86" s="1"/>
  <c r="LY7" i="86" s="1"/>
  <c r="LZ7" i="86" s="1"/>
  <c r="MA7" i="86" s="1"/>
  <c r="MB7" i="86" s="1"/>
  <c r="MC7" i="86" s="1"/>
  <c r="MD7" i="86" s="1"/>
  <c r="ME7" i="86" s="1"/>
  <c r="MF7" i="86" s="1"/>
  <c r="MG7" i="86" s="1"/>
  <c r="MH7" i="86" s="1"/>
  <c r="MI7" i="86" s="1"/>
  <c r="MJ7" i="86" s="1"/>
  <c r="MK7" i="86" s="1"/>
  <c r="ML7" i="86" s="1"/>
  <c r="MM7" i="86" s="1"/>
  <c r="MN7" i="86" s="1"/>
  <c r="MO7" i="86" s="1"/>
  <c r="MP7" i="86" s="1"/>
  <c r="MQ7" i="86" s="1"/>
  <c r="MR7" i="86" s="1"/>
  <c r="MS7" i="86" s="1"/>
  <c r="MT7" i="86" s="1"/>
  <c r="MU7" i="86" s="1"/>
  <c r="MV7" i="86" s="1"/>
  <c r="MW7" i="86" s="1"/>
  <c r="MX7" i="86" s="1"/>
  <c r="MY7" i="86" s="1"/>
  <c r="MZ7" i="86" s="1"/>
  <c r="NA7" i="86" s="1"/>
  <c r="NB7" i="86" s="1"/>
  <c r="NC7" i="86" s="1"/>
  <c r="NC5" i="86"/>
  <c r="NB5" i="86"/>
  <c r="NA5" i="86"/>
  <c r="MZ5" i="86"/>
  <c r="MY5" i="86"/>
  <c r="MX5" i="86"/>
  <c r="MW5" i="86"/>
  <c r="MV5" i="86"/>
  <c r="MU5" i="86"/>
  <c r="MT5" i="86"/>
  <c r="MS5" i="86"/>
  <c r="MR5" i="86"/>
  <c r="MQ5" i="86"/>
  <c r="MP5" i="86"/>
  <c r="MO5" i="86"/>
  <c r="MN5" i="86"/>
  <c r="MM5" i="86"/>
  <c r="ML5" i="86"/>
  <c r="MK5" i="86"/>
  <c r="MJ5" i="86"/>
  <c r="MI5" i="86"/>
  <c r="MH5" i="86"/>
  <c r="MG5" i="86"/>
  <c r="MF5" i="86"/>
  <c r="ME5" i="86"/>
  <c r="MD5" i="86"/>
  <c r="MC5" i="86"/>
  <c r="MB5" i="86"/>
  <c r="MA5" i="86"/>
  <c r="LZ5" i="86"/>
  <c r="LY5" i="86"/>
  <c r="LX5" i="86"/>
  <c r="LW5" i="86"/>
  <c r="LV5" i="86"/>
  <c r="LU5" i="86"/>
  <c r="LT5" i="86"/>
  <c r="LS5" i="86"/>
  <c r="LR5" i="86"/>
  <c r="LQ5" i="86"/>
  <c r="LP5" i="86"/>
  <c r="LO5" i="86"/>
  <c r="LN5" i="86"/>
  <c r="LM5" i="86"/>
  <c r="LL5" i="86"/>
  <c r="LK5" i="86"/>
  <c r="LJ5" i="86"/>
  <c r="LI5" i="86"/>
  <c r="LH5" i="86"/>
  <c r="LG5" i="86"/>
  <c r="LF5" i="86"/>
  <c r="LE5" i="86"/>
  <c r="LD5" i="86"/>
  <c r="LC5" i="86"/>
  <c r="LB5" i="86"/>
  <c r="LA5" i="86"/>
  <c r="KZ5" i="86"/>
  <c r="KY5" i="86"/>
  <c r="KX5" i="86"/>
  <c r="KW5" i="86"/>
  <c r="KV5" i="86"/>
  <c r="KU5" i="86"/>
  <c r="KT5" i="86"/>
  <c r="KS5" i="86"/>
  <c r="KR5" i="86"/>
  <c r="KQ5" i="86"/>
  <c r="KP5" i="86"/>
  <c r="KO5" i="86"/>
  <c r="KN5" i="86"/>
  <c r="KM5" i="86"/>
  <c r="KL5" i="86"/>
  <c r="KK5" i="86"/>
  <c r="KJ5" i="86"/>
  <c r="KI5" i="86"/>
  <c r="KH5" i="86"/>
  <c r="KG5" i="86"/>
  <c r="KF5" i="86"/>
  <c r="KE5" i="86"/>
  <c r="KD5" i="86"/>
  <c r="KC5" i="86"/>
  <c r="KB5" i="86"/>
  <c r="KA5" i="86"/>
  <c r="JZ5" i="86"/>
  <c r="JY5" i="86"/>
  <c r="JX5" i="86"/>
  <c r="JW5" i="86"/>
  <c r="JV5" i="86"/>
  <c r="JU5" i="86"/>
  <c r="JT5" i="86"/>
  <c r="JS5" i="86"/>
  <c r="JR5" i="86"/>
  <c r="JQ5" i="86"/>
  <c r="JP5" i="86"/>
  <c r="JO5" i="86"/>
  <c r="JN5" i="86"/>
  <c r="JM5" i="86"/>
  <c r="JL5" i="86"/>
  <c r="JK5" i="86"/>
  <c r="JJ5" i="86"/>
  <c r="JI5" i="86"/>
  <c r="JH5" i="86"/>
  <c r="JG5" i="86"/>
  <c r="JF5" i="86"/>
  <c r="JE5" i="86"/>
  <c r="JD5" i="86"/>
  <c r="JC5" i="86"/>
  <c r="JB5" i="86"/>
  <c r="JA5" i="86"/>
  <c r="IZ5" i="86"/>
  <c r="IY5" i="86"/>
  <c r="IX5" i="86"/>
  <c r="IW5" i="86"/>
  <c r="IV5" i="86"/>
  <c r="IU5" i="86"/>
  <c r="IT5" i="86"/>
  <c r="IS5" i="86"/>
  <c r="IR5" i="86"/>
  <c r="IQ5" i="86"/>
  <c r="IP5" i="86"/>
  <c r="IO5" i="86"/>
  <c r="IN5" i="86"/>
  <c r="IM5" i="86"/>
  <c r="IL5" i="86"/>
  <c r="IK5" i="86"/>
  <c r="IJ5" i="86"/>
  <c r="II5" i="86"/>
  <c r="IH5" i="86"/>
  <c r="IG5" i="86"/>
  <c r="IF5" i="86"/>
  <c r="IE5" i="86"/>
  <c r="ID5" i="86"/>
  <c r="IC5" i="86"/>
  <c r="IB5" i="86"/>
  <c r="IA5" i="86"/>
  <c r="HZ5" i="86"/>
  <c r="HY5" i="86"/>
  <c r="HX5" i="86"/>
  <c r="HW5" i="86"/>
  <c r="HV5" i="86"/>
  <c r="HU5" i="86"/>
  <c r="HT5" i="86"/>
  <c r="HS5" i="86"/>
  <c r="HR5" i="86"/>
  <c r="HQ5" i="86"/>
  <c r="HP5" i="86"/>
  <c r="HO5" i="86"/>
  <c r="HN5" i="86"/>
  <c r="HM5" i="86"/>
  <c r="HL5" i="86"/>
  <c r="HK5" i="86"/>
  <c r="HJ5" i="86"/>
  <c r="HI5" i="86"/>
  <c r="HH5" i="86"/>
  <c r="HG5" i="86"/>
  <c r="HF5" i="86"/>
  <c r="HE5" i="86"/>
  <c r="HD5" i="86"/>
  <c r="HC5" i="86"/>
  <c r="HB5" i="86"/>
  <c r="HA5" i="86"/>
  <c r="GZ5" i="86"/>
  <c r="GY5" i="86"/>
  <c r="GX5" i="86"/>
  <c r="GW5" i="86"/>
  <c r="GV5" i="86"/>
  <c r="GU5" i="86"/>
  <c r="GT5" i="86"/>
  <c r="GS5" i="86"/>
  <c r="GR5" i="86"/>
  <c r="GQ5" i="86"/>
  <c r="GO5" i="86"/>
  <c r="GN5" i="86"/>
  <c r="GM5" i="86"/>
  <c r="GL5" i="86"/>
  <c r="GK5" i="86"/>
  <c r="GJ5" i="86"/>
  <c r="GI5" i="86"/>
  <c r="GH5" i="86"/>
  <c r="GG5" i="86"/>
  <c r="GF5" i="86"/>
  <c r="GE5" i="86"/>
  <c r="GD5" i="86"/>
  <c r="GC5" i="86"/>
  <c r="GB5" i="86"/>
  <c r="GA5" i="86"/>
  <c r="FZ5" i="86"/>
  <c r="FY5" i="86"/>
  <c r="FX5" i="86"/>
  <c r="FW5" i="86"/>
  <c r="FV5" i="86"/>
  <c r="FU5" i="86"/>
  <c r="FT5" i="86"/>
  <c r="FS5" i="86"/>
  <c r="FR5" i="86"/>
  <c r="FQ5" i="86"/>
  <c r="FP5" i="86"/>
  <c r="FO5" i="86"/>
  <c r="FN5" i="86"/>
  <c r="FM5" i="86"/>
  <c r="FL5" i="86"/>
  <c r="FK5" i="86"/>
  <c r="FJ5" i="86"/>
  <c r="FI5" i="86"/>
  <c r="FH5" i="86"/>
  <c r="FG5" i="86"/>
  <c r="FB5" i="86"/>
  <c r="FA5" i="86"/>
  <c r="EZ5" i="86"/>
  <c r="EY5" i="86"/>
  <c r="EX5" i="86"/>
  <c r="EW5" i="86"/>
  <c r="EV5" i="86"/>
  <c r="EU5" i="86"/>
  <c r="ET5" i="86"/>
  <c r="ES5" i="86"/>
  <c r="ER5" i="86"/>
  <c r="EQ5" i="86"/>
  <c r="EP5" i="86"/>
  <c r="EO5" i="86"/>
  <c r="EN5" i="86"/>
  <c r="EM5" i="86"/>
  <c r="EL5" i="86"/>
  <c r="EK5" i="86"/>
  <c r="EJ5" i="86"/>
  <c r="EI5" i="86"/>
  <c r="EH5" i="86"/>
  <c r="EG5" i="86"/>
  <c r="EF5" i="86"/>
  <c r="EE5" i="86"/>
  <c r="ED5" i="86"/>
  <c r="EC5" i="86"/>
  <c r="EB5" i="86"/>
  <c r="EA5" i="86"/>
  <c r="DZ5" i="86"/>
  <c r="DY5" i="86"/>
  <c r="DX5" i="86"/>
  <c r="DW5" i="86"/>
  <c r="DV5" i="86"/>
  <c r="DU5" i="86"/>
  <c r="DT5" i="86"/>
  <c r="DR5" i="86"/>
  <c r="DQ5" i="86"/>
  <c r="DP5" i="86"/>
  <c r="DO5" i="86"/>
  <c r="DN5" i="86"/>
  <c r="DM5" i="86"/>
  <c r="DK5" i="86"/>
  <c r="DJ5" i="86"/>
  <c r="DI5" i="86"/>
  <c r="DH5" i="86"/>
  <c r="DG5" i="86"/>
  <c r="DF5" i="86"/>
  <c r="DE5" i="86"/>
  <c r="DD5" i="86"/>
  <c r="DC5" i="86"/>
  <c r="DB5" i="86"/>
  <c r="DA5" i="86"/>
  <c r="CZ5" i="86"/>
  <c r="CY5" i="86"/>
  <c r="CX5" i="86"/>
  <c r="CW5" i="86"/>
  <c r="CV5" i="86"/>
  <c r="CU5" i="86"/>
  <c r="CT5" i="86"/>
  <c r="CS5" i="86"/>
  <c r="CR5" i="86"/>
  <c r="CQ5" i="86"/>
  <c r="CP5" i="86"/>
  <c r="CL5" i="86"/>
  <c r="CK5" i="86"/>
  <c r="CJ5" i="86"/>
  <c r="CI5" i="86"/>
  <c r="CH5" i="86"/>
  <c r="CG5" i="86"/>
  <c r="CF5" i="86"/>
  <c r="CE5" i="86"/>
  <c r="CD5" i="86"/>
  <c r="CC5" i="86"/>
  <c r="CB5" i="86"/>
  <c r="CA5" i="86"/>
  <c r="BZ5" i="86"/>
  <c r="BY5" i="86"/>
  <c r="BX5" i="86"/>
  <c r="BW5" i="86"/>
  <c r="BV5" i="86"/>
  <c r="BU5" i="86"/>
  <c r="BT5" i="86"/>
  <c r="BS5" i="86"/>
  <c r="BR5" i="86"/>
  <c r="BQ5" i="86"/>
  <c r="BP5" i="86"/>
  <c r="BO5" i="86"/>
  <c r="BN5" i="86"/>
  <c r="BM5" i="86"/>
  <c r="BL5" i="86"/>
  <c r="BK5" i="86"/>
  <c r="BJ5" i="86"/>
  <c r="BI5" i="86"/>
  <c r="BH5" i="86"/>
  <c r="BG5" i="86"/>
  <c r="BF5" i="86"/>
  <c r="BE5" i="86"/>
  <c r="BD5" i="86"/>
  <c r="BC5" i="86"/>
  <c r="BB5" i="86"/>
  <c r="BA5" i="86"/>
  <c r="AZ5" i="86"/>
  <c r="AY5" i="86"/>
  <c r="AX5" i="86"/>
  <c r="AW5" i="86"/>
  <c r="AV5" i="86"/>
  <c r="AU5" i="86"/>
  <c r="AT5" i="86"/>
  <c r="AS5" i="86"/>
  <c r="AR5" i="86"/>
  <c r="AQ5" i="86"/>
  <c r="AP5" i="86"/>
  <c r="AO5" i="86"/>
  <c r="AN5" i="86"/>
  <c r="AM5" i="86"/>
  <c r="AL5" i="86"/>
  <c r="AK5" i="86"/>
  <c r="AJ5" i="86"/>
  <c r="AI5" i="86"/>
  <c r="AH5" i="86"/>
  <c r="AG5" i="86"/>
  <c r="AF5" i="86"/>
  <c r="AE5" i="86"/>
  <c r="AD5" i="86"/>
  <c r="AC5" i="86"/>
  <c r="AB5" i="86"/>
  <c r="AA5" i="86"/>
  <c r="Z5" i="86"/>
  <c r="Y5" i="86"/>
  <c r="X5" i="86"/>
  <c r="W5" i="86"/>
  <c r="V5" i="86"/>
  <c r="U5" i="86"/>
  <c r="T5" i="86"/>
  <c r="S5" i="86"/>
  <c r="R5" i="86"/>
  <c r="Q5" i="86"/>
  <c r="P5" i="86"/>
  <c r="O5" i="86"/>
  <c r="N5" i="86"/>
  <c r="M5" i="86"/>
  <c r="L5" i="86"/>
  <c r="K5" i="86"/>
  <c r="J5" i="86"/>
  <c r="I5" i="86"/>
  <c r="H5" i="86"/>
  <c r="G5" i="86"/>
  <c r="F5" i="86"/>
  <c r="E5" i="86"/>
  <c r="D5" i="86"/>
  <c r="A4" i="86"/>
  <c r="A5" i="86" s="1"/>
  <c r="A3" i="86"/>
  <c r="H9" i="85"/>
  <c r="H8" i="85"/>
  <c r="H11" i="85"/>
  <c r="H12" i="85" s="1"/>
  <c r="AJ604" i="8" l="1"/>
  <c r="AF604" i="8"/>
  <c r="AH604" i="8" s="1"/>
  <c r="Q603" i="8"/>
  <c r="P603" i="8" s="1"/>
  <c r="N603" i="8"/>
  <c r="AF605" i="8"/>
  <c r="AH605" i="8" s="1"/>
  <c r="AJ605" i="8"/>
  <c r="N602" i="8"/>
  <c r="Q602" i="8"/>
  <c r="P602" i="8" s="1"/>
  <c r="P606" i="8"/>
  <c r="P607" i="8"/>
  <c r="D11" i="54"/>
  <c r="D12" i="54"/>
  <c r="D13" i="54"/>
  <c r="D10" i="54"/>
  <c r="R594" i="8"/>
  <c r="Q594" i="8"/>
  <c r="P594" i="8" s="1"/>
  <c r="O594" i="8"/>
  <c r="O595" i="8"/>
  <c r="O596" i="8"/>
  <c r="O597" i="8"/>
  <c r="O598" i="8"/>
  <c r="O599" i="8"/>
  <c r="O600" i="8"/>
  <c r="O601" i="8"/>
  <c r="N594" i="8"/>
  <c r="HV11" i="7"/>
  <c r="HW11" i="7"/>
  <c r="HX11" i="7"/>
  <c r="HY11" i="7"/>
  <c r="HZ11" i="7"/>
  <c r="IA11" i="7"/>
  <c r="IB11" i="7"/>
  <c r="IC11" i="7"/>
  <c r="HV11" i="6"/>
  <c r="HW11" i="6"/>
  <c r="HX11" i="6"/>
  <c r="HY11" i="6"/>
  <c r="HZ11" i="6"/>
  <c r="IA11" i="6"/>
  <c r="IB11" i="6"/>
  <c r="IC11" i="6"/>
  <c r="N605" i="8" l="1"/>
  <c r="Q605" i="8"/>
  <c r="P605" i="8" s="1"/>
  <c r="N604" i="8"/>
  <c r="Q604" i="8"/>
  <c r="P604" i="8" s="1"/>
  <c r="HW11" i="2"/>
  <c r="W595" i="8"/>
  <c r="AI596" i="8"/>
  <c r="X594" i="8"/>
  <c r="Y594" i="8" s="1"/>
  <c r="X595" i="8"/>
  <c r="AD595" i="8" s="1"/>
  <c r="X596" i="8"/>
  <c r="AD596" i="8" s="1"/>
  <c r="X597" i="8"/>
  <c r="AD597" i="8" s="1"/>
  <c r="X598" i="8"/>
  <c r="AD598" i="8" s="1"/>
  <c r="X599" i="8"/>
  <c r="Y599" i="8" s="1"/>
  <c r="X600" i="8"/>
  <c r="AD600" i="8" s="1"/>
  <c r="X601" i="8"/>
  <c r="Y601" i="8" s="1"/>
  <c r="W594" i="8"/>
  <c r="W596" i="8"/>
  <c r="W597" i="8"/>
  <c r="W598" i="8"/>
  <c r="W599" i="8"/>
  <c r="W600" i="8"/>
  <c r="W601" i="8"/>
  <c r="AE595" i="8"/>
  <c r="AG595" i="8"/>
  <c r="R595" i="8" s="1"/>
  <c r="AI595" i="8"/>
  <c r="AE596" i="8"/>
  <c r="AG596" i="8"/>
  <c r="R596" i="8" s="1"/>
  <c r="AE597" i="8"/>
  <c r="AG597" i="8"/>
  <c r="R597" i="8" s="1"/>
  <c r="AI597" i="8"/>
  <c r="AE598" i="8"/>
  <c r="AG598" i="8"/>
  <c r="R598" i="8" s="1"/>
  <c r="AI598" i="8"/>
  <c r="AE599" i="8"/>
  <c r="AG599" i="8" s="1"/>
  <c r="R599" i="8" s="1"/>
  <c r="AI599" i="8"/>
  <c r="AE600" i="8"/>
  <c r="AG600" i="8"/>
  <c r="R600" i="8" s="1"/>
  <c r="AI600" i="8"/>
  <c r="AE601" i="8"/>
  <c r="AG601" i="8" s="1"/>
  <c r="R601" i="8" s="1"/>
  <c r="AI601" i="8"/>
  <c r="AJ600" i="8" l="1"/>
  <c r="AF600" i="8"/>
  <c r="AH600" i="8" s="1"/>
  <c r="N600" i="8" s="1"/>
  <c r="AD599" i="8"/>
  <c r="AF599" i="8" s="1"/>
  <c r="AH599" i="8" s="1"/>
  <c r="Y600" i="8"/>
  <c r="AD601" i="8"/>
  <c r="AF601" i="8" s="1"/>
  <c r="AH601" i="8" s="1"/>
  <c r="AF598" i="8"/>
  <c r="AH598" i="8" s="1"/>
  <c r="AJ598" i="8"/>
  <c r="AJ597" i="8"/>
  <c r="AF597" i="8"/>
  <c r="AH597" i="8" s="1"/>
  <c r="AJ596" i="8"/>
  <c r="AF596" i="8"/>
  <c r="AH596" i="8" s="1"/>
  <c r="AF595" i="8"/>
  <c r="AH595" i="8" s="1"/>
  <c r="AJ595" i="8"/>
  <c r="Y598" i="8"/>
  <c r="Y595" i="8"/>
  <c r="Q600" i="8"/>
  <c r="P600" i="8" s="1"/>
  <c r="AJ599" i="8"/>
  <c r="Y597" i="8"/>
  <c r="Y596" i="8"/>
  <c r="HV11" i="11"/>
  <c r="HW11" i="11"/>
  <c r="HX11" i="11"/>
  <c r="HY11" i="11"/>
  <c r="HZ11" i="11"/>
  <c r="IA11" i="11"/>
  <c r="IB11" i="11"/>
  <c r="IC11" i="11"/>
  <c r="HV11" i="41"/>
  <c r="HW11" i="41"/>
  <c r="HX11" i="41"/>
  <c r="HY11" i="41"/>
  <c r="HZ11" i="41"/>
  <c r="IA11" i="41"/>
  <c r="IB11" i="41"/>
  <c r="IC11" i="41"/>
  <c r="HV11" i="2"/>
  <c r="HX11" i="2"/>
  <c r="HY11" i="2"/>
  <c r="HZ11" i="2"/>
  <c r="IA11" i="2"/>
  <c r="IB11" i="2"/>
  <c r="IC11" i="2"/>
  <c r="HV11" i="3"/>
  <c r="HW11" i="3"/>
  <c r="HX11" i="3"/>
  <c r="HY11" i="3"/>
  <c r="HZ11" i="3"/>
  <c r="IA11" i="3"/>
  <c r="IB11" i="3"/>
  <c r="IC11" i="3"/>
  <c r="HW11" i="4"/>
  <c r="HX11" i="4"/>
  <c r="HY11" i="4"/>
  <c r="HZ11" i="4"/>
  <c r="IA11" i="4"/>
  <c r="IB11" i="4"/>
  <c r="IC11" i="4"/>
  <c r="HV11" i="16"/>
  <c r="HW11" i="16"/>
  <c r="HX11" i="16"/>
  <c r="HY11" i="16"/>
  <c r="HZ11" i="16"/>
  <c r="IA11" i="16"/>
  <c r="IB11" i="16"/>
  <c r="IC11" i="16"/>
  <c r="HV11" i="5"/>
  <c r="HW11" i="5"/>
  <c r="HX11" i="5"/>
  <c r="HY11" i="5"/>
  <c r="HZ11" i="5"/>
  <c r="IA11" i="5"/>
  <c r="IB11" i="5"/>
  <c r="IC11" i="5"/>
  <c r="X588" i="8"/>
  <c r="O588" i="8"/>
  <c r="X589" i="8"/>
  <c r="O589" i="8"/>
  <c r="O590" i="8"/>
  <c r="O591" i="8"/>
  <c r="O592" i="8"/>
  <c r="O593" i="8"/>
  <c r="AJ601" i="8" l="1"/>
  <c r="Q601" i="8"/>
  <c r="N601" i="8"/>
  <c r="N596" i="8"/>
  <c r="Q596" i="8"/>
  <c r="P596" i="8" s="1"/>
  <c r="Q597" i="8"/>
  <c r="P597" i="8" s="1"/>
  <c r="N597" i="8"/>
  <c r="N595" i="8"/>
  <c r="Q595" i="8"/>
  <c r="P595" i="8" s="1"/>
  <c r="Q599" i="8"/>
  <c r="P599" i="8" s="1"/>
  <c r="N599" i="8"/>
  <c r="Q598" i="8"/>
  <c r="P598" i="8" s="1"/>
  <c r="N598" i="8"/>
  <c r="HO11" i="7"/>
  <c r="HP11" i="7"/>
  <c r="HQ11" i="7"/>
  <c r="HR11" i="7"/>
  <c r="HS11" i="7"/>
  <c r="HT11" i="7"/>
  <c r="HU11" i="7"/>
  <c r="HP11" i="6"/>
  <c r="HQ11" i="6"/>
  <c r="HR11" i="6"/>
  <c r="HS11" i="6"/>
  <c r="HT11" i="6"/>
  <c r="HU11" i="6"/>
  <c r="HP11" i="5"/>
  <c r="HQ11" i="5"/>
  <c r="HR11" i="5"/>
  <c r="HS11" i="5"/>
  <c r="HT11" i="5"/>
  <c r="HU11" i="5"/>
  <c r="HP11" i="16"/>
  <c r="HQ11" i="16"/>
  <c r="HR11" i="16"/>
  <c r="HS11" i="16"/>
  <c r="HT11" i="16"/>
  <c r="HU11" i="16"/>
  <c r="HP11" i="41"/>
  <c r="HQ11" i="41"/>
  <c r="HR11" i="41"/>
  <c r="HS11" i="41"/>
  <c r="HT11" i="41"/>
  <c r="HU11" i="41"/>
  <c r="Y589" i="8"/>
  <c r="W590" i="8"/>
  <c r="HP11" i="11"/>
  <c r="HQ11" i="11"/>
  <c r="HR11" i="11"/>
  <c r="HS11" i="11"/>
  <c r="HT11" i="11"/>
  <c r="HU11" i="11"/>
  <c r="X591" i="8"/>
  <c r="AD591" i="8" s="1"/>
  <c r="HP11" i="4"/>
  <c r="HQ11" i="4"/>
  <c r="HR11" i="4"/>
  <c r="HS11" i="4"/>
  <c r="HT11" i="4"/>
  <c r="HU11" i="4"/>
  <c r="W589" i="8"/>
  <c r="HP11" i="3"/>
  <c r="HQ11" i="3"/>
  <c r="HR11" i="3"/>
  <c r="HS11" i="3"/>
  <c r="HT11" i="3"/>
  <c r="HU11" i="3"/>
  <c r="AI592" i="8"/>
  <c r="AE588" i="8"/>
  <c r="AG588" i="8" s="1"/>
  <c r="R588" i="8" s="1"/>
  <c r="AI588" i="8"/>
  <c r="AE589" i="8"/>
  <c r="AG589" i="8" s="1"/>
  <c r="R589" i="8" s="1"/>
  <c r="AI589" i="8"/>
  <c r="AE590" i="8"/>
  <c r="AG590" i="8" s="1"/>
  <c r="R590" i="8" s="1"/>
  <c r="AI590" i="8"/>
  <c r="AE591" i="8"/>
  <c r="AG591" i="8" s="1"/>
  <c r="R591" i="8" s="1"/>
  <c r="AI591" i="8"/>
  <c r="AE592" i="8"/>
  <c r="AG592" i="8" s="1"/>
  <c r="R592" i="8" s="1"/>
  <c r="AE593" i="8"/>
  <c r="AG593" i="8"/>
  <c r="R593" i="8" s="1"/>
  <c r="AI593" i="8"/>
  <c r="AD589" i="8"/>
  <c r="Y588" i="8"/>
  <c r="X590" i="8"/>
  <c r="Y590" i="8" s="1"/>
  <c r="X592" i="8"/>
  <c r="Y592" i="8" s="1"/>
  <c r="X593" i="8"/>
  <c r="Y593" i="8" s="1"/>
  <c r="W588" i="8"/>
  <c r="W591" i="8"/>
  <c r="W592" i="8"/>
  <c r="W593" i="8"/>
  <c r="P601" i="8" l="1"/>
  <c r="AF589" i="8"/>
  <c r="AH589" i="8" s="1"/>
  <c r="AJ589" i="8"/>
  <c r="AF591" i="8"/>
  <c r="AH591" i="8" s="1"/>
  <c r="Q591" i="8" s="1"/>
  <c r="P591" i="8" s="1"/>
  <c r="AJ591" i="8"/>
  <c r="Y591" i="8"/>
  <c r="AD593" i="8"/>
  <c r="AD592" i="8"/>
  <c r="AD590" i="8"/>
  <c r="AD588" i="8"/>
  <c r="N589" i="8"/>
  <c r="Q589" i="8"/>
  <c r="P589" i="8" s="1"/>
  <c r="N591" i="8"/>
  <c r="HP11" i="2"/>
  <c r="HQ11" i="2"/>
  <c r="HR11" i="2"/>
  <c r="HS11" i="2"/>
  <c r="HT11" i="2"/>
  <c r="HU11" i="2"/>
  <c r="AF588" i="8" l="1"/>
  <c r="AH588" i="8" s="1"/>
  <c r="AJ588" i="8"/>
  <c r="AF590" i="8"/>
  <c r="AH590" i="8" s="1"/>
  <c r="AJ590" i="8"/>
  <c r="AF592" i="8"/>
  <c r="AH592" i="8" s="1"/>
  <c r="Q592" i="8" s="1"/>
  <c r="P592" i="8" s="1"/>
  <c r="AJ592" i="8"/>
  <c r="AF593" i="8"/>
  <c r="AH593" i="8" s="1"/>
  <c r="N593" i="8" s="1"/>
  <c r="AJ593" i="8"/>
  <c r="HH11" i="5"/>
  <c r="HI11" i="5"/>
  <c r="HJ11" i="5"/>
  <c r="HK11" i="5"/>
  <c r="HL11" i="5"/>
  <c r="HM11" i="5"/>
  <c r="HN11" i="5"/>
  <c r="HO11" i="5"/>
  <c r="O580" i="8"/>
  <c r="Q580" i="8"/>
  <c r="R580" i="8"/>
  <c r="O581" i="8"/>
  <c r="O582" i="8"/>
  <c r="R582" i="8"/>
  <c r="O583" i="8"/>
  <c r="O584" i="8"/>
  <c r="O585" i="8"/>
  <c r="R585" i="8"/>
  <c r="O586" i="8"/>
  <c r="R586" i="8"/>
  <c r="O587" i="8"/>
  <c r="N580" i="8"/>
  <c r="HH11" i="2"/>
  <c r="HI11" i="2"/>
  <c r="HJ11" i="2"/>
  <c r="HK11" i="2"/>
  <c r="HL11" i="2"/>
  <c r="HM11" i="2"/>
  <c r="HN11" i="2"/>
  <c r="HO11" i="2"/>
  <c r="HH11" i="7"/>
  <c r="HI11" i="7"/>
  <c r="HJ11" i="7"/>
  <c r="HK11" i="7"/>
  <c r="HL11" i="7"/>
  <c r="HM11" i="7"/>
  <c r="HN11" i="7"/>
  <c r="HH11" i="6"/>
  <c r="HI11" i="6"/>
  <c r="HJ11" i="6"/>
  <c r="HK11" i="6"/>
  <c r="HL11" i="6"/>
  <c r="HM11" i="6"/>
  <c r="HN11" i="6"/>
  <c r="HO11" i="6"/>
  <c r="HH11" i="16"/>
  <c r="HI11" i="16"/>
  <c r="HJ11" i="16"/>
  <c r="HK11" i="16"/>
  <c r="HL11" i="16"/>
  <c r="HM11" i="16"/>
  <c r="HN11" i="16"/>
  <c r="HO11" i="16"/>
  <c r="HH11" i="41"/>
  <c r="HI11" i="41"/>
  <c r="HJ11" i="41"/>
  <c r="HK11" i="41"/>
  <c r="HL11" i="41"/>
  <c r="HM11" i="41"/>
  <c r="HN11" i="41"/>
  <c r="HO11" i="41"/>
  <c r="X581" i="8"/>
  <c r="Y581" i="8" s="1"/>
  <c r="W581" i="8"/>
  <c r="HH11" i="11"/>
  <c r="HI11" i="11"/>
  <c r="HJ11" i="11"/>
  <c r="HK11" i="11"/>
  <c r="HL11" i="11"/>
  <c r="HM11" i="11"/>
  <c r="HN11" i="11"/>
  <c r="HO11" i="11"/>
  <c r="HI11" i="4"/>
  <c r="HJ11" i="4"/>
  <c r="HK11" i="4"/>
  <c r="HL11" i="4"/>
  <c r="HM11" i="4"/>
  <c r="HN11" i="4"/>
  <c r="HO11" i="4"/>
  <c r="HH11" i="3"/>
  <c r="HI11" i="3"/>
  <c r="HJ11" i="3"/>
  <c r="HK11" i="3"/>
  <c r="HL11" i="3"/>
  <c r="HM11" i="3"/>
  <c r="HN11" i="3"/>
  <c r="HO11" i="3"/>
  <c r="AI581" i="8"/>
  <c r="AE581" i="8"/>
  <c r="AG581" i="8" s="1"/>
  <c r="R581" i="8" s="1"/>
  <c r="AE582" i="8"/>
  <c r="AG582" i="8" s="1"/>
  <c r="AI582" i="8"/>
  <c r="AE583" i="8"/>
  <c r="AG583" i="8" s="1"/>
  <c r="R583" i="8" s="1"/>
  <c r="AI583" i="8"/>
  <c r="AE584" i="8"/>
  <c r="AG584" i="8" s="1"/>
  <c r="R584" i="8" s="1"/>
  <c r="AI584" i="8"/>
  <c r="AE585" i="8"/>
  <c r="AG585" i="8" s="1"/>
  <c r="AI585" i="8"/>
  <c r="AE586" i="8"/>
  <c r="AG586" i="8" s="1"/>
  <c r="AI586" i="8"/>
  <c r="AE587" i="8"/>
  <c r="AG587" i="8" s="1"/>
  <c r="R587" i="8" s="1"/>
  <c r="AI587" i="8"/>
  <c r="X582" i="8"/>
  <c r="AD582" i="8" s="1"/>
  <c r="W582" i="8"/>
  <c r="W3" i="8"/>
  <c r="X3" i="8"/>
  <c r="W4" i="8"/>
  <c r="X4" i="8"/>
  <c r="W5" i="8"/>
  <c r="X5" i="8"/>
  <c r="W6" i="8"/>
  <c r="X6" i="8"/>
  <c r="W7" i="8"/>
  <c r="X7" i="8"/>
  <c r="W8" i="8"/>
  <c r="X8" i="8"/>
  <c r="W9" i="8"/>
  <c r="X9" i="8"/>
  <c r="W10" i="8"/>
  <c r="X10" i="8"/>
  <c r="W11" i="8"/>
  <c r="X11" i="8"/>
  <c r="W12" i="8"/>
  <c r="X12" i="8"/>
  <c r="W13" i="8"/>
  <c r="X13" i="8"/>
  <c r="W14" i="8"/>
  <c r="X14" i="8"/>
  <c r="W15" i="8"/>
  <c r="X15" i="8"/>
  <c r="W16" i="8"/>
  <c r="X16" i="8"/>
  <c r="W17" i="8"/>
  <c r="X17" i="8"/>
  <c r="W18" i="8"/>
  <c r="X18" i="8"/>
  <c r="W19" i="8"/>
  <c r="X19" i="8"/>
  <c r="W20" i="8"/>
  <c r="X20" i="8"/>
  <c r="W21" i="8"/>
  <c r="X21" i="8"/>
  <c r="W22" i="8"/>
  <c r="X22" i="8"/>
  <c r="W23" i="8"/>
  <c r="X23" i="8"/>
  <c r="W24" i="8"/>
  <c r="X24" i="8"/>
  <c r="W25" i="8"/>
  <c r="X25" i="8"/>
  <c r="W26" i="8"/>
  <c r="X26" i="8"/>
  <c r="W27" i="8"/>
  <c r="X27" i="8"/>
  <c r="W28" i="8"/>
  <c r="X28" i="8"/>
  <c r="W29" i="8"/>
  <c r="X29" i="8"/>
  <c r="W30" i="8"/>
  <c r="X30" i="8"/>
  <c r="W31" i="8"/>
  <c r="X31" i="8"/>
  <c r="W32" i="8"/>
  <c r="X32" i="8"/>
  <c r="W33" i="8"/>
  <c r="X33" i="8"/>
  <c r="W34" i="8"/>
  <c r="X34" i="8"/>
  <c r="W35" i="8"/>
  <c r="X35" i="8"/>
  <c r="W36" i="8"/>
  <c r="X36" i="8"/>
  <c r="W37" i="8"/>
  <c r="X37" i="8"/>
  <c r="W38" i="8"/>
  <c r="X38" i="8"/>
  <c r="W39" i="8"/>
  <c r="X39" i="8"/>
  <c r="W40" i="8"/>
  <c r="X40" i="8"/>
  <c r="W41" i="8"/>
  <c r="X41" i="8"/>
  <c r="W42" i="8"/>
  <c r="X42" i="8"/>
  <c r="W43" i="8"/>
  <c r="X43" i="8"/>
  <c r="W44" i="8"/>
  <c r="X44" i="8"/>
  <c r="W45" i="8"/>
  <c r="X45" i="8"/>
  <c r="W46" i="8"/>
  <c r="X46" i="8"/>
  <c r="W47" i="8"/>
  <c r="X47" i="8"/>
  <c r="W48" i="8"/>
  <c r="X48" i="8"/>
  <c r="W49" i="8"/>
  <c r="X49" i="8"/>
  <c r="W50" i="8"/>
  <c r="X50" i="8"/>
  <c r="W51" i="8"/>
  <c r="X51" i="8"/>
  <c r="W52" i="8"/>
  <c r="X52" i="8"/>
  <c r="W53" i="8"/>
  <c r="X53" i="8"/>
  <c r="W54" i="8"/>
  <c r="X54" i="8"/>
  <c r="W55" i="8"/>
  <c r="X55" i="8"/>
  <c r="W56" i="8"/>
  <c r="X56" i="8"/>
  <c r="W57" i="8"/>
  <c r="X57" i="8"/>
  <c r="W58" i="8"/>
  <c r="X58" i="8"/>
  <c r="W59" i="8"/>
  <c r="X59" i="8"/>
  <c r="W60" i="8"/>
  <c r="X60" i="8"/>
  <c r="W61" i="8"/>
  <c r="X61" i="8"/>
  <c r="W62" i="8"/>
  <c r="X62" i="8"/>
  <c r="W63" i="8"/>
  <c r="X63" i="8"/>
  <c r="W64" i="8"/>
  <c r="X64" i="8"/>
  <c r="W65" i="8"/>
  <c r="X65" i="8"/>
  <c r="W66" i="8"/>
  <c r="X66" i="8"/>
  <c r="W67" i="8"/>
  <c r="X67" i="8"/>
  <c r="W68" i="8"/>
  <c r="X68" i="8"/>
  <c r="W69" i="8"/>
  <c r="X69" i="8"/>
  <c r="W70" i="8"/>
  <c r="X70" i="8"/>
  <c r="W71" i="8"/>
  <c r="X71" i="8"/>
  <c r="W72" i="8"/>
  <c r="X72" i="8"/>
  <c r="W73" i="8"/>
  <c r="X73" i="8"/>
  <c r="W74" i="8"/>
  <c r="X74" i="8"/>
  <c r="W75" i="8"/>
  <c r="X75" i="8"/>
  <c r="W76" i="8"/>
  <c r="X76" i="8"/>
  <c r="W77" i="8"/>
  <c r="X77" i="8"/>
  <c r="W78" i="8"/>
  <c r="X78" i="8"/>
  <c r="W79" i="8"/>
  <c r="X79" i="8"/>
  <c r="W80" i="8"/>
  <c r="X80" i="8"/>
  <c r="W81" i="8"/>
  <c r="X81" i="8"/>
  <c r="W82" i="8"/>
  <c r="X82" i="8"/>
  <c r="W83" i="8"/>
  <c r="X83" i="8"/>
  <c r="W84" i="8"/>
  <c r="X84" i="8"/>
  <c r="W85" i="8"/>
  <c r="X85" i="8"/>
  <c r="W86" i="8"/>
  <c r="X86" i="8"/>
  <c r="W87" i="8"/>
  <c r="X87" i="8"/>
  <c r="W88" i="8"/>
  <c r="X88" i="8"/>
  <c r="W89" i="8"/>
  <c r="X89" i="8"/>
  <c r="W90" i="8"/>
  <c r="X90" i="8"/>
  <c r="W91" i="8"/>
  <c r="X91" i="8"/>
  <c r="W92" i="8"/>
  <c r="X92" i="8"/>
  <c r="W93" i="8"/>
  <c r="X93" i="8"/>
  <c r="W94" i="8"/>
  <c r="X94" i="8"/>
  <c r="W95" i="8"/>
  <c r="X95" i="8"/>
  <c r="W96" i="8"/>
  <c r="X96" i="8"/>
  <c r="W97" i="8"/>
  <c r="X97" i="8"/>
  <c r="W98" i="8"/>
  <c r="X98" i="8"/>
  <c r="W99" i="8"/>
  <c r="X99" i="8"/>
  <c r="W100" i="8"/>
  <c r="X100" i="8"/>
  <c r="W101" i="8"/>
  <c r="X101" i="8"/>
  <c r="W102" i="8"/>
  <c r="X102" i="8"/>
  <c r="W103" i="8"/>
  <c r="X103" i="8"/>
  <c r="W104" i="8"/>
  <c r="X104" i="8"/>
  <c r="W105" i="8"/>
  <c r="X105" i="8"/>
  <c r="W106" i="8"/>
  <c r="X106" i="8"/>
  <c r="W107" i="8"/>
  <c r="X107" i="8"/>
  <c r="W108" i="8"/>
  <c r="X108" i="8"/>
  <c r="W109" i="8"/>
  <c r="X109" i="8"/>
  <c r="W110" i="8"/>
  <c r="X110" i="8"/>
  <c r="W111" i="8"/>
  <c r="X111" i="8"/>
  <c r="W112" i="8"/>
  <c r="X112" i="8"/>
  <c r="W113" i="8"/>
  <c r="X113" i="8"/>
  <c r="W114" i="8"/>
  <c r="X114" i="8"/>
  <c r="W115" i="8"/>
  <c r="X115" i="8"/>
  <c r="W116" i="8"/>
  <c r="X116" i="8"/>
  <c r="W117" i="8"/>
  <c r="X117" i="8"/>
  <c r="W118" i="8"/>
  <c r="X118" i="8"/>
  <c r="W119" i="8"/>
  <c r="X119" i="8"/>
  <c r="W120" i="8"/>
  <c r="X120" i="8"/>
  <c r="W121" i="8"/>
  <c r="X121" i="8"/>
  <c r="W122" i="8"/>
  <c r="X122" i="8"/>
  <c r="W123" i="8"/>
  <c r="X123" i="8"/>
  <c r="W124" i="8"/>
  <c r="X124" i="8"/>
  <c r="W125" i="8"/>
  <c r="X125" i="8"/>
  <c r="W126" i="8"/>
  <c r="X126" i="8"/>
  <c r="W127" i="8"/>
  <c r="X127" i="8"/>
  <c r="W128" i="8"/>
  <c r="X128" i="8"/>
  <c r="W129" i="8"/>
  <c r="X129" i="8"/>
  <c r="W130" i="8"/>
  <c r="X130" i="8"/>
  <c r="W131" i="8"/>
  <c r="X131" i="8"/>
  <c r="W132" i="8"/>
  <c r="X132" i="8"/>
  <c r="W133" i="8"/>
  <c r="X133" i="8"/>
  <c r="W134" i="8"/>
  <c r="X134" i="8"/>
  <c r="W135" i="8"/>
  <c r="X135" i="8"/>
  <c r="W136" i="8"/>
  <c r="X136" i="8"/>
  <c r="W137" i="8"/>
  <c r="X137" i="8"/>
  <c r="W138" i="8"/>
  <c r="X138" i="8"/>
  <c r="W139" i="8"/>
  <c r="X139" i="8"/>
  <c r="W140" i="8"/>
  <c r="X140" i="8"/>
  <c r="W141" i="8"/>
  <c r="X141" i="8"/>
  <c r="W142" i="8"/>
  <c r="X142" i="8"/>
  <c r="W143" i="8"/>
  <c r="X143" i="8"/>
  <c r="W144" i="8"/>
  <c r="X144" i="8"/>
  <c r="W145" i="8"/>
  <c r="X145" i="8"/>
  <c r="W146" i="8"/>
  <c r="X146" i="8"/>
  <c r="W147" i="8"/>
  <c r="X147" i="8"/>
  <c r="W148" i="8"/>
  <c r="X148" i="8"/>
  <c r="W149" i="8"/>
  <c r="X149" i="8"/>
  <c r="W150" i="8"/>
  <c r="X150" i="8"/>
  <c r="W151" i="8"/>
  <c r="X151" i="8"/>
  <c r="W152" i="8"/>
  <c r="X152" i="8"/>
  <c r="W153" i="8"/>
  <c r="X153" i="8"/>
  <c r="W154" i="8"/>
  <c r="X154" i="8"/>
  <c r="W155" i="8"/>
  <c r="X155" i="8"/>
  <c r="W156" i="8"/>
  <c r="X156" i="8"/>
  <c r="W157" i="8"/>
  <c r="X157" i="8"/>
  <c r="W158" i="8"/>
  <c r="X158" i="8"/>
  <c r="W159" i="8"/>
  <c r="X159" i="8"/>
  <c r="W160" i="8"/>
  <c r="X160" i="8"/>
  <c r="W161" i="8"/>
  <c r="X161" i="8"/>
  <c r="W162" i="8"/>
  <c r="X162" i="8"/>
  <c r="W163" i="8"/>
  <c r="X163" i="8"/>
  <c r="W164" i="8"/>
  <c r="X164" i="8"/>
  <c r="W165" i="8"/>
  <c r="X165" i="8"/>
  <c r="W166" i="8"/>
  <c r="X166" i="8"/>
  <c r="W167" i="8"/>
  <c r="X167" i="8"/>
  <c r="W168" i="8"/>
  <c r="X168" i="8"/>
  <c r="W169" i="8"/>
  <c r="X169" i="8"/>
  <c r="W170" i="8"/>
  <c r="X170" i="8"/>
  <c r="W171" i="8"/>
  <c r="X171" i="8"/>
  <c r="W172" i="8"/>
  <c r="X172" i="8"/>
  <c r="W173" i="8"/>
  <c r="X173" i="8"/>
  <c r="W174" i="8"/>
  <c r="X174" i="8"/>
  <c r="W175" i="8"/>
  <c r="X175" i="8"/>
  <c r="W176" i="8"/>
  <c r="X176" i="8"/>
  <c r="W177" i="8"/>
  <c r="X177" i="8"/>
  <c r="W178" i="8"/>
  <c r="X178" i="8"/>
  <c r="W179" i="8"/>
  <c r="X179" i="8"/>
  <c r="W180" i="8"/>
  <c r="X180" i="8"/>
  <c r="W181" i="8"/>
  <c r="X181" i="8"/>
  <c r="W182" i="8"/>
  <c r="X182" i="8"/>
  <c r="W183" i="8"/>
  <c r="X183" i="8"/>
  <c r="W184" i="8"/>
  <c r="X184" i="8"/>
  <c r="W185" i="8"/>
  <c r="X185" i="8"/>
  <c r="W186" i="8"/>
  <c r="X186" i="8"/>
  <c r="W187" i="8"/>
  <c r="X187" i="8"/>
  <c r="W188" i="8"/>
  <c r="X188" i="8"/>
  <c r="W189" i="8"/>
  <c r="X189" i="8"/>
  <c r="W190" i="8"/>
  <c r="X190" i="8"/>
  <c r="W191" i="8"/>
  <c r="X191" i="8"/>
  <c r="W192" i="8"/>
  <c r="X192" i="8"/>
  <c r="W193" i="8"/>
  <c r="X193" i="8"/>
  <c r="W194" i="8"/>
  <c r="X194" i="8"/>
  <c r="W195" i="8"/>
  <c r="X195" i="8"/>
  <c r="W196" i="8"/>
  <c r="X196" i="8"/>
  <c r="W197" i="8"/>
  <c r="X197" i="8"/>
  <c r="W198" i="8"/>
  <c r="X198" i="8"/>
  <c r="W199" i="8"/>
  <c r="X199" i="8"/>
  <c r="W200" i="8"/>
  <c r="X200" i="8"/>
  <c r="W201" i="8"/>
  <c r="X201" i="8"/>
  <c r="W202" i="8"/>
  <c r="X202" i="8"/>
  <c r="W203" i="8"/>
  <c r="X203" i="8"/>
  <c r="W204" i="8"/>
  <c r="X204" i="8"/>
  <c r="W205" i="8"/>
  <c r="X205" i="8"/>
  <c r="W206" i="8"/>
  <c r="X206" i="8"/>
  <c r="W207" i="8"/>
  <c r="X207" i="8"/>
  <c r="W208" i="8"/>
  <c r="X208" i="8"/>
  <c r="W209" i="8"/>
  <c r="X209" i="8"/>
  <c r="W210" i="8"/>
  <c r="X210" i="8"/>
  <c r="W211" i="8"/>
  <c r="X211" i="8"/>
  <c r="W212" i="8"/>
  <c r="X212" i="8"/>
  <c r="W213" i="8"/>
  <c r="X213" i="8"/>
  <c r="W214" i="8"/>
  <c r="X214" i="8"/>
  <c r="W215" i="8"/>
  <c r="X215" i="8"/>
  <c r="W216" i="8"/>
  <c r="X216" i="8"/>
  <c r="W217" i="8"/>
  <c r="X217" i="8"/>
  <c r="W218" i="8"/>
  <c r="X218" i="8"/>
  <c r="W219" i="8"/>
  <c r="X219" i="8"/>
  <c r="W220" i="8"/>
  <c r="X220" i="8"/>
  <c r="W221" i="8"/>
  <c r="X221" i="8"/>
  <c r="W222" i="8"/>
  <c r="X222" i="8"/>
  <c r="W223" i="8"/>
  <c r="X223" i="8"/>
  <c r="W224" i="8"/>
  <c r="X224" i="8"/>
  <c r="W225" i="8"/>
  <c r="X225" i="8"/>
  <c r="W226" i="8"/>
  <c r="X226" i="8"/>
  <c r="W227" i="8"/>
  <c r="X227" i="8"/>
  <c r="W228" i="8"/>
  <c r="X228" i="8"/>
  <c r="W229" i="8"/>
  <c r="X229" i="8"/>
  <c r="W230" i="8"/>
  <c r="X230" i="8"/>
  <c r="W231" i="8"/>
  <c r="X231" i="8"/>
  <c r="W232" i="8"/>
  <c r="X232" i="8"/>
  <c r="W233" i="8"/>
  <c r="X233" i="8"/>
  <c r="W234" i="8"/>
  <c r="X234" i="8"/>
  <c r="W235" i="8"/>
  <c r="X235" i="8"/>
  <c r="W236" i="8"/>
  <c r="X236" i="8"/>
  <c r="W237" i="8"/>
  <c r="X237" i="8"/>
  <c r="W238" i="8"/>
  <c r="X238" i="8"/>
  <c r="W239" i="8"/>
  <c r="X239" i="8"/>
  <c r="W240" i="8"/>
  <c r="X240" i="8"/>
  <c r="W241" i="8"/>
  <c r="X241" i="8"/>
  <c r="W242" i="8"/>
  <c r="X242" i="8"/>
  <c r="W243" i="8"/>
  <c r="X243" i="8"/>
  <c r="W244" i="8"/>
  <c r="X244" i="8"/>
  <c r="W245" i="8"/>
  <c r="X245" i="8"/>
  <c r="W246" i="8"/>
  <c r="X246" i="8"/>
  <c r="W247" i="8"/>
  <c r="X247" i="8"/>
  <c r="W248" i="8"/>
  <c r="X248" i="8"/>
  <c r="W249" i="8"/>
  <c r="X249" i="8"/>
  <c r="W250" i="8"/>
  <c r="X250" i="8"/>
  <c r="W251" i="8"/>
  <c r="X251" i="8"/>
  <c r="W252" i="8"/>
  <c r="X252" i="8"/>
  <c r="W253" i="8"/>
  <c r="X253" i="8"/>
  <c r="W254" i="8"/>
  <c r="X254" i="8"/>
  <c r="W255" i="8"/>
  <c r="X255" i="8"/>
  <c r="W256" i="8"/>
  <c r="X256" i="8"/>
  <c r="W257" i="8"/>
  <c r="X257" i="8"/>
  <c r="W258" i="8"/>
  <c r="X258" i="8"/>
  <c r="W259" i="8"/>
  <c r="X259" i="8"/>
  <c r="W260" i="8"/>
  <c r="X260" i="8"/>
  <c r="W261" i="8"/>
  <c r="X261" i="8"/>
  <c r="W262" i="8"/>
  <c r="X262" i="8"/>
  <c r="W263" i="8"/>
  <c r="X263" i="8"/>
  <c r="W264" i="8"/>
  <c r="X264" i="8"/>
  <c r="W265" i="8"/>
  <c r="X265" i="8"/>
  <c r="W266" i="8"/>
  <c r="X266" i="8"/>
  <c r="W267" i="8"/>
  <c r="X267" i="8"/>
  <c r="W268" i="8"/>
  <c r="X268" i="8"/>
  <c r="W269" i="8"/>
  <c r="X269" i="8"/>
  <c r="W270" i="8"/>
  <c r="X270" i="8"/>
  <c r="W271" i="8"/>
  <c r="X271" i="8"/>
  <c r="W272" i="8"/>
  <c r="X272" i="8"/>
  <c r="W273" i="8"/>
  <c r="X273" i="8"/>
  <c r="W274" i="8"/>
  <c r="X274" i="8"/>
  <c r="W275" i="8"/>
  <c r="X275" i="8"/>
  <c r="W276" i="8"/>
  <c r="X276" i="8"/>
  <c r="W277" i="8"/>
  <c r="X277" i="8"/>
  <c r="W278" i="8"/>
  <c r="X278" i="8"/>
  <c r="W279" i="8"/>
  <c r="X279" i="8"/>
  <c r="W280" i="8"/>
  <c r="X280" i="8"/>
  <c r="W281" i="8"/>
  <c r="X281" i="8"/>
  <c r="W282" i="8"/>
  <c r="X282" i="8"/>
  <c r="W283" i="8"/>
  <c r="X283" i="8"/>
  <c r="W284" i="8"/>
  <c r="X284" i="8"/>
  <c r="W285" i="8"/>
  <c r="X285" i="8"/>
  <c r="W286" i="8"/>
  <c r="X286" i="8"/>
  <c r="W287" i="8"/>
  <c r="X287" i="8"/>
  <c r="W288" i="8"/>
  <c r="X288" i="8"/>
  <c r="W289" i="8"/>
  <c r="X289" i="8"/>
  <c r="W290" i="8"/>
  <c r="X290" i="8"/>
  <c r="W291" i="8"/>
  <c r="X291" i="8"/>
  <c r="W292" i="8"/>
  <c r="X292" i="8"/>
  <c r="W293" i="8"/>
  <c r="X293" i="8"/>
  <c r="W294" i="8"/>
  <c r="X294" i="8"/>
  <c r="W295" i="8"/>
  <c r="X295" i="8"/>
  <c r="W296" i="8"/>
  <c r="X296" i="8"/>
  <c r="W297" i="8"/>
  <c r="X297" i="8"/>
  <c r="W298" i="8"/>
  <c r="X298" i="8"/>
  <c r="W299" i="8"/>
  <c r="X299" i="8"/>
  <c r="W300" i="8"/>
  <c r="X300" i="8"/>
  <c r="W301" i="8"/>
  <c r="X301" i="8"/>
  <c r="W302" i="8"/>
  <c r="X302" i="8"/>
  <c r="W303" i="8"/>
  <c r="X303" i="8"/>
  <c r="W304" i="8"/>
  <c r="X304" i="8"/>
  <c r="W305" i="8"/>
  <c r="X305" i="8"/>
  <c r="W306" i="8"/>
  <c r="X306" i="8"/>
  <c r="W307" i="8"/>
  <c r="X307" i="8"/>
  <c r="W308" i="8"/>
  <c r="X308" i="8"/>
  <c r="W309" i="8"/>
  <c r="X309" i="8"/>
  <c r="W310" i="8"/>
  <c r="X310" i="8"/>
  <c r="W311" i="8"/>
  <c r="X311" i="8"/>
  <c r="W312" i="8"/>
  <c r="X312" i="8"/>
  <c r="W313" i="8"/>
  <c r="X313" i="8"/>
  <c r="W314" i="8"/>
  <c r="X314" i="8"/>
  <c r="W315" i="8"/>
  <c r="X315" i="8"/>
  <c r="W316" i="8"/>
  <c r="X316" i="8"/>
  <c r="W317" i="8"/>
  <c r="X317" i="8"/>
  <c r="W318" i="8"/>
  <c r="X318" i="8"/>
  <c r="W319" i="8"/>
  <c r="X319" i="8"/>
  <c r="W320" i="8"/>
  <c r="X320" i="8"/>
  <c r="W321" i="8"/>
  <c r="X321" i="8"/>
  <c r="W322" i="8"/>
  <c r="X322" i="8"/>
  <c r="W323" i="8"/>
  <c r="X323" i="8"/>
  <c r="W324" i="8"/>
  <c r="X324" i="8"/>
  <c r="W325" i="8"/>
  <c r="X325" i="8"/>
  <c r="W326" i="8"/>
  <c r="X326" i="8"/>
  <c r="W327" i="8"/>
  <c r="X327" i="8"/>
  <c r="W328" i="8"/>
  <c r="X328" i="8"/>
  <c r="W329" i="8"/>
  <c r="X329" i="8"/>
  <c r="W330" i="8"/>
  <c r="X330" i="8"/>
  <c r="W331" i="8"/>
  <c r="X331" i="8"/>
  <c r="W332" i="8"/>
  <c r="X332" i="8"/>
  <c r="W333" i="8"/>
  <c r="X333" i="8"/>
  <c r="W334" i="8"/>
  <c r="X334" i="8"/>
  <c r="W335" i="8"/>
  <c r="X335" i="8"/>
  <c r="W336" i="8"/>
  <c r="X336" i="8"/>
  <c r="W337" i="8"/>
  <c r="X337" i="8"/>
  <c r="W338" i="8"/>
  <c r="X338" i="8"/>
  <c r="W339" i="8"/>
  <c r="X339" i="8"/>
  <c r="W340" i="8"/>
  <c r="X340" i="8"/>
  <c r="W341" i="8"/>
  <c r="X341" i="8"/>
  <c r="W342" i="8"/>
  <c r="X342" i="8"/>
  <c r="W343" i="8"/>
  <c r="X343" i="8"/>
  <c r="W344" i="8"/>
  <c r="X344" i="8"/>
  <c r="W345" i="8"/>
  <c r="X345" i="8"/>
  <c r="W346" i="8"/>
  <c r="X346" i="8"/>
  <c r="W347" i="8"/>
  <c r="X347" i="8"/>
  <c r="W348" i="8"/>
  <c r="X348" i="8"/>
  <c r="W349" i="8"/>
  <c r="X349" i="8"/>
  <c r="W350" i="8"/>
  <c r="X350" i="8"/>
  <c r="W351" i="8"/>
  <c r="X351" i="8"/>
  <c r="W352" i="8"/>
  <c r="X352" i="8"/>
  <c r="W353" i="8"/>
  <c r="X353" i="8"/>
  <c r="W354" i="8"/>
  <c r="X354" i="8"/>
  <c r="W355" i="8"/>
  <c r="X355" i="8"/>
  <c r="W356" i="8"/>
  <c r="X356" i="8"/>
  <c r="W357" i="8"/>
  <c r="X357" i="8"/>
  <c r="W358" i="8"/>
  <c r="X358" i="8"/>
  <c r="W359" i="8"/>
  <c r="X359" i="8"/>
  <c r="W360" i="8"/>
  <c r="X360" i="8"/>
  <c r="W361" i="8"/>
  <c r="X361" i="8"/>
  <c r="W362" i="8"/>
  <c r="X362" i="8"/>
  <c r="W363" i="8"/>
  <c r="X363" i="8"/>
  <c r="W364" i="8"/>
  <c r="X364" i="8"/>
  <c r="W365" i="8"/>
  <c r="X365" i="8"/>
  <c r="W366" i="8"/>
  <c r="X366" i="8"/>
  <c r="W367" i="8"/>
  <c r="X367" i="8"/>
  <c r="W368" i="8"/>
  <c r="X368" i="8"/>
  <c r="W369" i="8"/>
  <c r="X369" i="8"/>
  <c r="W370" i="8"/>
  <c r="X370" i="8"/>
  <c r="W371" i="8"/>
  <c r="X371" i="8"/>
  <c r="W372" i="8"/>
  <c r="X372" i="8"/>
  <c r="W373" i="8"/>
  <c r="X373" i="8"/>
  <c r="W374" i="8"/>
  <c r="X374" i="8"/>
  <c r="W375" i="8"/>
  <c r="X375" i="8"/>
  <c r="W376" i="8"/>
  <c r="X376" i="8"/>
  <c r="W377" i="8"/>
  <c r="X377" i="8"/>
  <c r="W378" i="8"/>
  <c r="X378" i="8"/>
  <c r="W379" i="8"/>
  <c r="X379" i="8"/>
  <c r="W380" i="8"/>
  <c r="X380" i="8"/>
  <c r="W381" i="8"/>
  <c r="X381" i="8"/>
  <c r="W382" i="8"/>
  <c r="X382" i="8"/>
  <c r="W383" i="8"/>
  <c r="X383" i="8"/>
  <c r="W384" i="8"/>
  <c r="X384" i="8"/>
  <c r="W385" i="8"/>
  <c r="X385" i="8"/>
  <c r="W386" i="8"/>
  <c r="X386" i="8"/>
  <c r="W387" i="8"/>
  <c r="X387" i="8"/>
  <c r="W388" i="8"/>
  <c r="X388" i="8"/>
  <c r="W389" i="8"/>
  <c r="X389" i="8"/>
  <c r="W390" i="8"/>
  <c r="X390" i="8"/>
  <c r="W391" i="8"/>
  <c r="X391" i="8"/>
  <c r="W392" i="8"/>
  <c r="X392" i="8"/>
  <c r="W393" i="8"/>
  <c r="X393" i="8"/>
  <c r="W394" i="8"/>
  <c r="X394" i="8"/>
  <c r="W395" i="8"/>
  <c r="X395" i="8"/>
  <c r="W396" i="8"/>
  <c r="X396" i="8"/>
  <c r="W397" i="8"/>
  <c r="X397" i="8"/>
  <c r="W398" i="8"/>
  <c r="X398" i="8"/>
  <c r="W399" i="8"/>
  <c r="X399" i="8"/>
  <c r="W400" i="8"/>
  <c r="X400" i="8"/>
  <c r="W401" i="8"/>
  <c r="X401" i="8"/>
  <c r="W402" i="8"/>
  <c r="X402" i="8"/>
  <c r="W403" i="8"/>
  <c r="X403" i="8"/>
  <c r="W404" i="8"/>
  <c r="X404" i="8"/>
  <c r="W405" i="8"/>
  <c r="X405" i="8"/>
  <c r="W406" i="8"/>
  <c r="X406" i="8"/>
  <c r="W407" i="8"/>
  <c r="X407" i="8"/>
  <c r="W408" i="8"/>
  <c r="X408" i="8"/>
  <c r="W409" i="8"/>
  <c r="X409" i="8"/>
  <c r="W410" i="8"/>
  <c r="X410" i="8"/>
  <c r="W411" i="8"/>
  <c r="X411" i="8"/>
  <c r="W412" i="8"/>
  <c r="X412" i="8"/>
  <c r="W413" i="8"/>
  <c r="X413" i="8"/>
  <c r="W414" i="8"/>
  <c r="X414" i="8"/>
  <c r="W415" i="8"/>
  <c r="X415" i="8"/>
  <c r="W416" i="8"/>
  <c r="X416" i="8"/>
  <c r="W417" i="8"/>
  <c r="X417" i="8"/>
  <c r="W418" i="8"/>
  <c r="X418" i="8"/>
  <c r="W419" i="8"/>
  <c r="X419" i="8"/>
  <c r="W420" i="8"/>
  <c r="X420" i="8"/>
  <c r="W421" i="8"/>
  <c r="X421" i="8"/>
  <c r="W422" i="8"/>
  <c r="X422" i="8"/>
  <c r="W423" i="8"/>
  <c r="X423" i="8"/>
  <c r="W424" i="8"/>
  <c r="X424" i="8"/>
  <c r="W425" i="8"/>
  <c r="X425" i="8"/>
  <c r="W426" i="8"/>
  <c r="X426" i="8"/>
  <c r="W427" i="8"/>
  <c r="X427" i="8"/>
  <c r="W428" i="8"/>
  <c r="X428" i="8"/>
  <c r="W429" i="8"/>
  <c r="X429" i="8"/>
  <c r="W430" i="8"/>
  <c r="X430" i="8"/>
  <c r="W431" i="8"/>
  <c r="X431" i="8"/>
  <c r="W432" i="8"/>
  <c r="X432" i="8"/>
  <c r="W433" i="8"/>
  <c r="X433" i="8"/>
  <c r="W434" i="8"/>
  <c r="X434" i="8"/>
  <c r="W435" i="8"/>
  <c r="X435" i="8"/>
  <c r="W436" i="8"/>
  <c r="X436" i="8"/>
  <c r="W437" i="8"/>
  <c r="X437" i="8"/>
  <c r="W438" i="8"/>
  <c r="X438" i="8"/>
  <c r="W439" i="8"/>
  <c r="X439" i="8"/>
  <c r="W440" i="8"/>
  <c r="X440" i="8"/>
  <c r="W441" i="8"/>
  <c r="X441" i="8"/>
  <c r="W442" i="8"/>
  <c r="X442" i="8"/>
  <c r="W443" i="8"/>
  <c r="X443" i="8"/>
  <c r="W444" i="8"/>
  <c r="X444" i="8"/>
  <c r="W445" i="8"/>
  <c r="X445" i="8"/>
  <c r="W446" i="8"/>
  <c r="X446" i="8"/>
  <c r="W447" i="8"/>
  <c r="X447" i="8"/>
  <c r="W448" i="8"/>
  <c r="X448" i="8"/>
  <c r="W449" i="8"/>
  <c r="X449" i="8"/>
  <c r="W450" i="8"/>
  <c r="X450" i="8"/>
  <c r="W451" i="8"/>
  <c r="X451" i="8"/>
  <c r="W452" i="8"/>
  <c r="X452" i="8"/>
  <c r="W453" i="8"/>
  <c r="X453" i="8"/>
  <c r="W454" i="8"/>
  <c r="X454" i="8"/>
  <c r="W455" i="8"/>
  <c r="X455" i="8"/>
  <c r="W456" i="8"/>
  <c r="X456" i="8"/>
  <c r="W457" i="8"/>
  <c r="X457" i="8"/>
  <c r="W458" i="8"/>
  <c r="X458" i="8"/>
  <c r="W459" i="8"/>
  <c r="X459" i="8"/>
  <c r="W460" i="8"/>
  <c r="X460" i="8"/>
  <c r="W461" i="8"/>
  <c r="X461" i="8"/>
  <c r="W462" i="8"/>
  <c r="X462" i="8"/>
  <c r="W463" i="8"/>
  <c r="X463" i="8"/>
  <c r="W464" i="8"/>
  <c r="X464" i="8"/>
  <c r="W465" i="8"/>
  <c r="X465" i="8"/>
  <c r="W466" i="8"/>
  <c r="X466" i="8"/>
  <c r="W467" i="8"/>
  <c r="X467" i="8"/>
  <c r="W468" i="8"/>
  <c r="X468" i="8"/>
  <c r="W469" i="8"/>
  <c r="X469" i="8"/>
  <c r="W470" i="8"/>
  <c r="X470" i="8"/>
  <c r="W471" i="8"/>
  <c r="X471" i="8"/>
  <c r="W472" i="8"/>
  <c r="X472" i="8"/>
  <c r="W473" i="8"/>
  <c r="X473" i="8"/>
  <c r="W474" i="8"/>
  <c r="X474" i="8"/>
  <c r="W475" i="8"/>
  <c r="X475" i="8"/>
  <c r="W476" i="8"/>
  <c r="X476" i="8"/>
  <c r="W477" i="8"/>
  <c r="X477" i="8"/>
  <c r="W478" i="8"/>
  <c r="X478" i="8"/>
  <c r="W479" i="8"/>
  <c r="X479" i="8"/>
  <c r="W480" i="8"/>
  <c r="X480" i="8"/>
  <c r="W481" i="8"/>
  <c r="X481" i="8"/>
  <c r="W482" i="8"/>
  <c r="X482" i="8"/>
  <c r="W483" i="8"/>
  <c r="X483" i="8"/>
  <c r="W484" i="8"/>
  <c r="X484" i="8"/>
  <c r="W485" i="8"/>
  <c r="X485" i="8"/>
  <c r="W486" i="8"/>
  <c r="X486" i="8"/>
  <c r="W487" i="8"/>
  <c r="X487" i="8"/>
  <c r="W488" i="8"/>
  <c r="X488" i="8"/>
  <c r="W489" i="8"/>
  <c r="X489" i="8"/>
  <c r="W490" i="8"/>
  <c r="X490" i="8"/>
  <c r="W491" i="8"/>
  <c r="X491" i="8"/>
  <c r="W492" i="8"/>
  <c r="X492" i="8"/>
  <c r="W493" i="8"/>
  <c r="X493" i="8"/>
  <c r="W494" i="8"/>
  <c r="X494" i="8"/>
  <c r="W495" i="8"/>
  <c r="X495" i="8"/>
  <c r="W496" i="8"/>
  <c r="X496" i="8"/>
  <c r="W497" i="8"/>
  <c r="X497" i="8"/>
  <c r="W498" i="8"/>
  <c r="X498" i="8"/>
  <c r="W499" i="8"/>
  <c r="X499" i="8"/>
  <c r="W500" i="8"/>
  <c r="X500" i="8"/>
  <c r="W501" i="8"/>
  <c r="X501" i="8"/>
  <c r="W502" i="8"/>
  <c r="X502" i="8"/>
  <c r="W503" i="8"/>
  <c r="X503" i="8"/>
  <c r="W504" i="8"/>
  <c r="X504" i="8"/>
  <c r="W505" i="8"/>
  <c r="X505" i="8"/>
  <c r="W506" i="8"/>
  <c r="X506" i="8"/>
  <c r="W507" i="8"/>
  <c r="X507" i="8"/>
  <c r="W508" i="8"/>
  <c r="X508" i="8"/>
  <c r="W509" i="8"/>
  <c r="X509" i="8"/>
  <c r="W510" i="8"/>
  <c r="X510" i="8"/>
  <c r="W511" i="8"/>
  <c r="X511" i="8"/>
  <c r="W512" i="8"/>
  <c r="X512" i="8"/>
  <c r="W513" i="8"/>
  <c r="X513" i="8"/>
  <c r="W514" i="8"/>
  <c r="X514" i="8"/>
  <c r="W515" i="8"/>
  <c r="X515" i="8"/>
  <c r="W516" i="8"/>
  <c r="X516" i="8"/>
  <c r="W517" i="8"/>
  <c r="X517" i="8"/>
  <c r="W518" i="8"/>
  <c r="X518" i="8"/>
  <c r="W519" i="8"/>
  <c r="X519" i="8"/>
  <c r="W520" i="8"/>
  <c r="X520" i="8"/>
  <c r="W521" i="8"/>
  <c r="X521" i="8"/>
  <c r="W522" i="8"/>
  <c r="X522" i="8"/>
  <c r="W523" i="8"/>
  <c r="X523" i="8"/>
  <c r="W524" i="8"/>
  <c r="X524" i="8"/>
  <c r="W525" i="8"/>
  <c r="X525" i="8"/>
  <c r="W526" i="8"/>
  <c r="X526" i="8"/>
  <c r="W527" i="8"/>
  <c r="X527" i="8"/>
  <c r="W528" i="8"/>
  <c r="X528" i="8"/>
  <c r="W529" i="8"/>
  <c r="X529" i="8"/>
  <c r="W530" i="8"/>
  <c r="X530" i="8"/>
  <c r="W531" i="8"/>
  <c r="X531" i="8"/>
  <c r="W532" i="8"/>
  <c r="X532" i="8"/>
  <c r="W533" i="8"/>
  <c r="X533" i="8"/>
  <c r="W534" i="8"/>
  <c r="X534" i="8"/>
  <c r="W535" i="8"/>
  <c r="X535" i="8"/>
  <c r="W536" i="8"/>
  <c r="X536" i="8"/>
  <c r="W537" i="8"/>
  <c r="X537" i="8"/>
  <c r="W538" i="8"/>
  <c r="X538" i="8"/>
  <c r="W539" i="8"/>
  <c r="X539" i="8"/>
  <c r="W540" i="8"/>
  <c r="X540" i="8"/>
  <c r="W541" i="8"/>
  <c r="X541" i="8"/>
  <c r="W542" i="8"/>
  <c r="X542" i="8"/>
  <c r="W543" i="8"/>
  <c r="X543" i="8"/>
  <c r="W544" i="8"/>
  <c r="X544" i="8"/>
  <c r="W545" i="8"/>
  <c r="X545" i="8"/>
  <c r="W546" i="8"/>
  <c r="X546" i="8"/>
  <c r="W547" i="8"/>
  <c r="X547" i="8"/>
  <c r="W548" i="8"/>
  <c r="X548" i="8"/>
  <c r="W549" i="8"/>
  <c r="X549" i="8"/>
  <c r="W550" i="8"/>
  <c r="X550" i="8"/>
  <c r="W551" i="8"/>
  <c r="X551" i="8"/>
  <c r="W552" i="8"/>
  <c r="X552" i="8"/>
  <c r="W553" i="8"/>
  <c r="X553" i="8"/>
  <c r="W554" i="8"/>
  <c r="X554" i="8"/>
  <c r="W555" i="8"/>
  <c r="X555" i="8"/>
  <c r="W556" i="8"/>
  <c r="X556" i="8"/>
  <c r="W557" i="8"/>
  <c r="X557" i="8"/>
  <c r="W558" i="8"/>
  <c r="X558" i="8"/>
  <c r="W559" i="8"/>
  <c r="X559" i="8"/>
  <c r="W560" i="8"/>
  <c r="X560" i="8"/>
  <c r="W561" i="8"/>
  <c r="X561" i="8"/>
  <c r="W562" i="8"/>
  <c r="X562" i="8"/>
  <c r="W563" i="8"/>
  <c r="X563" i="8"/>
  <c r="W564" i="8"/>
  <c r="X564" i="8"/>
  <c r="W565" i="8"/>
  <c r="X565" i="8"/>
  <c r="W566" i="8"/>
  <c r="X566" i="8"/>
  <c r="W567" i="8"/>
  <c r="X567" i="8"/>
  <c r="W568" i="8"/>
  <c r="X568" i="8"/>
  <c r="W569" i="8"/>
  <c r="X569" i="8"/>
  <c r="W570" i="8"/>
  <c r="X570" i="8"/>
  <c r="W571" i="8"/>
  <c r="X571" i="8"/>
  <c r="W572" i="8"/>
  <c r="X572" i="8"/>
  <c r="W573" i="8"/>
  <c r="X573" i="8"/>
  <c r="W574" i="8"/>
  <c r="X574" i="8"/>
  <c r="W575" i="8"/>
  <c r="X575" i="8"/>
  <c r="W576" i="8"/>
  <c r="X576" i="8"/>
  <c r="AD576" i="8" s="1"/>
  <c r="W577" i="8"/>
  <c r="X577" i="8"/>
  <c r="W578" i="8"/>
  <c r="X578" i="8"/>
  <c r="W579" i="8"/>
  <c r="X579" i="8"/>
  <c r="W580" i="8"/>
  <c r="X580" i="8"/>
  <c r="AD580" i="8" s="1"/>
  <c r="W583" i="8"/>
  <c r="X583" i="8"/>
  <c r="AD583" i="8" s="1"/>
  <c r="W584" i="8"/>
  <c r="X584" i="8"/>
  <c r="AD584" i="8" s="1"/>
  <c r="W585" i="8"/>
  <c r="X585" i="8"/>
  <c r="AD585" i="8" s="1"/>
  <c r="W586" i="8"/>
  <c r="X586" i="8"/>
  <c r="AD586" i="8" s="1"/>
  <c r="W587" i="8"/>
  <c r="X587" i="8"/>
  <c r="X2" i="8"/>
  <c r="W2" i="8"/>
  <c r="AD581" i="8"/>
  <c r="AF585" i="8" l="1"/>
  <c r="AH585" i="8" s="1"/>
  <c r="N585" i="8" s="1"/>
  <c r="AJ585" i="8"/>
  <c r="AF586" i="8"/>
  <c r="AH586" i="8" s="1"/>
  <c r="N586" i="8" s="1"/>
  <c r="AJ586" i="8"/>
  <c r="Q593" i="8"/>
  <c r="P593" i="8" s="1"/>
  <c r="AF584" i="8"/>
  <c r="AH584" i="8" s="1"/>
  <c r="N584" i="8" s="1"/>
  <c r="AJ584" i="8"/>
  <c r="N592" i="8"/>
  <c r="AF583" i="8"/>
  <c r="AH583" i="8" s="1"/>
  <c r="Q583" i="8" s="1"/>
  <c r="P583" i="8" s="1"/>
  <c r="AJ583" i="8"/>
  <c r="P580" i="8"/>
  <c r="N590" i="8"/>
  <c r="Q590" i="8"/>
  <c r="P590" i="8" s="1"/>
  <c r="AF581" i="8"/>
  <c r="AH581" i="8" s="1"/>
  <c r="Q581" i="8" s="1"/>
  <c r="P581" i="8" s="1"/>
  <c r="AJ581" i="8"/>
  <c r="AF582" i="8"/>
  <c r="AH582" i="8" s="1"/>
  <c r="Q582" i="8" s="1"/>
  <c r="P582" i="8" s="1"/>
  <c r="AJ582" i="8"/>
  <c r="N588" i="8"/>
  <c r="Q588" i="8"/>
  <c r="P588" i="8" s="1"/>
  <c r="Q586" i="8"/>
  <c r="P586" i="8" s="1"/>
  <c r="Y582" i="8"/>
  <c r="Q584" i="8"/>
  <c r="P584" i="8" s="1"/>
  <c r="Y586" i="8"/>
  <c r="Y585" i="8"/>
  <c r="AD587" i="8"/>
  <c r="Y587" i="8"/>
  <c r="Y584" i="8"/>
  <c r="Y583" i="8"/>
  <c r="G11" i="54"/>
  <c r="H11" i="54"/>
  <c r="O574" i="8"/>
  <c r="O575" i="8"/>
  <c r="O576" i="8"/>
  <c r="O577" i="8"/>
  <c r="O578" i="8"/>
  <c r="O579" i="8"/>
  <c r="N583" i="8" l="1"/>
  <c r="N582" i="8"/>
  <c r="Q585" i="8"/>
  <c r="P585" i="8" s="1"/>
  <c r="N581" i="8"/>
  <c r="AF587" i="8"/>
  <c r="AH587" i="8" s="1"/>
  <c r="Q587" i="8" s="1"/>
  <c r="P587" i="8" s="1"/>
  <c r="AJ587" i="8"/>
  <c r="N587" i="8"/>
  <c r="HB11" i="5"/>
  <c r="HC11" i="5"/>
  <c r="HD11" i="5"/>
  <c r="HE11" i="5"/>
  <c r="HF11" i="5"/>
  <c r="HG11" i="5"/>
  <c r="HB11" i="11"/>
  <c r="HC11" i="11"/>
  <c r="HD11" i="11"/>
  <c r="HE11" i="11"/>
  <c r="HF11" i="11"/>
  <c r="HG11" i="11"/>
  <c r="HB11" i="41"/>
  <c r="HC11" i="41"/>
  <c r="HD11" i="41"/>
  <c r="HE11" i="41"/>
  <c r="HF11" i="41"/>
  <c r="HG11" i="41"/>
  <c r="HB11" i="7" l="1"/>
  <c r="HC11" i="7"/>
  <c r="HD11" i="7"/>
  <c r="HE11" i="7"/>
  <c r="HF11" i="7"/>
  <c r="HG11" i="7"/>
  <c r="HB11" i="6"/>
  <c r="HC11" i="6"/>
  <c r="HD11" i="6"/>
  <c r="HE11" i="6"/>
  <c r="HF11" i="6"/>
  <c r="HG11" i="6"/>
  <c r="HB11" i="16"/>
  <c r="HC11" i="16"/>
  <c r="HD11" i="16"/>
  <c r="HE11" i="16"/>
  <c r="HF11" i="16"/>
  <c r="HG11" i="16"/>
  <c r="HB11" i="4"/>
  <c r="HC11" i="4"/>
  <c r="HD11" i="4"/>
  <c r="HE11" i="4"/>
  <c r="HF11" i="4"/>
  <c r="HG11" i="4"/>
  <c r="HB11" i="3"/>
  <c r="HC11" i="3"/>
  <c r="HD11" i="3"/>
  <c r="HE11" i="3"/>
  <c r="HF11" i="3"/>
  <c r="HG11" i="3"/>
  <c r="AE574" i="8"/>
  <c r="AG574" i="8" s="1"/>
  <c r="R574" i="8" s="1"/>
  <c r="AI574" i="8"/>
  <c r="AE575" i="8"/>
  <c r="AG575" i="8" s="1"/>
  <c r="R575" i="8" s="1"/>
  <c r="AI575" i="8"/>
  <c r="AE576" i="8"/>
  <c r="AG576" i="8"/>
  <c r="R576" i="8" s="1"/>
  <c r="AI576" i="8"/>
  <c r="AE577" i="8"/>
  <c r="AG577" i="8" s="1"/>
  <c r="R577" i="8" s="1"/>
  <c r="AI577" i="8"/>
  <c r="AE578" i="8"/>
  <c r="AG578" i="8"/>
  <c r="R578" i="8" s="1"/>
  <c r="AI578" i="8"/>
  <c r="AE579" i="8"/>
  <c r="AG579" i="8"/>
  <c r="R579" i="8" s="1"/>
  <c r="AI579" i="8"/>
  <c r="AD574" i="8"/>
  <c r="AF574" i="8" s="1"/>
  <c r="AH574" i="8" s="1"/>
  <c r="AD575" i="8"/>
  <c r="AF575" i="8" s="1"/>
  <c r="AH575" i="8" s="1"/>
  <c r="AF576" i="8"/>
  <c r="AH576" i="8" s="1"/>
  <c r="AD577" i="8"/>
  <c r="AF577" i="8" s="1"/>
  <c r="AH577" i="8" s="1"/>
  <c r="AD578" i="8"/>
  <c r="AF578" i="8" s="1"/>
  <c r="AH578" i="8" s="1"/>
  <c r="AD579" i="8"/>
  <c r="AF579" i="8" s="1"/>
  <c r="AH579" i="8" s="1"/>
  <c r="HB11" i="2"/>
  <c r="HC11" i="2"/>
  <c r="HD11" i="2"/>
  <c r="HE11" i="2"/>
  <c r="HF11" i="2"/>
  <c r="HG11" i="2"/>
  <c r="AA24" i="54"/>
  <c r="H10" i="54"/>
  <c r="O567" i="8"/>
  <c r="O568" i="8"/>
  <c r="O569" i="8"/>
  <c r="O570" i="8"/>
  <c r="O571" i="8"/>
  <c r="O572" i="8"/>
  <c r="O573" i="8"/>
  <c r="GT11" i="7"/>
  <c r="GU11" i="7"/>
  <c r="GV11" i="7"/>
  <c r="GW11" i="7"/>
  <c r="GX11" i="7"/>
  <c r="GY11" i="7"/>
  <c r="GZ11" i="7"/>
  <c r="GT11" i="5"/>
  <c r="GU11" i="5"/>
  <c r="GV11" i="5"/>
  <c r="GW11" i="5"/>
  <c r="GX11" i="5"/>
  <c r="GY11" i="5"/>
  <c r="GZ11" i="5"/>
  <c r="HA11" i="5"/>
  <c r="GT11" i="6"/>
  <c r="GU11" i="6"/>
  <c r="GV11" i="6"/>
  <c r="GW11" i="6"/>
  <c r="GX11" i="6"/>
  <c r="GY11" i="6"/>
  <c r="GZ11" i="6"/>
  <c r="HA11" i="6"/>
  <c r="GT11" i="2"/>
  <c r="GU11" i="2"/>
  <c r="GV11" i="2"/>
  <c r="GW11" i="2"/>
  <c r="GX11" i="2"/>
  <c r="GY11" i="2"/>
  <c r="GZ11" i="2"/>
  <c r="HA11" i="2"/>
  <c r="GT11" i="41"/>
  <c r="GU11" i="41"/>
  <c r="GV11" i="41"/>
  <c r="GW11" i="41"/>
  <c r="GX11" i="41"/>
  <c r="GY11" i="41"/>
  <c r="GZ11" i="41"/>
  <c r="HA11" i="41"/>
  <c r="GT11" i="11"/>
  <c r="GU11" i="11"/>
  <c r="GV11" i="11"/>
  <c r="GW11" i="11"/>
  <c r="GX11" i="11"/>
  <c r="GY11" i="11"/>
  <c r="GZ11" i="11"/>
  <c r="HA11" i="11"/>
  <c r="GU11" i="4"/>
  <c r="GV11" i="4"/>
  <c r="GW11" i="4"/>
  <c r="GX11" i="4"/>
  <c r="GY11" i="4"/>
  <c r="GZ11" i="4"/>
  <c r="HA11" i="4"/>
  <c r="GT11" i="16"/>
  <c r="GU11" i="16"/>
  <c r="GV11" i="16"/>
  <c r="GW11" i="16"/>
  <c r="GX11" i="16"/>
  <c r="GY11" i="16"/>
  <c r="GZ11" i="16"/>
  <c r="HA11" i="16"/>
  <c r="GT11" i="3"/>
  <c r="GU11" i="3"/>
  <c r="GV11" i="3"/>
  <c r="GW11" i="3"/>
  <c r="GX11" i="3"/>
  <c r="GY11" i="3"/>
  <c r="GZ11" i="3"/>
  <c r="HA11" i="3"/>
  <c r="AE567" i="8"/>
  <c r="AG567" i="8" s="1"/>
  <c r="R567" i="8" s="1"/>
  <c r="AI567" i="8"/>
  <c r="AE568" i="8"/>
  <c r="AG568" i="8" s="1"/>
  <c r="R568" i="8" s="1"/>
  <c r="AI568" i="8"/>
  <c r="AE569" i="8"/>
  <c r="AG569" i="8" s="1"/>
  <c r="R569" i="8" s="1"/>
  <c r="AI569" i="8"/>
  <c r="AE570" i="8"/>
  <c r="AG570" i="8"/>
  <c r="R570" i="8" s="1"/>
  <c r="AI570" i="8"/>
  <c r="AE571" i="8"/>
  <c r="AG571" i="8" s="1"/>
  <c r="R571" i="8" s="1"/>
  <c r="AI571" i="8"/>
  <c r="AE572" i="8"/>
  <c r="AG572" i="8" s="1"/>
  <c r="R572" i="8" s="1"/>
  <c r="AI572" i="8"/>
  <c r="AE573" i="8"/>
  <c r="AG573" i="8"/>
  <c r="R573" i="8" s="1"/>
  <c r="AI573" i="8"/>
  <c r="AD564" i="8"/>
  <c r="AD565" i="8"/>
  <c r="AD567" i="8"/>
  <c r="AF567" i="8" s="1"/>
  <c r="AH567" i="8" s="1"/>
  <c r="AD568" i="8"/>
  <c r="AF568" i="8" s="1"/>
  <c r="AH568" i="8" s="1"/>
  <c r="AD569" i="8"/>
  <c r="AF569" i="8" s="1"/>
  <c r="AH569" i="8" s="1"/>
  <c r="AD570" i="8"/>
  <c r="AF570" i="8" s="1"/>
  <c r="AH570" i="8" s="1"/>
  <c r="AD571" i="8"/>
  <c r="AF571" i="8" s="1"/>
  <c r="AH571" i="8" s="1"/>
  <c r="AD572" i="8"/>
  <c r="AF572" i="8" s="1"/>
  <c r="AH572" i="8" s="1"/>
  <c r="AD573" i="8"/>
  <c r="AF573" i="8" s="1"/>
  <c r="AH573" i="8" s="1"/>
  <c r="Q567" i="8" l="1"/>
  <c r="P567" i="8" s="1"/>
  <c r="N567" i="8"/>
  <c r="Q577" i="8"/>
  <c r="P577" i="8" s="1"/>
  <c r="N577" i="8"/>
  <c r="N579" i="8"/>
  <c r="Q579" i="8"/>
  <c r="P579" i="8" s="1"/>
  <c r="N578" i="8"/>
  <c r="Q578" i="8"/>
  <c r="P578" i="8" s="1"/>
  <c r="N573" i="8"/>
  <c r="Q573" i="8"/>
  <c r="P573" i="8" s="1"/>
  <c r="N572" i="8"/>
  <c r="Q572" i="8"/>
  <c r="P572" i="8" s="1"/>
  <c r="N575" i="8"/>
  <c r="Q575" i="8"/>
  <c r="P575" i="8" s="1"/>
  <c r="N570" i="8"/>
  <c r="Q570" i="8"/>
  <c r="P570" i="8" s="1"/>
  <c r="Q574" i="8"/>
  <c r="P574" i="8" s="1"/>
  <c r="N574" i="8"/>
  <c r="Q568" i="8"/>
  <c r="P568" i="8" s="1"/>
  <c r="N568" i="8"/>
  <c r="N576" i="8"/>
  <c r="Q576" i="8"/>
  <c r="P576" i="8" s="1"/>
  <c r="Q571" i="8"/>
  <c r="P571" i="8" s="1"/>
  <c r="N571" i="8"/>
  <c r="N569" i="8"/>
  <c r="Q569" i="8"/>
  <c r="P569" i="8" s="1"/>
  <c r="GN11" i="7"/>
  <c r="GO11" i="7"/>
  <c r="GP11" i="7"/>
  <c r="GQ11" i="7"/>
  <c r="GR11" i="7"/>
  <c r="GS11" i="7"/>
  <c r="GN11" i="6"/>
  <c r="GO11" i="6"/>
  <c r="GP11" i="6"/>
  <c r="GQ11" i="6"/>
  <c r="GR11" i="6"/>
  <c r="GS11" i="6"/>
  <c r="GN11" i="41"/>
  <c r="GO11" i="41"/>
  <c r="GP11" i="41"/>
  <c r="GQ11" i="41"/>
  <c r="GR11" i="41"/>
  <c r="GS11" i="41"/>
  <c r="GN11" i="11"/>
  <c r="GO11" i="11"/>
  <c r="GP11" i="11"/>
  <c r="GQ11" i="11"/>
  <c r="GR11" i="11"/>
  <c r="GS11" i="11"/>
  <c r="AE560" i="8"/>
  <c r="AG560" i="8" s="1"/>
  <c r="R560" i="8" s="1"/>
  <c r="AE561" i="8"/>
  <c r="AG561" i="8" s="1"/>
  <c r="R561" i="8" s="1"/>
  <c r="AE562" i="8"/>
  <c r="AG562" i="8" s="1"/>
  <c r="R562" i="8" s="1"/>
  <c r="AE563" i="8"/>
  <c r="AG563" i="8" s="1"/>
  <c r="R563" i="8" s="1"/>
  <c r="AE564" i="8"/>
  <c r="AG564" i="8" s="1"/>
  <c r="R564" i="8" s="1"/>
  <c r="AE565" i="8"/>
  <c r="AG565" i="8" s="1"/>
  <c r="R565" i="8" s="1"/>
  <c r="R566" i="8"/>
  <c r="Q566" i="8"/>
  <c r="O560" i="8"/>
  <c r="O561" i="8"/>
  <c r="O562" i="8"/>
  <c r="O563" i="8"/>
  <c r="O564" i="8"/>
  <c r="O565" i="8"/>
  <c r="O566" i="8"/>
  <c r="N566" i="8"/>
  <c r="GN11" i="5"/>
  <c r="GO11" i="5"/>
  <c r="GP11" i="5"/>
  <c r="GQ11" i="5"/>
  <c r="GR11" i="5"/>
  <c r="GS11" i="5"/>
  <c r="P566" i="8" l="1"/>
  <c r="GN11" i="16"/>
  <c r="GO11" i="16"/>
  <c r="GP11" i="16"/>
  <c r="GQ11" i="16"/>
  <c r="GR11" i="16"/>
  <c r="GS11" i="16"/>
  <c r="GN11" i="4"/>
  <c r="GO11" i="4"/>
  <c r="GP11" i="4"/>
  <c r="GQ11" i="4"/>
  <c r="GR11" i="4"/>
  <c r="GS11" i="4"/>
  <c r="GN11" i="3"/>
  <c r="GO11" i="3"/>
  <c r="GP11" i="3"/>
  <c r="GQ11" i="3"/>
  <c r="GR11" i="3"/>
  <c r="GS11" i="3"/>
  <c r="AI561" i="8"/>
  <c r="AI560" i="8"/>
  <c r="AI562" i="8"/>
  <c r="AI563" i="8"/>
  <c r="AI564" i="8"/>
  <c r="AI565" i="8"/>
  <c r="AD563" i="8"/>
  <c r="AF563" i="8" s="1"/>
  <c r="AH563" i="8" s="1"/>
  <c r="Q563" i="8" s="1"/>
  <c r="P563" i="8" s="1"/>
  <c r="AF564" i="8"/>
  <c r="AH564" i="8" s="1"/>
  <c r="Q564" i="8" s="1"/>
  <c r="P564" i="8" s="1"/>
  <c r="AF565" i="8"/>
  <c r="AH565" i="8" s="1"/>
  <c r="N565" i="8" s="1"/>
  <c r="AD560" i="8"/>
  <c r="AF560" i="8" s="1"/>
  <c r="AH560" i="8" s="1"/>
  <c r="AD561" i="8"/>
  <c r="AF561" i="8" s="1"/>
  <c r="AH561" i="8" s="1"/>
  <c r="AD562" i="8"/>
  <c r="AF562" i="8" s="1"/>
  <c r="AH562" i="8" s="1"/>
  <c r="Q562" i="8" s="1"/>
  <c r="P562" i="8" s="1"/>
  <c r="GN11" i="2"/>
  <c r="GO11" i="2"/>
  <c r="GP11" i="2"/>
  <c r="GQ11" i="2"/>
  <c r="GR11" i="2"/>
  <c r="GS11" i="2"/>
  <c r="N560" i="8" l="1"/>
  <c r="Q560" i="8"/>
  <c r="P560" i="8" s="1"/>
  <c r="Q561" i="8"/>
  <c r="P561" i="8" s="1"/>
  <c r="N561" i="8"/>
  <c r="Q565" i="8"/>
  <c r="P565" i="8" s="1"/>
  <c r="N564" i="8"/>
  <c r="N562" i="8"/>
  <c r="N563" i="8"/>
  <c r="AD553" i="8"/>
  <c r="AF553" i="8" s="1"/>
  <c r="AH553" i="8" s="1"/>
  <c r="AD554" i="8"/>
  <c r="AF554" i="8" s="1"/>
  <c r="AH554" i="8" s="1"/>
  <c r="AD555" i="8"/>
  <c r="AF555" i="8" s="1"/>
  <c r="AH555" i="8" s="1"/>
  <c r="AD556" i="8"/>
  <c r="AF556" i="8" s="1"/>
  <c r="AH556" i="8" s="1"/>
  <c r="AD557" i="8"/>
  <c r="AF557" i="8" s="1"/>
  <c r="AH557" i="8" s="1"/>
  <c r="AD558" i="8"/>
  <c r="AF558" i="8" s="1"/>
  <c r="AH558" i="8" s="1"/>
  <c r="AD559" i="8"/>
  <c r="AF559" i="8" s="1"/>
  <c r="AH559" i="8" s="1"/>
  <c r="Q559" i="8" s="1"/>
  <c r="P559" i="8" s="1"/>
  <c r="R552" i="8"/>
  <c r="AE553" i="8"/>
  <c r="AG553" i="8"/>
  <c r="R553" i="8" s="1"/>
  <c r="AE554" i="8"/>
  <c r="AG554" i="8" s="1"/>
  <c r="R554" i="8" s="1"/>
  <c r="AE555" i="8"/>
  <c r="AG555" i="8"/>
  <c r="R555" i="8" s="1"/>
  <c r="AE556" i="8"/>
  <c r="AG556" i="8" s="1"/>
  <c r="R556" i="8" s="1"/>
  <c r="AE557" i="8"/>
  <c r="AG557" i="8"/>
  <c r="R557" i="8" s="1"/>
  <c r="AE558" i="8"/>
  <c r="AG558" i="8" s="1"/>
  <c r="R558" i="8" s="1"/>
  <c r="AE559" i="8"/>
  <c r="AG559" i="8" s="1"/>
  <c r="R559" i="8" s="1"/>
  <c r="O552" i="8"/>
  <c r="O553" i="8"/>
  <c r="O554" i="8"/>
  <c r="O555" i="8"/>
  <c r="O556" i="8"/>
  <c r="O557" i="8"/>
  <c r="O558" i="8"/>
  <c r="O559" i="8"/>
  <c r="AI553" i="8"/>
  <c r="AI554" i="8"/>
  <c r="AI555" i="8"/>
  <c r="AI556" i="8"/>
  <c r="AI557" i="8"/>
  <c r="AI558" i="8"/>
  <c r="AI559" i="8"/>
  <c r="AI551" i="8"/>
  <c r="GF11" i="5"/>
  <c r="GG11" i="5"/>
  <c r="GH11" i="5"/>
  <c r="GI11" i="5"/>
  <c r="GJ11" i="5"/>
  <c r="GK11" i="5"/>
  <c r="GL11" i="5"/>
  <c r="GM11" i="5"/>
  <c r="N555" i="8" l="1"/>
  <c r="Q555" i="8"/>
  <c r="P555" i="8" s="1"/>
  <c r="N559" i="8"/>
  <c r="N554" i="8"/>
  <c r="Q554" i="8"/>
  <c r="P554" i="8" s="1"/>
  <c r="Q557" i="8"/>
  <c r="P557" i="8" s="1"/>
  <c r="N557" i="8"/>
  <c r="N556" i="8"/>
  <c r="Q556" i="8"/>
  <c r="P556" i="8" s="1"/>
  <c r="Q553" i="8"/>
  <c r="P553" i="8" s="1"/>
  <c r="N553" i="8"/>
  <c r="N558" i="8"/>
  <c r="Q558" i="8"/>
  <c r="P558" i="8" s="1"/>
  <c r="N552" i="8"/>
  <c r="Q552" i="8"/>
  <c r="P552" i="8" s="1"/>
  <c r="GF11" i="2"/>
  <c r="GG11" i="2"/>
  <c r="GH11" i="2"/>
  <c r="GI11" i="2"/>
  <c r="GJ11" i="2"/>
  <c r="GK11" i="2"/>
  <c r="GL11" i="2"/>
  <c r="GM11" i="2"/>
  <c r="FR29" i="1"/>
  <c r="FS29" i="1"/>
  <c r="FT29" i="1"/>
  <c r="FU29" i="1"/>
  <c r="FV29" i="1"/>
  <c r="FW29" i="1"/>
  <c r="FX29" i="1"/>
  <c r="FY29" i="1"/>
  <c r="FZ29" i="1"/>
  <c r="GA29" i="1"/>
  <c r="GB29" i="1"/>
  <c r="GC29" i="1"/>
  <c r="GD29" i="1"/>
  <c r="GE29" i="1"/>
  <c r="GF29" i="1"/>
  <c r="GG29" i="1"/>
  <c r="GH29" i="1"/>
  <c r="GI29" i="1"/>
  <c r="GJ29" i="1"/>
  <c r="GK29" i="1"/>
  <c r="GL29" i="1"/>
  <c r="GM29" i="1"/>
  <c r="FL11" i="1"/>
  <c r="FM11" i="1"/>
  <c r="FN11" i="1"/>
  <c r="FO11" i="1"/>
  <c r="FP11" i="1"/>
  <c r="FQ11" i="1"/>
  <c r="FR11" i="1"/>
  <c r="FS11" i="1"/>
  <c r="FT11" i="1"/>
  <c r="FU11" i="1"/>
  <c r="FV11" i="1"/>
  <c r="FW11" i="1"/>
  <c r="FX11" i="1"/>
  <c r="FY11" i="1"/>
  <c r="FZ11" i="1"/>
  <c r="GA11" i="1"/>
  <c r="GB11" i="1"/>
  <c r="GC11" i="1"/>
  <c r="GD11" i="1"/>
  <c r="GE11" i="1"/>
  <c r="GF11" i="1"/>
  <c r="GG11" i="1"/>
  <c r="GH11" i="1"/>
  <c r="GI11" i="1"/>
  <c r="GJ11" i="1"/>
  <c r="GK11" i="1"/>
  <c r="GL11" i="1"/>
  <c r="GM11" i="1"/>
  <c r="GF11" i="7"/>
  <c r="GG11" i="7"/>
  <c r="GH11" i="7"/>
  <c r="GI11" i="7"/>
  <c r="GJ11" i="7"/>
  <c r="GK11" i="7"/>
  <c r="GL11" i="7"/>
  <c r="GF11" i="6"/>
  <c r="GG11" i="6"/>
  <c r="GH11" i="6"/>
  <c r="GI11" i="6"/>
  <c r="GJ11" i="6"/>
  <c r="GK11" i="6"/>
  <c r="GL11" i="6"/>
  <c r="GM11" i="6"/>
  <c r="GF11" i="16"/>
  <c r="GG11" i="16"/>
  <c r="GH11" i="16"/>
  <c r="GI11" i="16"/>
  <c r="GJ11" i="16"/>
  <c r="GK11" i="16"/>
  <c r="GL11" i="16"/>
  <c r="GM11" i="16"/>
  <c r="GG11" i="4"/>
  <c r="GH11" i="4"/>
  <c r="GI11" i="4"/>
  <c r="GJ11" i="4"/>
  <c r="GK11" i="4"/>
  <c r="GL11" i="4"/>
  <c r="GM11" i="4"/>
  <c r="GF11" i="3"/>
  <c r="GG11" i="3"/>
  <c r="GH11" i="3"/>
  <c r="GI11" i="3"/>
  <c r="GJ11" i="3"/>
  <c r="GK11" i="3"/>
  <c r="GL11" i="3"/>
  <c r="GM11" i="3"/>
  <c r="GF11" i="41"/>
  <c r="GG11" i="41"/>
  <c r="GH11" i="41"/>
  <c r="GI11" i="41"/>
  <c r="GJ11" i="41"/>
  <c r="GK11" i="41"/>
  <c r="GL11" i="41"/>
  <c r="GM11" i="41"/>
  <c r="GM11" i="11"/>
  <c r="GF11" i="11"/>
  <c r="GG11" i="11"/>
  <c r="GH11" i="11"/>
  <c r="GI11" i="11"/>
  <c r="GJ11" i="11"/>
  <c r="GK11" i="11"/>
  <c r="GL11" i="11"/>
  <c r="O546" i="8"/>
  <c r="O547" i="8"/>
  <c r="O548" i="8"/>
  <c r="O549" i="8"/>
  <c r="O550" i="8"/>
  <c r="O551" i="8"/>
  <c r="AD546" i="8"/>
  <c r="AF546" i="8" s="1"/>
  <c r="AH546" i="8" s="1"/>
  <c r="FZ11" i="4"/>
  <c r="GA11" i="4"/>
  <c r="GB11" i="4"/>
  <c r="GC11" i="4"/>
  <c r="GD11" i="4"/>
  <c r="GE11" i="4"/>
  <c r="AE546" i="8"/>
  <c r="AG546" i="8" s="1"/>
  <c r="R546" i="8" s="1"/>
  <c r="AI546" i="8"/>
  <c r="AE547" i="8"/>
  <c r="AG547" i="8"/>
  <c r="R547" i="8" s="1"/>
  <c r="AI547" i="8"/>
  <c r="AE548" i="8"/>
  <c r="AG548" i="8"/>
  <c r="R548" i="8" s="1"/>
  <c r="AI548" i="8"/>
  <c r="AE549" i="8"/>
  <c r="AG549" i="8" s="1"/>
  <c r="R549" i="8" s="1"/>
  <c r="AI549" i="8"/>
  <c r="AE550" i="8"/>
  <c r="AG550" i="8" s="1"/>
  <c r="R550" i="8" s="1"/>
  <c r="AI550" i="8"/>
  <c r="AE551" i="8"/>
  <c r="AG551" i="8"/>
  <c r="R551" i="8" s="1"/>
  <c r="AD538" i="8"/>
  <c r="AD551" i="8"/>
  <c r="AF551" i="8" s="1"/>
  <c r="AH551" i="8" s="1"/>
  <c r="AD547" i="8"/>
  <c r="AF547" i="8" s="1"/>
  <c r="AH547" i="8" s="1"/>
  <c r="AD548" i="8"/>
  <c r="AF548" i="8" s="1"/>
  <c r="AH548" i="8" s="1"/>
  <c r="AD549" i="8"/>
  <c r="AF549" i="8" s="1"/>
  <c r="AH549" i="8" s="1"/>
  <c r="AD550" i="8"/>
  <c r="AF550" i="8" s="1"/>
  <c r="AH550" i="8" s="1"/>
  <c r="N551" i="8" l="1"/>
  <c r="Q551" i="8"/>
  <c r="P551" i="8" s="1"/>
  <c r="N546" i="8"/>
  <c r="Q546" i="8"/>
  <c r="P546" i="8" s="1"/>
  <c r="Q550" i="8"/>
  <c r="P550" i="8" s="1"/>
  <c r="N550" i="8"/>
  <c r="Q549" i="8"/>
  <c r="P549" i="8" s="1"/>
  <c r="N549" i="8"/>
  <c r="Q548" i="8"/>
  <c r="P548" i="8" s="1"/>
  <c r="N548" i="8"/>
  <c r="N547" i="8"/>
  <c r="Q547" i="8"/>
  <c r="P547" i="8" s="1"/>
  <c r="FY11" i="7"/>
  <c r="FZ11" i="7"/>
  <c r="GA11" i="7"/>
  <c r="GB11" i="7"/>
  <c r="GC11" i="7"/>
  <c r="GD11" i="7"/>
  <c r="GE11" i="7"/>
  <c r="FZ11" i="6"/>
  <c r="GA11" i="6"/>
  <c r="GB11" i="6"/>
  <c r="GC11" i="6"/>
  <c r="GD11" i="6"/>
  <c r="GE11" i="6"/>
  <c r="FZ11" i="5"/>
  <c r="GA11" i="5"/>
  <c r="GB11" i="5"/>
  <c r="GC11" i="5"/>
  <c r="GD11" i="5"/>
  <c r="GE11" i="5"/>
  <c r="FZ11" i="16"/>
  <c r="GA11" i="16"/>
  <c r="GB11" i="16"/>
  <c r="GC11" i="16"/>
  <c r="GD11" i="16"/>
  <c r="GE11" i="16"/>
  <c r="FZ11" i="3"/>
  <c r="GA11" i="3"/>
  <c r="GB11" i="3"/>
  <c r="GC11" i="3"/>
  <c r="GD11" i="3"/>
  <c r="GE11" i="3"/>
  <c r="FZ11" i="2"/>
  <c r="GA11" i="2"/>
  <c r="GB11" i="2"/>
  <c r="GC11" i="2"/>
  <c r="GD11" i="2"/>
  <c r="GE11" i="2"/>
  <c r="FZ11" i="41"/>
  <c r="GA11" i="41"/>
  <c r="GB11" i="41"/>
  <c r="GC11" i="41"/>
  <c r="GD11" i="41"/>
  <c r="GE11" i="41"/>
  <c r="FZ11" i="11"/>
  <c r="GA11" i="11"/>
  <c r="GB11" i="11"/>
  <c r="GC11" i="11"/>
  <c r="GD11" i="11"/>
  <c r="GE11" i="11"/>
  <c r="FW11" i="41"/>
  <c r="FX11" i="41"/>
  <c r="FY11" i="41"/>
  <c r="FR11" i="41"/>
  <c r="FS11" i="41"/>
  <c r="FT11" i="41"/>
  <c r="FU11" i="41"/>
  <c r="FV11" i="41"/>
  <c r="E11" i="11"/>
  <c r="D11" i="11"/>
  <c r="O539" i="8"/>
  <c r="O540" i="8"/>
  <c r="O541" i="8"/>
  <c r="O542" i="8"/>
  <c r="O543" i="8"/>
  <c r="O544" i="8"/>
  <c r="O545" i="8"/>
  <c r="FL11" i="2"/>
  <c r="FR11" i="11"/>
  <c r="FS11" i="11"/>
  <c r="FT11" i="11"/>
  <c r="FU11" i="11"/>
  <c r="FV11" i="11"/>
  <c r="FW11" i="11"/>
  <c r="FX11" i="11"/>
  <c r="FY11" i="11"/>
  <c r="AD539" i="8"/>
  <c r="AF539" i="8" s="1"/>
  <c r="AH539" i="8" s="1"/>
  <c r="AD540" i="8"/>
  <c r="AF540" i="8" s="1"/>
  <c r="AH540" i="8" s="1"/>
  <c r="Q540" i="8" s="1"/>
  <c r="AD541" i="8"/>
  <c r="AF541" i="8" s="1"/>
  <c r="AH541" i="8" s="1"/>
  <c r="Q541" i="8" s="1"/>
  <c r="AD542" i="8"/>
  <c r="AF542" i="8" s="1"/>
  <c r="AH542" i="8" s="1"/>
  <c r="N542" i="8" s="1"/>
  <c r="AD543" i="8"/>
  <c r="AF543" i="8" s="1"/>
  <c r="AH543" i="8" s="1"/>
  <c r="AD544" i="8"/>
  <c r="AF544" i="8" s="1"/>
  <c r="AH544" i="8" s="1"/>
  <c r="N544" i="8" s="1"/>
  <c r="AD545" i="8"/>
  <c r="AF545" i="8" s="1"/>
  <c r="AH545" i="8" s="1"/>
  <c r="Q545" i="8" s="1"/>
  <c r="FS11" i="3"/>
  <c r="AE539" i="8"/>
  <c r="AG539" i="8" s="1"/>
  <c r="R539" i="8" s="1"/>
  <c r="AI539" i="8"/>
  <c r="AE540" i="8"/>
  <c r="AG540" i="8" s="1"/>
  <c r="R540" i="8" s="1"/>
  <c r="AI540" i="8"/>
  <c r="AE541" i="8"/>
  <c r="AG541" i="8" s="1"/>
  <c r="AI541" i="8"/>
  <c r="AE542" i="8"/>
  <c r="AG542" i="8" s="1"/>
  <c r="R542" i="8" s="1"/>
  <c r="AI542" i="8"/>
  <c r="AE543" i="8"/>
  <c r="AG543" i="8" s="1"/>
  <c r="R543" i="8" s="1"/>
  <c r="AI543" i="8"/>
  <c r="AE544" i="8"/>
  <c r="AG544" i="8" s="1"/>
  <c r="R544" i="8" s="1"/>
  <c r="AI544" i="8"/>
  <c r="AE545" i="8"/>
  <c r="AG545" i="8" s="1"/>
  <c r="AI545" i="8"/>
  <c r="N541" i="8" l="1"/>
  <c r="N545" i="8"/>
  <c r="R545" i="8"/>
  <c r="P545" i="8" s="1"/>
  <c r="N539" i="8"/>
  <c r="Q539" i="8"/>
  <c r="P539" i="8" s="1"/>
  <c r="N543" i="8"/>
  <c r="Q543" i="8"/>
  <c r="P543" i="8" s="1"/>
  <c r="P540" i="8"/>
  <c r="R541" i="8"/>
  <c r="P541" i="8" s="1"/>
  <c r="N540" i="8"/>
  <c r="Q544" i="8"/>
  <c r="P544" i="8" s="1"/>
  <c r="Q542" i="8"/>
  <c r="P542" i="8" s="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6" i="8"/>
  <c r="N433" i="8"/>
  <c r="N445" i="8"/>
  <c r="N446" i="8"/>
  <c r="N447" i="8"/>
  <c r="N454" i="8"/>
  <c r="N461" i="8"/>
  <c r="N468" i="8"/>
  <c r="N496" i="8"/>
  <c r="N510" i="8"/>
  <c r="N513" i="8"/>
  <c r="N514" i="8"/>
  <c r="N515" i="8"/>
  <c r="N517" i="8"/>
  <c r="N524" i="8"/>
  <c r="N538" i="8"/>
  <c r="O532" i="8"/>
  <c r="O533" i="8"/>
  <c r="O534" i="8"/>
  <c r="O535" i="8"/>
  <c r="O536" i="8"/>
  <c r="O537" i="8"/>
  <c r="O538" i="8"/>
  <c r="Q538" i="8"/>
  <c r="R538" i="8"/>
  <c r="FM11" i="4"/>
  <c r="FN11" i="4"/>
  <c r="FO11" i="4"/>
  <c r="FP11" i="4"/>
  <c r="FQ11" i="4"/>
  <c r="FL11" i="4"/>
  <c r="AI532" i="8"/>
  <c r="AE532" i="8"/>
  <c r="AG532" i="8" s="1"/>
  <c r="R532" i="8" s="1"/>
  <c r="AE533" i="8"/>
  <c r="AG533" i="8" s="1"/>
  <c r="R533" i="8" s="1"/>
  <c r="AI533" i="8"/>
  <c r="AE534" i="8"/>
  <c r="AG534" i="8" s="1"/>
  <c r="R534" i="8" s="1"/>
  <c r="AI534" i="8"/>
  <c r="AE535" i="8"/>
  <c r="AG535" i="8" s="1"/>
  <c r="R535" i="8" s="1"/>
  <c r="AI535" i="8"/>
  <c r="AE536" i="8"/>
  <c r="AG536" i="8" s="1"/>
  <c r="R536" i="8" s="1"/>
  <c r="AI536" i="8"/>
  <c r="AE537" i="8"/>
  <c r="AG537" i="8" s="1"/>
  <c r="R537" i="8" s="1"/>
  <c r="AI537" i="8"/>
  <c r="AD532" i="8"/>
  <c r="AF532" i="8" s="1"/>
  <c r="AH532" i="8" s="1"/>
  <c r="AD536" i="8" l="1"/>
  <c r="AF536" i="8" s="1"/>
  <c r="AH536" i="8" s="1"/>
  <c r="AD534" i="8"/>
  <c r="AF534" i="8" s="1"/>
  <c r="AH534" i="8" s="1"/>
  <c r="AD533" i="8"/>
  <c r="AF533" i="8" s="1"/>
  <c r="AH533" i="8" s="1"/>
  <c r="AD537" i="8"/>
  <c r="AF537" i="8" s="1"/>
  <c r="AH537" i="8" s="1"/>
  <c r="AD535" i="8"/>
  <c r="AF535" i="8" s="1"/>
  <c r="AH535" i="8" s="1"/>
  <c r="N532" i="8"/>
  <c r="Q532" i="8"/>
  <c r="P532" i="8" s="1"/>
  <c r="P538" i="8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29" i="1"/>
  <c r="FM29" i="1"/>
  <c r="FN29" i="1"/>
  <c r="FO29" i="1"/>
  <c r="FP29" i="1"/>
  <c r="FQ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Q524" i="8"/>
  <c r="R524" i="8"/>
  <c r="O525" i="8"/>
  <c r="O526" i="8"/>
  <c r="O527" i="8"/>
  <c r="O528" i="8"/>
  <c r="O529" i="8"/>
  <c r="O530" i="8"/>
  <c r="O531" i="8"/>
  <c r="AI524" i="8"/>
  <c r="AI525" i="8"/>
  <c r="AI526" i="8"/>
  <c r="AI527" i="8"/>
  <c r="AI528" i="8"/>
  <c r="AI529" i="8"/>
  <c r="AI530" i="8"/>
  <c r="AI531" i="8"/>
  <c r="AE525" i="8"/>
  <c r="AG525" i="8" s="1"/>
  <c r="R525" i="8" s="1"/>
  <c r="AE526" i="8"/>
  <c r="AG526" i="8" s="1"/>
  <c r="R526" i="8" s="1"/>
  <c r="AE527" i="8"/>
  <c r="AG527" i="8" s="1"/>
  <c r="R527" i="8" s="1"/>
  <c r="AE528" i="8"/>
  <c r="AG528" i="8" s="1"/>
  <c r="R528" i="8" s="1"/>
  <c r="AE529" i="8"/>
  <c r="AG529" i="8"/>
  <c r="R529" i="8" s="1"/>
  <c r="AE530" i="8"/>
  <c r="AG530" i="8" s="1"/>
  <c r="R530" i="8" s="1"/>
  <c r="AE531" i="8"/>
  <c r="AG531" i="8" s="1"/>
  <c r="R531" i="8" s="1"/>
  <c r="AD524" i="8"/>
  <c r="AD525" i="8"/>
  <c r="AF525" i="8" s="1"/>
  <c r="AH525" i="8" s="1"/>
  <c r="AD526" i="8"/>
  <c r="AF526" i="8" s="1"/>
  <c r="AH526" i="8" s="1"/>
  <c r="AD527" i="8"/>
  <c r="AF527" i="8" s="1"/>
  <c r="AH527" i="8" s="1"/>
  <c r="AD528" i="8"/>
  <c r="AF528" i="8" s="1"/>
  <c r="AH528" i="8" s="1"/>
  <c r="AD529" i="8"/>
  <c r="AF529" i="8" s="1"/>
  <c r="AH529" i="8" s="1"/>
  <c r="AD530" i="8"/>
  <c r="AF530" i="8" s="1"/>
  <c r="AH530" i="8" s="1"/>
  <c r="P524" i="8" l="1"/>
  <c r="Q535" i="8"/>
  <c r="P535" i="8" s="1"/>
  <c r="N535" i="8"/>
  <c r="Q537" i="8"/>
  <c r="P537" i="8" s="1"/>
  <c r="N537" i="8"/>
  <c r="Q533" i="8"/>
  <c r="P533" i="8" s="1"/>
  <c r="N533" i="8"/>
  <c r="Q534" i="8"/>
  <c r="P534" i="8" s="1"/>
  <c r="N534" i="8"/>
  <c r="Q536" i="8"/>
  <c r="P536" i="8" s="1"/>
  <c r="N536" i="8"/>
  <c r="AD531" i="8"/>
  <c r="AF531" i="8" s="1"/>
  <c r="AH531" i="8" s="1"/>
  <c r="N528" i="8"/>
  <c r="Q528" i="8"/>
  <c r="P528" i="8" s="1"/>
  <c r="N530" i="8"/>
  <c r="Q530" i="8"/>
  <c r="P530" i="8" s="1"/>
  <c r="N525" i="8"/>
  <c r="Q525" i="8"/>
  <c r="P525" i="8" s="1"/>
  <c r="N526" i="8"/>
  <c r="Q526" i="8"/>
  <c r="P526" i="8" s="1"/>
  <c r="N529" i="8"/>
  <c r="Q529" i="8"/>
  <c r="P529" i="8" s="1"/>
  <c r="N527" i="8"/>
  <c r="Q527" i="8"/>
  <c r="P527" i="8" s="1"/>
  <c r="FD11" i="7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Q517" i="8"/>
  <c r="R517" i="8"/>
  <c r="O518" i="8"/>
  <c r="O519" i="8"/>
  <c r="O520" i="8"/>
  <c r="O521" i="8"/>
  <c r="O522" i="8"/>
  <c r="O523" i="8"/>
  <c r="AD521" i="8"/>
  <c r="AF521" i="8" s="1"/>
  <c r="AH521" i="8" s="1"/>
  <c r="AI519" i="8"/>
  <c r="AI520" i="8"/>
  <c r="AI521" i="8"/>
  <c r="AI522" i="8"/>
  <c r="AI523" i="8"/>
  <c r="AI518" i="8"/>
  <c r="AE518" i="8"/>
  <c r="AG518" i="8" s="1"/>
  <c r="R518" i="8" s="1"/>
  <c r="AE519" i="8"/>
  <c r="AG519" i="8" s="1"/>
  <c r="R519" i="8" s="1"/>
  <c r="AE520" i="8"/>
  <c r="AG520" i="8"/>
  <c r="R520" i="8" s="1"/>
  <c r="AE521" i="8"/>
  <c r="AG521" i="8" s="1"/>
  <c r="R521" i="8" s="1"/>
  <c r="AE522" i="8"/>
  <c r="AG522" i="8" s="1"/>
  <c r="R522" i="8" s="1"/>
  <c r="AE523" i="8"/>
  <c r="AG523" i="8" s="1"/>
  <c r="R523" i="8" s="1"/>
  <c r="AD518" i="8"/>
  <c r="AF518" i="8" s="1"/>
  <c r="AH518" i="8" s="1"/>
  <c r="AD519" i="8"/>
  <c r="AF519" i="8" s="1"/>
  <c r="AH519" i="8" s="1"/>
  <c r="AD520" i="8"/>
  <c r="AF520" i="8" s="1"/>
  <c r="AH520" i="8" s="1"/>
  <c r="AD522" i="8"/>
  <c r="AF522" i="8" s="1"/>
  <c r="AH522" i="8" s="1"/>
  <c r="AD523" i="8"/>
  <c r="AF523" i="8" s="1"/>
  <c r="AH523" i="8" s="1"/>
  <c r="N531" i="8" l="1"/>
  <c r="Q531" i="8"/>
  <c r="P531" i="8" s="1"/>
  <c r="P517" i="8"/>
  <c r="N518" i="8"/>
  <c r="Q518" i="8"/>
  <c r="P518" i="8" s="1"/>
  <c r="N520" i="8"/>
  <c r="Q520" i="8"/>
  <c r="P520" i="8" s="1"/>
  <c r="N521" i="8"/>
  <c r="Q521" i="8"/>
  <c r="P521" i="8" s="1"/>
  <c r="N522" i="8"/>
  <c r="Q522" i="8"/>
  <c r="P522" i="8" s="1"/>
  <c r="N519" i="8"/>
  <c r="Q519" i="8"/>
  <c r="P519" i="8" s="1"/>
  <c r="Q523" i="8"/>
  <c r="P523" i="8" s="1"/>
  <c r="N523" i="8"/>
  <c r="ER11" i="7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E497" i="8"/>
  <c r="AG497" i="8" s="1"/>
  <c r="R497" i="8" s="1"/>
  <c r="AE498" i="8"/>
  <c r="AG498" i="8" s="1"/>
  <c r="R498" i="8" s="1"/>
  <c r="AE499" i="8"/>
  <c r="AG499" i="8" s="1"/>
  <c r="R499" i="8" s="1"/>
  <c r="AE500" i="8"/>
  <c r="AG500" i="8"/>
  <c r="R500" i="8" s="1"/>
  <c r="AE501" i="8"/>
  <c r="AG501" i="8" s="1"/>
  <c r="R501" i="8" s="1"/>
  <c r="AE502" i="8"/>
  <c r="AG502" i="8" s="1"/>
  <c r="R502" i="8" s="1"/>
  <c r="AE503" i="8"/>
  <c r="AG503" i="8" s="1"/>
  <c r="R503" i="8" s="1"/>
  <c r="AE504" i="8"/>
  <c r="AG504" i="8" s="1"/>
  <c r="R504" i="8" s="1"/>
  <c r="AE505" i="8"/>
  <c r="AG505" i="8" s="1"/>
  <c r="R505" i="8" s="1"/>
  <c r="AE506" i="8"/>
  <c r="AG506" i="8" s="1"/>
  <c r="R506" i="8" s="1"/>
  <c r="AE507" i="8"/>
  <c r="AG507" i="8" s="1"/>
  <c r="R507" i="8" s="1"/>
  <c r="AE508" i="8"/>
  <c r="AG508" i="8"/>
  <c r="R508" i="8" s="1"/>
  <c r="AE509" i="8"/>
  <c r="AG509" i="8" s="1"/>
  <c r="R509" i="8" s="1"/>
  <c r="R510" i="8"/>
  <c r="AE511" i="8"/>
  <c r="AG511" i="8" s="1"/>
  <c r="R511" i="8" s="1"/>
  <c r="AE512" i="8"/>
  <c r="AG512" i="8" s="1"/>
  <c r="R512" i="8" s="1"/>
  <c r="R513" i="8"/>
  <c r="R514" i="8"/>
  <c r="R515" i="8"/>
  <c r="AE516" i="8"/>
  <c r="AG516" i="8" s="1"/>
  <c r="R516" i="8" s="1"/>
  <c r="AD510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AD497" i="8"/>
  <c r="AF497" i="8" s="1"/>
  <c r="AH497" i="8" s="1"/>
  <c r="AD498" i="8"/>
  <c r="AF498" i="8" s="1"/>
  <c r="AH498" i="8" s="1"/>
  <c r="AD499" i="8"/>
  <c r="AF499" i="8" s="1"/>
  <c r="AH499" i="8" s="1"/>
  <c r="AD500" i="8"/>
  <c r="AF500" i="8" s="1"/>
  <c r="AH500" i="8" s="1"/>
  <c r="AD501" i="8"/>
  <c r="AF501" i="8" s="1"/>
  <c r="AH501" i="8" s="1"/>
  <c r="AD502" i="8"/>
  <c r="AF502" i="8" s="1"/>
  <c r="AH502" i="8" s="1"/>
  <c r="AD503" i="8"/>
  <c r="AF503" i="8" s="1"/>
  <c r="AH503" i="8" s="1"/>
  <c r="AD504" i="8"/>
  <c r="AF504" i="8" s="1"/>
  <c r="AH504" i="8" s="1"/>
  <c r="AD505" i="8"/>
  <c r="AF505" i="8" s="1"/>
  <c r="AH505" i="8" s="1"/>
  <c r="AD506" i="8"/>
  <c r="AF506" i="8" s="1"/>
  <c r="AH506" i="8" s="1"/>
  <c r="N506" i="8" s="1"/>
  <c r="AD507" i="8"/>
  <c r="AF507" i="8" s="1"/>
  <c r="AH507" i="8" s="1"/>
  <c r="N507" i="8" s="1"/>
  <c r="AD508" i="8"/>
  <c r="AF508" i="8" s="1"/>
  <c r="AH508" i="8" s="1"/>
  <c r="AD509" i="8"/>
  <c r="AF509" i="8" s="1"/>
  <c r="AH509" i="8" s="1"/>
  <c r="AD511" i="8"/>
  <c r="AF511" i="8" s="1"/>
  <c r="AH511" i="8" s="1"/>
  <c r="AD512" i="8"/>
  <c r="AF512" i="8" s="1"/>
  <c r="AH512" i="8" s="1"/>
  <c r="AD513" i="8"/>
  <c r="AD514" i="8"/>
  <c r="AD515" i="8"/>
  <c r="AD516" i="8"/>
  <c r="AF516" i="8" s="1"/>
  <c r="AH516" i="8" s="1"/>
  <c r="N505" i="8" l="1"/>
  <c r="N504" i="8"/>
  <c r="N503" i="8"/>
  <c r="N497" i="8"/>
  <c r="N509" i="8"/>
  <c r="N511" i="8"/>
  <c r="N500" i="8"/>
  <c r="N502" i="8"/>
  <c r="N499" i="8"/>
  <c r="N501" i="8"/>
  <c r="N508" i="8"/>
  <c r="N512" i="8"/>
  <c r="N516" i="8"/>
  <c r="N498" i="8"/>
  <c r="Q496" i="8"/>
  <c r="P496" i="8" s="1"/>
  <c r="Q505" i="8"/>
  <c r="P505" i="8" s="1"/>
  <c r="Q502" i="8"/>
  <c r="P502" i="8" s="1"/>
  <c r="Q511" i="8"/>
  <c r="P511" i="8" s="1"/>
  <c r="Q508" i="8"/>
  <c r="P508" i="8" s="1"/>
  <c r="Q512" i="8"/>
  <c r="P512" i="8" s="1"/>
  <c r="Q499" i="8"/>
  <c r="P499" i="8" s="1"/>
  <c r="Q514" i="8"/>
  <c r="P514" i="8" s="1"/>
  <c r="Q501" i="8"/>
  <c r="P501" i="8" s="1"/>
  <c r="Q498" i="8"/>
  <c r="P498" i="8" s="1"/>
  <c r="Q509" i="8"/>
  <c r="P509" i="8" s="1"/>
  <c r="Q506" i="8"/>
  <c r="P506" i="8" s="1"/>
  <c r="Q515" i="8"/>
  <c r="P515" i="8" s="1"/>
  <c r="Q507" i="8"/>
  <c r="P507" i="8" s="1"/>
  <c r="Q504" i="8"/>
  <c r="P504" i="8" s="1"/>
  <c r="Q513" i="8"/>
  <c r="P513" i="8" s="1"/>
  <c r="Q510" i="8"/>
  <c r="P510" i="8" s="1"/>
  <c r="Q497" i="8"/>
  <c r="P497" i="8" s="1"/>
  <c r="Q516" i="8"/>
  <c r="P516" i="8" s="1"/>
  <c r="Q503" i="8"/>
  <c r="P503" i="8" s="1"/>
  <c r="Q500" i="8"/>
  <c r="P500" i="8" s="1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AG482" i="8"/>
  <c r="R482" i="8" s="1"/>
  <c r="AH482" i="8"/>
  <c r="AG487" i="8"/>
  <c r="R487" i="8" s="1"/>
  <c r="AH487" i="8"/>
  <c r="Q487" i="8" s="1"/>
  <c r="AD490" i="8"/>
  <c r="AF490" i="8" s="1"/>
  <c r="AH490" i="8" s="1"/>
  <c r="AD491" i="8"/>
  <c r="AF491" i="8" s="1"/>
  <c r="AH491" i="8" s="1"/>
  <c r="AD492" i="8"/>
  <c r="AF492" i="8" s="1"/>
  <c r="AH492" i="8" s="1"/>
  <c r="AD493" i="8"/>
  <c r="AF493" i="8" s="1"/>
  <c r="AH493" i="8" s="1"/>
  <c r="AD494" i="8"/>
  <c r="AF494" i="8" s="1"/>
  <c r="AH494" i="8" s="1"/>
  <c r="AD495" i="8"/>
  <c r="AF495" i="8" s="1"/>
  <c r="AH495" i="8" s="1"/>
  <c r="AE490" i="8"/>
  <c r="AG490" i="8" s="1"/>
  <c r="R490" i="8" s="1"/>
  <c r="AE491" i="8"/>
  <c r="AG491" i="8" s="1"/>
  <c r="R491" i="8" s="1"/>
  <c r="AE492" i="8"/>
  <c r="AG492" i="8" s="1"/>
  <c r="R492" i="8" s="1"/>
  <c r="AE493" i="8"/>
  <c r="AG493" i="8" s="1"/>
  <c r="R493" i="8" s="1"/>
  <c r="AE494" i="8"/>
  <c r="AG494" i="8" s="1"/>
  <c r="R494" i="8" s="1"/>
  <c r="AE495" i="8"/>
  <c r="AG495" i="8" s="1"/>
  <c r="R495" i="8" s="1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N492" i="8" l="1"/>
  <c r="N491" i="8"/>
  <c r="N482" i="8"/>
  <c r="N490" i="8"/>
  <c r="Q494" i="8"/>
  <c r="P494" i="8" s="1"/>
  <c r="N494" i="8"/>
  <c r="N493" i="8"/>
  <c r="Q482" i="8"/>
  <c r="P482" i="8" s="1"/>
  <c r="Q495" i="8"/>
  <c r="P495" i="8" s="1"/>
  <c r="N495" i="8"/>
  <c r="N487" i="8"/>
  <c r="Q490" i="8"/>
  <c r="P490" i="8" s="1"/>
  <c r="Q493" i="8"/>
  <c r="P493" i="8" s="1"/>
  <c r="Q491" i="8"/>
  <c r="P491" i="8" s="1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AD485" i="8"/>
  <c r="AF485" i="8" s="1"/>
  <c r="AH485" i="8" s="1"/>
  <c r="N485" i="8" s="1"/>
  <c r="AE479" i="8"/>
  <c r="AG479" i="8" s="1"/>
  <c r="R479" i="8" s="1"/>
  <c r="AE480" i="8"/>
  <c r="AG480" i="8" s="1"/>
  <c r="R480" i="8" s="1"/>
  <c r="AE481" i="8"/>
  <c r="AG481" i="8" s="1"/>
  <c r="R481" i="8" s="1"/>
  <c r="AE483" i="8"/>
  <c r="AG483" i="8" s="1"/>
  <c r="R483" i="8" s="1"/>
  <c r="AE484" i="8"/>
  <c r="AG484" i="8" s="1"/>
  <c r="R484" i="8" s="1"/>
  <c r="AE485" i="8"/>
  <c r="AG485" i="8" s="1"/>
  <c r="R485" i="8" s="1"/>
  <c r="AE486" i="8"/>
  <c r="AG486" i="8" s="1"/>
  <c r="R486" i="8" s="1"/>
  <c r="AE488" i="8"/>
  <c r="AG488" i="8" s="1"/>
  <c r="R488" i="8" s="1"/>
  <c r="AE489" i="8"/>
  <c r="AG489" i="8" s="1"/>
  <c r="R489" i="8" s="1"/>
  <c r="AD483" i="8"/>
  <c r="AF483" i="8" s="1"/>
  <c r="AD484" i="8"/>
  <c r="AF484" i="8" s="1"/>
  <c r="AH484" i="8" s="1"/>
  <c r="N484" i="8" s="1"/>
  <c r="AD486" i="8"/>
  <c r="AF486" i="8" s="1"/>
  <c r="AH486" i="8" s="1"/>
  <c r="AD488" i="8"/>
  <c r="AF488" i="8" s="1"/>
  <c r="AH488" i="8" s="1"/>
  <c r="AD489" i="8"/>
  <c r="AF489" i="8" s="1"/>
  <c r="AH489" i="8" s="1"/>
  <c r="N489" i="8" s="1"/>
  <c r="DO11" i="4"/>
  <c r="Q488" i="8" l="1"/>
  <c r="P488" i="8" s="1"/>
  <c r="N488" i="8"/>
  <c r="Q486" i="8"/>
  <c r="P486" i="8" s="1"/>
  <c r="N486" i="8"/>
  <c r="Q484" i="8"/>
  <c r="P484" i="8" s="1"/>
  <c r="Q485" i="8"/>
  <c r="P485" i="8" s="1"/>
  <c r="AH483" i="8"/>
  <c r="Q489" i="8"/>
  <c r="P489" i="8" s="1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E476" i="8"/>
  <c r="AG476" i="8" s="1"/>
  <c r="R476" i="8" s="1"/>
  <c r="AE477" i="8"/>
  <c r="AG477" i="8" s="1"/>
  <c r="R477" i="8" s="1"/>
  <c r="AE478" i="8"/>
  <c r="AG478" i="8" s="1"/>
  <c r="R478" i="8" s="1"/>
  <c r="AD476" i="8"/>
  <c r="AF476" i="8" s="1"/>
  <c r="AH476" i="8" s="1"/>
  <c r="AD477" i="8"/>
  <c r="AF477" i="8" s="1"/>
  <c r="AH477" i="8" s="1"/>
  <c r="AD478" i="8"/>
  <c r="AF478" i="8" s="1"/>
  <c r="AH478" i="8" s="1"/>
  <c r="N478" i="8" s="1"/>
  <c r="AD479" i="8"/>
  <c r="AF479" i="8" s="1"/>
  <c r="AH479" i="8" s="1"/>
  <c r="N479" i="8" s="1"/>
  <c r="AD480" i="8"/>
  <c r="AF480" i="8" s="1"/>
  <c r="AH480" i="8" s="1"/>
  <c r="N480" i="8" s="1"/>
  <c r="AD481" i="8"/>
  <c r="AF481" i="8" s="1"/>
  <c r="AH481" i="8" s="1"/>
  <c r="N481" i="8" s="1"/>
  <c r="N477" i="8" l="1"/>
  <c r="N476" i="8"/>
  <c r="Q483" i="8"/>
  <c r="P483" i="8" s="1"/>
  <c r="N483" i="8"/>
  <c r="Q479" i="8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O470" i="8"/>
  <c r="O471" i="8"/>
  <c r="O472" i="8"/>
  <c r="O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E469" i="8"/>
  <c r="AG469" i="8" s="1"/>
  <c r="R469" i="8" s="1"/>
  <c r="AE470" i="8"/>
  <c r="AG470" i="8" s="1"/>
  <c r="R470" i="8" s="1"/>
  <c r="AE471" i="8"/>
  <c r="AG471" i="8" s="1"/>
  <c r="R471" i="8" s="1"/>
  <c r="AE472" i="8"/>
  <c r="AG472" i="8" s="1"/>
  <c r="R472" i="8" s="1"/>
  <c r="AE473" i="8"/>
  <c r="AG473" i="8" s="1"/>
  <c r="R473" i="8" s="1"/>
  <c r="AE474" i="8"/>
  <c r="AG474" i="8" s="1"/>
  <c r="R474" i="8" s="1"/>
  <c r="AE475" i="8"/>
  <c r="AD468" i="8"/>
  <c r="AD469" i="8"/>
  <c r="AF469" i="8" s="1"/>
  <c r="AH469" i="8" s="1"/>
  <c r="N469" i="8" s="1"/>
  <c r="AD470" i="8"/>
  <c r="AF470" i="8" s="1"/>
  <c r="AH470" i="8" s="1"/>
  <c r="AD471" i="8"/>
  <c r="AF471" i="8" s="1"/>
  <c r="AH471" i="8" s="1"/>
  <c r="N471" i="8" s="1"/>
  <c r="AD472" i="8"/>
  <c r="AF472" i="8" s="1"/>
  <c r="AH472" i="8" s="1"/>
  <c r="AD473" i="8"/>
  <c r="AF473" i="8" s="1"/>
  <c r="AH473" i="8" s="1"/>
  <c r="AD474" i="8"/>
  <c r="AF474" i="8" s="1"/>
  <c r="AH474" i="8" s="1"/>
  <c r="N474" i="8" s="1"/>
  <c r="AD475" i="8"/>
  <c r="AF475" i="8" s="1"/>
  <c r="AH475" i="8" s="1"/>
  <c r="N473" i="8" l="1"/>
  <c r="N472" i="8"/>
  <c r="Q470" i="8"/>
  <c r="P470" i="8" s="1"/>
  <c r="N470" i="8"/>
  <c r="Q473" i="8"/>
  <c r="P473" i="8" s="1"/>
  <c r="Q472" i="8"/>
  <c r="P472" i="8" s="1"/>
  <c r="Q469" i="8"/>
  <c r="P469" i="8" s="1"/>
  <c r="Q474" i="8"/>
  <c r="P474" i="8" s="1"/>
  <c r="AG475" i="8"/>
  <c r="R475" i="8" s="1"/>
  <c r="Q471" i="8"/>
  <c r="P471" i="8" s="1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E462" i="8"/>
  <c r="AG462" i="8" s="1"/>
  <c r="R462" i="8" s="1"/>
  <c r="AE463" i="8"/>
  <c r="AG463" i="8" s="1"/>
  <c r="R463" i="8" s="1"/>
  <c r="AE464" i="8"/>
  <c r="AG464" i="8" s="1"/>
  <c r="R464" i="8" s="1"/>
  <c r="AE465" i="8"/>
  <c r="AG465" i="8" s="1"/>
  <c r="R465" i="8" s="1"/>
  <c r="AE466" i="8"/>
  <c r="AG466" i="8" s="1"/>
  <c r="R466" i="8" s="1"/>
  <c r="AE467" i="8"/>
  <c r="AG467" i="8" s="1"/>
  <c r="R467" i="8" s="1"/>
  <c r="AD467" i="8"/>
  <c r="AF467" i="8" s="1"/>
  <c r="AH467" i="8" s="1"/>
  <c r="AD462" i="8"/>
  <c r="AF462" i="8" s="1"/>
  <c r="AH462" i="8" s="1"/>
  <c r="AD463" i="8"/>
  <c r="AF463" i="8" s="1"/>
  <c r="AH463" i="8" s="1"/>
  <c r="AD464" i="8"/>
  <c r="AF464" i="8" s="1"/>
  <c r="AH464" i="8" s="1"/>
  <c r="AD465" i="8"/>
  <c r="AF465" i="8" s="1"/>
  <c r="AH465" i="8" s="1"/>
  <c r="AD466" i="8"/>
  <c r="AF466" i="8" s="1"/>
  <c r="AH466" i="8" s="1"/>
  <c r="N467" i="8" l="1"/>
  <c r="N466" i="8"/>
  <c r="N475" i="8"/>
  <c r="N465" i="8"/>
  <c r="N464" i="8"/>
  <c r="N463" i="8"/>
  <c r="N462" i="8"/>
  <c r="Q462" i="8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O458" i="8"/>
  <c r="O459" i="8"/>
  <c r="O460" i="8"/>
  <c r="O461" i="8"/>
  <c r="Q461" i="8"/>
  <c r="R461" i="8"/>
  <c r="AE455" i="8"/>
  <c r="AG455" i="8" s="1"/>
  <c r="R455" i="8" s="1"/>
  <c r="AE456" i="8"/>
  <c r="AG456" i="8" s="1"/>
  <c r="R456" i="8" s="1"/>
  <c r="AE457" i="8"/>
  <c r="AG457" i="8" s="1"/>
  <c r="R457" i="8" s="1"/>
  <c r="AE458" i="8"/>
  <c r="AG458" i="8" s="1"/>
  <c r="R458" i="8" s="1"/>
  <c r="AE459" i="8"/>
  <c r="AG459" i="8" s="1"/>
  <c r="R459" i="8" s="1"/>
  <c r="AE460" i="8"/>
  <c r="AG460" i="8" s="1"/>
  <c r="R460" i="8" s="1"/>
  <c r="AD455" i="8"/>
  <c r="AF455" i="8" s="1"/>
  <c r="AH455" i="8" s="1"/>
  <c r="N455" i="8" s="1"/>
  <c r="AD456" i="8"/>
  <c r="AF456" i="8" s="1"/>
  <c r="AH456" i="8" s="1"/>
  <c r="AD457" i="8"/>
  <c r="AF457" i="8" s="1"/>
  <c r="AH457" i="8" s="1"/>
  <c r="AD458" i="8"/>
  <c r="AF458" i="8" s="1"/>
  <c r="AH458" i="8" s="1"/>
  <c r="AD459" i="8"/>
  <c r="AF459" i="8" s="1"/>
  <c r="AH459" i="8" s="1"/>
  <c r="AD460" i="8"/>
  <c r="AF460" i="8" s="1"/>
  <c r="AH460" i="8" s="1"/>
  <c r="N459" i="8" l="1"/>
  <c r="N458" i="8"/>
  <c r="N457" i="8"/>
  <c r="N456" i="8"/>
  <c r="N460" i="8"/>
  <c r="Q460" i="8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O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R446" i="8"/>
  <c r="O447" i="8"/>
  <c r="Q447" i="8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6" i="8" l="1"/>
  <c r="P447" i="8"/>
  <c r="P445" i="8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E448" i="8"/>
  <c r="AG448" i="8" s="1"/>
  <c r="R448" i="8" s="1"/>
  <c r="AE449" i="8"/>
  <c r="AG449" i="8" s="1"/>
  <c r="R449" i="8" s="1"/>
  <c r="AE450" i="8"/>
  <c r="AG450" i="8" s="1"/>
  <c r="R450" i="8" s="1"/>
  <c r="AE451" i="8"/>
  <c r="AG451" i="8" s="1"/>
  <c r="R451" i="8" s="1"/>
  <c r="AE452" i="8"/>
  <c r="AG452" i="8" s="1"/>
  <c r="R452" i="8" s="1"/>
  <c r="AF452" i="8"/>
  <c r="AH452" i="8" s="1"/>
  <c r="N452" i="8" s="1"/>
  <c r="AE453" i="8"/>
  <c r="AG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AD448" i="8"/>
  <c r="AF448" i="8" s="1"/>
  <c r="AH448" i="8" s="1"/>
  <c r="AD449" i="8"/>
  <c r="AF449" i="8" s="1"/>
  <c r="AH449" i="8" s="1"/>
  <c r="AD450" i="8"/>
  <c r="AF450" i="8" s="1"/>
  <c r="AH450" i="8" s="1"/>
  <c r="AD451" i="8"/>
  <c r="AD452" i="8"/>
  <c r="N449" i="8" l="1"/>
  <c r="N448" i="8"/>
  <c r="N450" i="8"/>
  <c r="Q450" i="8"/>
  <c r="P450" i="8" s="1"/>
  <c r="Q449" i="8"/>
  <c r="P449" i="8" s="1"/>
  <c r="Q448" i="8"/>
  <c r="P448" i="8" s="1"/>
  <c r="Q452" i="8"/>
  <c r="P452" i="8" s="1"/>
  <c r="AD453" i="8"/>
  <c r="AF453" i="8" s="1"/>
  <c r="AH453" i="8" s="1"/>
  <c r="N453" i="8" s="1"/>
  <c r="AF451" i="8"/>
  <c r="AH451" i="8" s="1"/>
  <c r="N451" i="8" s="1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E441" i="8"/>
  <c r="AG441" i="8" s="1"/>
  <c r="R441" i="8" s="1"/>
  <c r="AE442" i="8"/>
  <c r="AG442" i="8" s="1"/>
  <c r="R442" i="8" s="1"/>
  <c r="AE443" i="8"/>
  <c r="AG443" i="8" s="1"/>
  <c r="R443" i="8" s="1"/>
  <c r="AE444" i="8"/>
  <c r="AG444" i="8" s="1"/>
  <c r="R444" i="8" s="1"/>
  <c r="O441" i="8"/>
  <c r="O442" i="8"/>
  <c r="O443" i="8"/>
  <c r="O444" i="8"/>
  <c r="Q453" i="8" l="1"/>
  <c r="P453" i="8" s="1"/>
  <c r="Q451" i="8"/>
  <c r="P451" i="8" s="1"/>
  <c r="AD438" i="8"/>
  <c r="AF438" i="8" s="1"/>
  <c r="AH438" i="8" s="1"/>
  <c r="AD439" i="8"/>
  <c r="AF439" i="8" s="1"/>
  <c r="AH439" i="8" s="1"/>
  <c r="AD440" i="8"/>
  <c r="AF440" i="8" s="1"/>
  <c r="AH440" i="8" s="1"/>
  <c r="AD441" i="8"/>
  <c r="AF441" i="8" s="1"/>
  <c r="AH441" i="8" s="1"/>
  <c r="AD442" i="8"/>
  <c r="AF442" i="8" s="1"/>
  <c r="AH442" i="8" s="1"/>
  <c r="N442" i="8" s="1"/>
  <c r="AD443" i="8"/>
  <c r="AF443" i="8" s="1"/>
  <c r="AH443" i="8" s="1"/>
  <c r="AD444" i="8"/>
  <c r="AF444" i="8" s="1"/>
  <c r="AH444" i="8" s="1"/>
  <c r="N444" i="8" s="1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O435" i="8"/>
  <c r="O436" i="8"/>
  <c r="O437" i="8"/>
  <c r="O438" i="8"/>
  <c r="O439" i="8"/>
  <c r="O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E434" i="8"/>
  <c r="AG434" i="8" s="1"/>
  <c r="R434" i="8" s="1"/>
  <c r="AE435" i="8"/>
  <c r="AG435" i="8" s="1"/>
  <c r="R435" i="8" s="1"/>
  <c r="AE436" i="8"/>
  <c r="AG436" i="8" s="1"/>
  <c r="R436" i="8" s="1"/>
  <c r="AE437" i="8"/>
  <c r="AG437" i="8" s="1"/>
  <c r="R437" i="8" s="1"/>
  <c r="AE438" i="8"/>
  <c r="AG438" i="8" s="1"/>
  <c r="R438" i="8" s="1"/>
  <c r="AE439" i="8"/>
  <c r="AG439" i="8" s="1"/>
  <c r="R439" i="8" s="1"/>
  <c r="AE440" i="8"/>
  <c r="AG440" i="8" s="1"/>
  <c r="R440" i="8" s="1"/>
  <c r="AD434" i="8"/>
  <c r="AF434" i="8" s="1"/>
  <c r="AH434" i="8" s="1"/>
  <c r="N434" i="8" s="1"/>
  <c r="AD435" i="8"/>
  <c r="AF435" i="8" s="1"/>
  <c r="AH435" i="8" s="1"/>
  <c r="AD437" i="8"/>
  <c r="AF437" i="8" s="1"/>
  <c r="AH437" i="8" s="1"/>
  <c r="AD436" i="8"/>
  <c r="AF436" i="8" s="1"/>
  <c r="AH436" i="8" s="1"/>
  <c r="N435" i="8" l="1"/>
  <c r="N440" i="8"/>
  <c r="N439" i="8"/>
  <c r="N438" i="8"/>
  <c r="N436" i="8"/>
  <c r="Q443" i="8"/>
  <c r="P443" i="8" s="1"/>
  <c r="N443" i="8"/>
  <c r="Q437" i="8"/>
  <c r="P437" i="8" s="1"/>
  <c r="N437" i="8"/>
  <c r="Q441" i="8"/>
  <c r="P441" i="8" s="1"/>
  <c r="N441" i="8"/>
  <c r="Q442" i="8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AD427" i="8"/>
  <c r="AF427" i="8" s="1"/>
  <c r="AH427" i="8" s="1"/>
  <c r="AD428" i="8"/>
  <c r="AF428" i="8" s="1"/>
  <c r="AH428" i="8" s="1"/>
  <c r="AD429" i="8"/>
  <c r="AF429" i="8" s="1"/>
  <c r="AH429" i="8" s="1"/>
  <c r="AD430" i="8"/>
  <c r="AF430" i="8" s="1"/>
  <c r="AH430" i="8" s="1"/>
  <c r="AD431" i="8"/>
  <c r="AF431" i="8" s="1"/>
  <c r="AH431" i="8" s="1"/>
  <c r="R433" i="8"/>
  <c r="Q433" i="8"/>
  <c r="P433" i="8" s="1"/>
  <c r="O427" i="8"/>
  <c r="O428" i="8"/>
  <c r="O429" i="8"/>
  <c r="O430" i="8"/>
  <c r="O431" i="8"/>
  <c r="O432" i="8"/>
  <c r="O433" i="8"/>
  <c r="AE427" i="8"/>
  <c r="AG427" i="8" s="1"/>
  <c r="R427" i="8" s="1"/>
  <c r="AE428" i="8"/>
  <c r="AG428" i="8" s="1"/>
  <c r="R428" i="8" s="1"/>
  <c r="AE429" i="8"/>
  <c r="AG429" i="8" s="1"/>
  <c r="R429" i="8" s="1"/>
  <c r="AE430" i="8"/>
  <c r="AG430" i="8" s="1"/>
  <c r="R430" i="8" s="1"/>
  <c r="AE431" i="8"/>
  <c r="AG431" i="8" s="1"/>
  <c r="R431" i="8" s="1"/>
  <c r="AE432" i="8"/>
  <c r="AG432" i="8" s="1"/>
  <c r="R432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N427" i="8" l="1"/>
  <c r="N430" i="8"/>
  <c r="N429" i="8"/>
  <c r="N431" i="8"/>
  <c r="N428" i="8"/>
  <c r="AD432" i="8"/>
  <c r="AF432" i="8" s="1"/>
  <c r="AH432" i="8" s="1"/>
  <c r="N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E423" i="8"/>
  <c r="AG423" i="8"/>
  <c r="R423" i="8" s="1"/>
  <c r="AE424" i="8"/>
  <c r="AG424" i="8" s="1"/>
  <c r="R424" i="8" s="1"/>
  <c r="AE425" i="8"/>
  <c r="AG425" i="8" s="1"/>
  <c r="R425" i="8" s="1"/>
  <c r="AD423" i="8"/>
  <c r="AF423" i="8" s="1"/>
  <c r="AH423" i="8" s="1"/>
  <c r="AD424" i="8"/>
  <c r="AF424" i="8" s="1"/>
  <c r="AH424" i="8" s="1"/>
  <c r="AD425" i="8"/>
  <c r="AF425" i="8" s="1"/>
  <c r="AH425" i="8" s="1"/>
  <c r="N425" i="8" l="1"/>
  <c r="Q423" i="8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G419" i="8"/>
  <c r="R419" i="8" s="1"/>
  <c r="AH419" i="8"/>
  <c r="AE420" i="8"/>
  <c r="AG420" i="8" s="1"/>
  <c r="R420" i="8" s="1"/>
  <c r="AE421" i="8"/>
  <c r="AG421" i="8" s="1"/>
  <c r="R421" i="8" s="1"/>
  <c r="AE422" i="8"/>
  <c r="AG422" i="8" s="1"/>
  <c r="AD422" i="8"/>
  <c r="AF422" i="8" s="1"/>
  <c r="AH422" i="8" s="1"/>
  <c r="Q422" i="8" s="1"/>
  <c r="AD421" i="8"/>
  <c r="AF421" i="8" s="1"/>
  <c r="AH421" i="8" s="1"/>
  <c r="AD420" i="8"/>
  <c r="AF420" i="8" s="1"/>
  <c r="AH420" i="8" s="1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E414" i="8"/>
  <c r="AG414" i="8" s="1"/>
  <c r="AE415" i="8"/>
  <c r="AG415" i="8" s="1"/>
  <c r="AE416" i="8"/>
  <c r="AG416" i="8" s="1"/>
  <c r="R416" i="8" s="1"/>
  <c r="AE417" i="8"/>
  <c r="AG417" i="8" s="1"/>
  <c r="AE418" i="8"/>
  <c r="AG418" i="8" s="1"/>
  <c r="AE413" i="8"/>
  <c r="AG413" i="8" s="1"/>
  <c r="AE375" i="8"/>
  <c r="AG375" i="8" s="1"/>
  <c r="AE376" i="8"/>
  <c r="AG376" i="8" s="1"/>
  <c r="AE377" i="8"/>
  <c r="AG377" i="8" s="1"/>
  <c r="AE378" i="8"/>
  <c r="AG378" i="8" s="1"/>
  <c r="AE379" i="8"/>
  <c r="AG379" i="8" s="1"/>
  <c r="AE380" i="8"/>
  <c r="AG380" i="8" s="1"/>
  <c r="AE381" i="8"/>
  <c r="AG381" i="8" s="1"/>
  <c r="AE382" i="8"/>
  <c r="AG382" i="8" s="1"/>
  <c r="AE383" i="8"/>
  <c r="AG383" i="8" s="1"/>
  <c r="AE384" i="8"/>
  <c r="AG384" i="8" s="1"/>
  <c r="AF384" i="8"/>
  <c r="AH384" i="8" s="1"/>
  <c r="AE385" i="8"/>
  <c r="AG385" i="8" s="1"/>
  <c r="AE386" i="8"/>
  <c r="AG386" i="8" s="1"/>
  <c r="AE387" i="8"/>
  <c r="AG387" i="8" s="1"/>
  <c r="AE388" i="8"/>
  <c r="AG388" i="8" s="1"/>
  <c r="AE389" i="8"/>
  <c r="AG389" i="8" s="1"/>
  <c r="AE390" i="8"/>
  <c r="AG390" i="8" s="1"/>
  <c r="AE391" i="8"/>
  <c r="AG391" i="8" s="1"/>
  <c r="AE392" i="8"/>
  <c r="AG392" i="8" s="1"/>
  <c r="AE393" i="8"/>
  <c r="AG393" i="8" s="1"/>
  <c r="AE394" i="8"/>
  <c r="AG394" i="8" s="1"/>
  <c r="AE395" i="8"/>
  <c r="AG395" i="8" s="1"/>
  <c r="AE396" i="8"/>
  <c r="AG396" i="8" s="1"/>
  <c r="AE397" i="8"/>
  <c r="AG397" i="8" s="1"/>
  <c r="AE398" i="8"/>
  <c r="AG398" i="8" s="1"/>
  <c r="AF398" i="8"/>
  <c r="AH398" i="8" s="1"/>
  <c r="AE399" i="8"/>
  <c r="AG399" i="8" s="1"/>
  <c r="AE400" i="8"/>
  <c r="AG400" i="8" s="1"/>
  <c r="AE401" i="8"/>
  <c r="AG401" i="8" s="1"/>
  <c r="AE402" i="8"/>
  <c r="AG402" i="8" s="1"/>
  <c r="AE403" i="8"/>
  <c r="AG403" i="8" s="1"/>
  <c r="AE404" i="8"/>
  <c r="AG404" i="8" s="1"/>
  <c r="AE405" i="8"/>
  <c r="AG405" i="8" s="1"/>
  <c r="AE406" i="8"/>
  <c r="AG406" i="8" s="1"/>
  <c r="AE407" i="8"/>
  <c r="AG407" i="8" s="1"/>
  <c r="AE408" i="8"/>
  <c r="AG408" i="8" s="1"/>
  <c r="AE409" i="8"/>
  <c r="AG409" i="8" s="1"/>
  <c r="AE410" i="8"/>
  <c r="AG410" i="8" s="1"/>
  <c r="AE411" i="8"/>
  <c r="AG411" i="8" s="1"/>
  <c r="AE412" i="8"/>
  <c r="AG412" i="8" s="1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AD416" i="8"/>
  <c r="AF416" i="8" s="1"/>
  <c r="AH416" i="8" s="1"/>
  <c r="AD417" i="8"/>
  <c r="AF417" i="8" s="1"/>
  <c r="AH417" i="8" s="1"/>
  <c r="AD418" i="8"/>
  <c r="AF418" i="8" s="1"/>
  <c r="AH418" i="8" s="1"/>
  <c r="Q418" i="8" s="1"/>
  <c r="N417" i="8" l="1"/>
  <c r="N418" i="8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AD412" i="8"/>
  <c r="AF412" i="8" s="1"/>
  <c r="AH412" i="8" s="1"/>
  <c r="Q412" i="8" s="1"/>
  <c r="AD413" i="8"/>
  <c r="AD414" i="8"/>
  <c r="AF414" i="8" s="1"/>
  <c r="AH414" i="8" s="1"/>
  <c r="AD415" i="8"/>
  <c r="AF415" i="8" s="1"/>
  <c r="AH415" i="8" s="1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AD410" i="8"/>
  <c r="AF410" i="8" s="1"/>
  <c r="AH410" i="8" s="1"/>
  <c r="AD411" i="8"/>
  <c r="AF411" i="8" s="1"/>
  <c r="AH411" i="8" s="1"/>
  <c r="AF413" i="8" l="1"/>
  <c r="AH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D405" i="8"/>
  <c r="AF405" i="8" s="1"/>
  <c r="AH405" i="8" s="1"/>
  <c r="N405" i="8" s="1"/>
  <c r="AO11" i="4"/>
  <c r="AP11" i="4"/>
  <c r="AQ11" i="4"/>
  <c r="AR11" i="4"/>
  <c r="AS11" i="4"/>
  <c r="AT11" i="4"/>
  <c r="AU11" i="4"/>
  <c r="AD409" i="8"/>
  <c r="AD408" i="8"/>
  <c r="AD407" i="8"/>
  <c r="AD406" i="8"/>
  <c r="Q405" i="8" l="1"/>
  <c r="P405" i="8" s="1"/>
  <c r="Q413" i="8"/>
  <c r="P413" i="8" s="1"/>
  <c r="AF409" i="8"/>
  <c r="AH409" i="8" s="1"/>
  <c r="Q409" i="8" s="1"/>
  <c r="AF406" i="8"/>
  <c r="AH406" i="8" s="1"/>
  <c r="N406" i="8" s="1"/>
  <c r="AF407" i="8"/>
  <c r="AH407" i="8" s="1"/>
  <c r="N407" i="8" s="1"/>
  <c r="AF408" i="8"/>
  <c r="AH408" i="8" s="1"/>
  <c r="N408" i="8" s="1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Q398" i="8" l="1"/>
  <c r="P398" i="8" s="1"/>
  <c r="N398" i="8"/>
  <c r="AD401" i="8"/>
  <c r="AD399" i="8"/>
  <c r="AF399" i="8" s="1"/>
  <c r="AH399" i="8" s="1"/>
  <c r="AD400" i="8"/>
  <c r="AF400" i="8" s="1"/>
  <c r="AH400" i="8" s="1"/>
  <c r="AD402" i="8"/>
  <c r="AD403" i="8"/>
  <c r="AD404" i="8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AF404" i="8" l="1"/>
  <c r="AH404" i="8" s="1"/>
  <c r="N404" i="8" s="1"/>
  <c r="AF402" i="8"/>
  <c r="AH402" i="8" s="1"/>
  <c r="N402" i="8" s="1"/>
  <c r="AF401" i="8"/>
  <c r="AH401" i="8" s="1"/>
  <c r="N401" i="8" s="1"/>
  <c r="AF403" i="8"/>
  <c r="AH403" i="8" s="1"/>
  <c r="N403" i="8" s="1"/>
  <c r="N399" i="8"/>
  <c r="Q399" i="8"/>
  <c r="P399" i="8" s="1"/>
  <c r="N400" i="8"/>
  <c r="Q400" i="8"/>
  <c r="P400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4" i="8" l="1"/>
  <c r="P404" i="8" s="1"/>
  <c r="Q401" i="8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D391" i="8"/>
  <c r="AD392" i="8"/>
  <c r="AF392" i="8" s="1"/>
  <c r="AH392" i="8" s="1"/>
  <c r="AD393" i="8"/>
  <c r="AF393" i="8" s="1"/>
  <c r="AH393" i="8" s="1"/>
  <c r="AD395" i="8"/>
  <c r="AD396" i="8"/>
  <c r="AD397" i="8"/>
  <c r="R391" i="8"/>
  <c r="R392" i="8"/>
  <c r="R393" i="8"/>
  <c r="R394" i="8"/>
  <c r="R395" i="8"/>
  <c r="R396" i="8"/>
  <c r="AF397" i="8" l="1"/>
  <c r="AH397" i="8" s="1"/>
  <c r="N397" i="8" s="1"/>
  <c r="AF396" i="8"/>
  <c r="AH396" i="8" s="1"/>
  <c r="Q396" i="8" s="1"/>
  <c r="P396" i="8" s="1"/>
  <c r="AF391" i="8"/>
  <c r="AH391" i="8" s="1"/>
  <c r="Q391" i="8" s="1"/>
  <c r="P391" i="8" s="1"/>
  <c r="AF395" i="8"/>
  <c r="AH395" i="8" s="1"/>
  <c r="N395" i="8" s="1"/>
  <c r="Q393" i="8"/>
  <c r="P393" i="8" s="1"/>
  <c r="N393" i="8"/>
  <c r="AD394" i="8"/>
  <c r="AF394" i="8" s="1"/>
  <c r="AH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Q395" i="8" l="1"/>
  <c r="P395" i="8" s="1"/>
  <c r="N396" i="8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AD388" i="8"/>
  <c r="AF388" i="8" s="1"/>
  <c r="AH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AD385" i="8"/>
  <c r="AD386" i="8"/>
  <c r="AF386" i="8" s="1"/>
  <c r="AH386" i="8" s="1"/>
  <c r="Q386" i="8" s="1"/>
  <c r="AD387" i="8"/>
  <c r="AF387" i="8" s="1"/>
  <c r="AH387" i="8" s="1"/>
  <c r="AD389" i="8"/>
  <c r="AF389" i="8" s="1"/>
  <c r="AH389" i="8" s="1"/>
  <c r="AD390" i="8"/>
  <c r="AF390" i="8" s="1"/>
  <c r="AH390" i="8" s="1"/>
  <c r="AF385" i="8" l="1"/>
  <c r="AH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E3" i="8"/>
  <c r="AE4" i="8"/>
  <c r="AE5" i="8"/>
  <c r="AE6" i="8"/>
  <c r="AE7" i="8"/>
  <c r="AE8" i="8"/>
  <c r="AE9" i="8"/>
  <c r="AE10" i="8"/>
  <c r="AE11" i="8"/>
  <c r="AE12" i="8"/>
  <c r="AE13" i="8"/>
  <c r="AE14" i="8"/>
  <c r="AE15" i="8"/>
  <c r="AE16" i="8"/>
  <c r="AE17" i="8"/>
  <c r="AE18" i="8"/>
  <c r="AE19" i="8"/>
  <c r="AE20" i="8"/>
  <c r="AE21" i="8"/>
  <c r="AE22" i="8"/>
  <c r="AE23" i="8"/>
  <c r="AE24" i="8"/>
  <c r="AE25" i="8"/>
  <c r="AE26" i="8"/>
  <c r="AE27" i="8"/>
  <c r="AE28" i="8"/>
  <c r="AE29" i="8"/>
  <c r="AE30" i="8"/>
  <c r="AE31" i="8"/>
  <c r="AE32" i="8"/>
  <c r="AE33" i="8"/>
  <c r="AE34" i="8"/>
  <c r="AE35" i="8"/>
  <c r="AE36" i="8"/>
  <c r="AE37" i="8"/>
  <c r="AE38" i="8"/>
  <c r="AE39" i="8"/>
  <c r="AE40" i="8"/>
  <c r="AE41" i="8"/>
  <c r="AE42" i="8"/>
  <c r="AE43" i="8"/>
  <c r="AE44" i="8"/>
  <c r="AE45" i="8"/>
  <c r="AE46" i="8"/>
  <c r="AE47" i="8"/>
  <c r="AE48" i="8"/>
  <c r="AE49" i="8"/>
  <c r="AE50" i="8"/>
  <c r="AE51" i="8"/>
  <c r="AE52" i="8"/>
  <c r="AE53" i="8"/>
  <c r="AE54" i="8"/>
  <c r="AE55" i="8"/>
  <c r="AE56" i="8"/>
  <c r="AE57" i="8"/>
  <c r="AE58" i="8"/>
  <c r="AE59" i="8"/>
  <c r="AE60" i="8"/>
  <c r="AE61" i="8"/>
  <c r="AE62" i="8"/>
  <c r="AE63" i="8"/>
  <c r="AE64" i="8"/>
  <c r="AE65" i="8"/>
  <c r="AE66" i="8"/>
  <c r="AE67" i="8"/>
  <c r="AE68" i="8"/>
  <c r="AE69" i="8"/>
  <c r="AE70" i="8"/>
  <c r="AE71" i="8"/>
  <c r="AE72" i="8"/>
  <c r="AE73" i="8"/>
  <c r="AE74" i="8"/>
  <c r="AE75" i="8"/>
  <c r="AE76" i="8"/>
  <c r="AE77" i="8"/>
  <c r="AE78" i="8"/>
  <c r="AE79" i="8"/>
  <c r="AE80" i="8"/>
  <c r="AE81" i="8"/>
  <c r="AE82" i="8"/>
  <c r="AE83" i="8"/>
  <c r="AE84" i="8"/>
  <c r="AE85" i="8"/>
  <c r="AE86" i="8"/>
  <c r="AE87" i="8"/>
  <c r="AE88" i="8"/>
  <c r="AE89" i="8"/>
  <c r="AE90" i="8"/>
  <c r="AE91" i="8"/>
  <c r="AE92" i="8"/>
  <c r="AE93" i="8"/>
  <c r="AE94" i="8"/>
  <c r="AE95" i="8"/>
  <c r="AE96" i="8"/>
  <c r="AE97" i="8"/>
  <c r="AE98" i="8"/>
  <c r="AE99" i="8"/>
  <c r="AE100" i="8"/>
  <c r="AE101" i="8"/>
  <c r="AE102" i="8"/>
  <c r="AE103" i="8"/>
  <c r="AE104" i="8"/>
  <c r="AE105" i="8"/>
  <c r="AE106" i="8"/>
  <c r="AE107" i="8"/>
  <c r="AE108" i="8"/>
  <c r="AE109" i="8"/>
  <c r="AE110" i="8"/>
  <c r="AE111" i="8"/>
  <c r="AE112" i="8"/>
  <c r="AE113" i="8"/>
  <c r="AE114" i="8"/>
  <c r="AE115" i="8"/>
  <c r="AE116" i="8"/>
  <c r="AE117" i="8"/>
  <c r="AE118" i="8"/>
  <c r="AE119" i="8"/>
  <c r="AE120" i="8"/>
  <c r="AE121" i="8"/>
  <c r="AE122" i="8"/>
  <c r="AE123" i="8"/>
  <c r="AE124" i="8"/>
  <c r="AE125" i="8"/>
  <c r="AE126" i="8"/>
  <c r="AE127" i="8"/>
  <c r="AE128" i="8"/>
  <c r="AE129" i="8"/>
  <c r="AE130" i="8"/>
  <c r="AE131" i="8"/>
  <c r="AE132" i="8"/>
  <c r="AE133" i="8"/>
  <c r="AE134" i="8"/>
  <c r="AE135" i="8"/>
  <c r="AE136" i="8"/>
  <c r="AE137" i="8"/>
  <c r="AE138" i="8"/>
  <c r="AE139" i="8"/>
  <c r="AE140" i="8"/>
  <c r="AE141" i="8"/>
  <c r="AE142" i="8"/>
  <c r="AE143" i="8"/>
  <c r="AE144" i="8"/>
  <c r="AE145" i="8"/>
  <c r="AE146" i="8"/>
  <c r="AE147" i="8"/>
  <c r="AE148" i="8"/>
  <c r="AE149" i="8"/>
  <c r="AE150" i="8"/>
  <c r="AE151" i="8"/>
  <c r="AE152" i="8"/>
  <c r="AE153" i="8"/>
  <c r="AE154" i="8"/>
  <c r="AE155" i="8"/>
  <c r="AE156" i="8"/>
  <c r="AE157" i="8"/>
  <c r="AE158" i="8"/>
  <c r="AE159" i="8"/>
  <c r="AE160" i="8"/>
  <c r="AE161" i="8"/>
  <c r="AE162" i="8"/>
  <c r="AE163" i="8"/>
  <c r="AE164" i="8"/>
  <c r="AE165" i="8"/>
  <c r="AE166" i="8"/>
  <c r="AE167" i="8"/>
  <c r="AE168" i="8"/>
  <c r="AE169" i="8"/>
  <c r="AE170" i="8"/>
  <c r="AE171" i="8"/>
  <c r="AE172" i="8"/>
  <c r="AE173" i="8"/>
  <c r="AE174" i="8"/>
  <c r="AE175" i="8"/>
  <c r="AE176" i="8"/>
  <c r="AE177" i="8"/>
  <c r="AE178" i="8"/>
  <c r="AE179" i="8"/>
  <c r="AE180" i="8"/>
  <c r="AE181" i="8"/>
  <c r="AE182" i="8"/>
  <c r="AE183" i="8"/>
  <c r="AE184" i="8"/>
  <c r="AE185" i="8"/>
  <c r="AE186" i="8"/>
  <c r="AE187" i="8"/>
  <c r="AE188" i="8"/>
  <c r="AE189" i="8"/>
  <c r="AE190" i="8"/>
  <c r="AE191" i="8"/>
  <c r="AE192" i="8"/>
  <c r="AE193" i="8"/>
  <c r="AE194" i="8"/>
  <c r="AE195" i="8"/>
  <c r="AE196" i="8"/>
  <c r="AE197" i="8"/>
  <c r="AE198" i="8"/>
  <c r="AE199" i="8"/>
  <c r="AE200" i="8"/>
  <c r="AE201" i="8"/>
  <c r="AE202" i="8"/>
  <c r="AE203" i="8"/>
  <c r="AE204" i="8"/>
  <c r="AE205" i="8"/>
  <c r="AE206" i="8"/>
  <c r="AE207" i="8"/>
  <c r="AE208" i="8"/>
  <c r="AE209" i="8"/>
  <c r="AE210" i="8"/>
  <c r="AE211" i="8"/>
  <c r="AE212" i="8"/>
  <c r="AE213" i="8"/>
  <c r="AE214" i="8"/>
  <c r="AE215" i="8"/>
  <c r="AE216" i="8"/>
  <c r="AE217" i="8"/>
  <c r="AE218" i="8"/>
  <c r="AE219" i="8"/>
  <c r="AE220" i="8"/>
  <c r="AE221" i="8"/>
  <c r="AE222" i="8"/>
  <c r="AE223" i="8"/>
  <c r="AE224" i="8"/>
  <c r="AE225" i="8"/>
  <c r="AE226" i="8"/>
  <c r="AE227" i="8"/>
  <c r="AE228" i="8"/>
  <c r="AE229" i="8"/>
  <c r="AE230" i="8"/>
  <c r="AE231" i="8"/>
  <c r="AE232" i="8"/>
  <c r="AE233" i="8"/>
  <c r="AE234" i="8"/>
  <c r="AE235" i="8"/>
  <c r="AE236" i="8"/>
  <c r="AE237" i="8"/>
  <c r="AE238" i="8"/>
  <c r="AE239" i="8"/>
  <c r="AE240" i="8"/>
  <c r="AE241" i="8"/>
  <c r="AE242" i="8"/>
  <c r="AE243" i="8"/>
  <c r="AE244" i="8"/>
  <c r="AE245" i="8"/>
  <c r="AE246" i="8"/>
  <c r="AE247" i="8"/>
  <c r="AE248" i="8"/>
  <c r="AE249" i="8"/>
  <c r="AE250" i="8"/>
  <c r="AE251" i="8"/>
  <c r="AE252" i="8"/>
  <c r="AE253" i="8"/>
  <c r="AE254" i="8"/>
  <c r="AE255" i="8"/>
  <c r="AE256" i="8"/>
  <c r="AE257" i="8"/>
  <c r="AE258" i="8"/>
  <c r="AE259" i="8"/>
  <c r="AE260" i="8"/>
  <c r="AE261" i="8"/>
  <c r="AE262" i="8"/>
  <c r="AE263" i="8"/>
  <c r="AE264" i="8"/>
  <c r="AE265" i="8"/>
  <c r="AE266" i="8"/>
  <c r="AE267" i="8"/>
  <c r="AE268" i="8"/>
  <c r="AE269" i="8"/>
  <c r="AE270" i="8"/>
  <c r="AE271" i="8"/>
  <c r="AE272" i="8"/>
  <c r="AE273" i="8"/>
  <c r="AE274" i="8"/>
  <c r="AE275" i="8"/>
  <c r="AE276" i="8"/>
  <c r="AE277" i="8"/>
  <c r="AE278" i="8"/>
  <c r="AE279" i="8"/>
  <c r="AE280" i="8"/>
  <c r="AE281" i="8"/>
  <c r="AE282" i="8"/>
  <c r="AE283" i="8"/>
  <c r="AE284" i="8"/>
  <c r="AE285" i="8"/>
  <c r="AE286" i="8"/>
  <c r="AE287" i="8"/>
  <c r="AE288" i="8"/>
  <c r="AE289" i="8"/>
  <c r="AE290" i="8"/>
  <c r="AE291" i="8"/>
  <c r="AE292" i="8"/>
  <c r="AE293" i="8"/>
  <c r="AE294" i="8"/>
  <c r="AE295" i="8"/>
  <c r="AE296" i="8"/>
  <c r="AE297" i="8"/>
  <c r="AE298" i="8"/>
  <c r="AE299" i="8"/>
  <c r="AE300" i="8"/>
  <c r="AE301" i="8"/>
  <c r="AE302" i="8"/>
  <c r="AE303" i="8"/>
  <c r="AE304" i="8"/>
  <c r="AE305" i="8"/>
  <c r="AE306" i="8"/>
  <c r="AE307" i="8"/>
  <c r="AE308" i="8"/>
  <c r="AE309" i="8"/>
  <c r="AE310" i="8"/>
  <c r="AE311" i="8"/>
  <c r="AE312" i="8"/>
  <c r="AE313" i="8"/>
  <c r="AE314" i="8"/>
  <c r="AE315" i="8"/>
  <c r="AE316" i="8"/>
  <c r="AE317" i="8"/>
  <c r="AE318" i="8"/>
  <c r="AE319" i="8"/>
  <c r="AE320" i="8"/>
  <c r="AE321" i="8"/>
  <c r="AE322" i="8"/>
  <c r="AE323" i="8"/>
  <c r="AE324" i="8"/>
  <c r="AE325" i="8"/>
  <c r="AE326" i="8"/>
  <c r="AE327" i="8"/>
  <c r="AE328" i="8"/>
  <c r="AE329" i="8"/>
  <c r="AE330" i="8"/>
  <c r="AE331" i="8"/>
  <c r="AE332" i="8"/>
  <c r="AE333" i="8"/>
  <c r="AE334" i="8"/>
  <c r="AE335" i="8"/>
  <c r="AE336" i="8"/>
  <c r="AE337" i="8"/>
  <c r="AE338" i="8"/>
  <c r="AE339" i="8"/>
  <c r="AE340" i="8"/>
  <c r="AE341" i="8"/>
  <c r="AE342" i="8"/>
  <c r="AE343" i="8"/>
  <c r="AE344" i="8"/>
  <c r="AE345" i="8"/>
  <c r="AE346" i="8"/>
  <c r="AE347" i="8"/>
  <c r="AE348" i="8"/>
  <c r="AE349" i="8"/>
  <c r="AE350" i="8"/>
  <c r="AE351" i="8"/>
  <c r="AE352" i="8"/>
  <c r="AE353" i="8"/>
  <c r="AE354" i="8"/>
  <c r="AE355" i="8"/>
  <c r="AE356" i="8"/>
  <c r="AE357" i="8"/>
  <c r="AE358" i="8"/>
  <c r="AE359" i="8"/>
  <c r="AE360" i="8"/>
  <c r="AE361" i="8"/>
  <c r="AE362" i="8"/>
  <c r="AE363" i="8"/>
  <c r="AE364" i="8"/>
  <c r="AE365" i="8"/>
  <c r="AE366" i="8"/>
  <c r="AE367" i="8"/>
  <c r="AE368" i="8"/>
  <c r="AE369" i="8"/>
  <c r="AE370" i="8"/>
  <c r="AE371" i="8"/>
  <c r="AE372" i="8"/>
  <c r="AE373" i="8"/>
  <c r="AE374" i="8"/>
  <c r="R379" i="8"/>
  <c r="AE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AD377" i="8"/>
  <c r="AF377" i="8" s="1"/>
  <c r="AH377" i="8" s="1"/>
  <c r="AD378" i="8"/>
  <c r="AD379" i="8"/>
  <c r="AF379" i="8" s="1"/>
  <c r="AH379" i="8" s="1"/>
  <c r="AD380" i="8"/>
  <c r="AD381" i="8"/>
  <c r="AD383" i="8"/>
  <c r="S11" i="5"/>
  <c r="R11" i="5"/>
  <c r="Q11" i="5"/>
  <c r="P11" i="5"/>
  <c r="O11" i="5"/>
  <c r="N11" i="5"/>
  <c r="AF381" i="8" l="1"/>
  <c r="AH381" i="8" s="1"/>
  <c r="Q381" i="8" s="1"/>
  <c r="AF378" i="8"/>
  <c r="AH378" i="8" s="1"/>
  <c r="N378" i="8" s="1"/>
  <c r="AF380" i="8"/>
  <c r="AH380" i="8" s="1"/>
  <c r="Q380" i="8" s="1"/>
  <c r="AF383" i="8"/>
  <c r="AH383" i="8" s="1"/>
  <c r="N383" i="8" s="1"/>
  <c r="N379" i="8"/>
  <c r="Q379" i="8"/>
  <c r="P379" i="8" s="1"/>
  <c r="AD382" i="8"/>
  <c r="AF382" i="8" s="1"/>
  <c r="AH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F3" i="8"/>
  <c r="AF4" i="8"/>
  <c r="AF5" i="8"/>
  <c r="AF6" i="8"/>
  <c r="AF7" i="8"/>
  <c r="AF8" i="8"/>
  <c r="AF9" i="8"/>
  <c r="AF10" i="8"/>
  <c r="AF11" i="8"/>
  <c r="AF12" i="8"/>
  <c r="AF13" i="8"/>
  <c r="AF14" i="8"/>
  <c r="AF15" i="8"/>
  <c r="AF16" i="8"/>
  <c r="AF17" i="8"/>
  <c r="AF18" i="8"/>
  <c r="AF19" i="8"/>
  <c r="AF20" i="8"/>
  <c r="AF21" i="8"/>
  <c r="AF22" i="8"/>
  <c r="AF23" i="8"/>
  <c r="AF24" i="8"/>
  <c r="AF25" i="8"/>
  <c r="AF26" i="8"/>
  <c r="AF27" i="8"/>
  <c r="AF28" i="8"/>
  <c r="AF29" i="8"/>
  <c r="AF30" i="8"/>
  <c r="AF31" i="8"/>
  <c r="AF32" i="8"/>
  <c r="AF33" i="8"/>
  <c r="AF34" i="8"/>
  <c r="AF35" i="8"/>
  <c r="AF36" i="8"/>
  <c r="AF37" i="8"/>
  <c r="AF38" i="8"/>
  <c r="AF39" i="8"/>
  <c r="AF40" i="8"/>
  <c r="AF41" i="8"/>
  <c r="AF42" i="8"/>
  <c r="AF43" i="8"/>
  <c r="AF44" i="8"/>
  <c r="AF45" i="8"/>
  <c r="AF46" i="8"/>
  <c r="AF47" i="8"/>
  <c r="AF48" i="8"/>
  <c r="AF49" i="8"/>
  <c r="AF50" i="8"/>
  <c r="AF51" i="8"/>
  <c r="AF52" i="8"/>
  <c r="AF53" i="8"/>
  <c r="AF54" i="8"/>
  <c r="AF55" i="8"/>
  <c r="AF56" i="8"/>
  <c r="AF57" i="8"/>
  <c r="AF58" i="8"/>
  <c r="AF59" i="8"/>
  <c r="AF60" i="8"/>
  <c r="AF61" i="8"/>
  <c r="AF62" i="8"/>
  <c r="AF63" i="8"/>
  <c r="AF64" i="8"/>
  <c r="AF65" i="8"/>
  <c r="AF66" i="8"/>
  <c r="AF67" i="8"/>
  <c r="AF68" i="8"/>
  <c r="AF69" i="8"/>
  <c r="AF70" i="8"/>
  <c r="AF71" i="8"/>
  <c r="AF72" i="8"/>
  <c r="AF73" i="8"/>
  <c r="AF74" i="8"/>
  <c r="AF75" i="8"/>
  <c r="AF76" i="8"/>
  <c r="AF77" i="8"/>
  <c r="AF78" i="8"/>
  <c r="AF79" i="8"/>
  <c r="AF80" i="8"/>
  <c r="AF81" i="8"/>
  <c r="AF82" i="8"/>
  <c r="AF83" i="8"/>
  <c r="AF84" i="8"/>
  <c r="AF85" i="8"/>
  <c r="AF86" i="8"/>
  <c r="AF87" i="8"/>
  <c r="AF88" i="8"/>
  <c r="AF89" i="8"/>
  <c r="AF93" i="8"/>
  <c r="AF94" i="8"/>
  <c r="AF95" i="8"/>
  <c r="AF96" i="8"/>
  <c r="AF97" i="8"/>
  <c r="AF98" i="8"/>
  <c r="AF99" i="8"/>
  <c r="AF100" i="8"/>
  <c r="AF101" i="8"/>
  <c r="AF102" i="8"/>
  <c r="AF103" i="8"/>
  <c r="AF104" i="8"/>
  <c r="AF105" i="8"/>
  <c r="AF106" i="8"/>
  <c r="AF107" i="8"/>
  <c r="AF108" i="8"/>
  <c r="AF109" i="8"/>
  <c r="AF110" i="8"/>
  <c r="AF111" i="8"/>
  <c r="AF112" i="8"/>
  <c r="AF113" i="8"/>
  <c r="AF114" i="8"/>
  <c r="AF116" i="8"/>
  <c r="AF117" i="8"/>
  <c r="AF118" i="8"/>
  <c r="AF119" i="8"/>
  <c r="AF120" i="8"/>
  <c r="AF121" i="8"/>
  <c r="AF123" i="8"/>
  <c r="AF124" i="8"/>
  <c r="AF125" i="8"/>
  <c r="AF126" i="8"/>
  <c r="AF127" i="8"/>
  <c r="AF128" i="8"/>
  <c r="AF129" i="8"/>
  <c r="AF130" i="8"/>
  <c r="AF131" i="8"/>
  <c r="AF132" i="8"/>
  <c r="AF133" i="8"/>
  <c r="AF134" i="8"/>
  <c r="AF135" i="8"/>
  <c r="AF136" i="8"/>
  <c r="AF137" i="8"/>
  <c r="AF138" i="8"/>
  <c r="AF139" i="8"/>
  <c r="AF140" i="8"/>
  <c r="AF141" i="8"/>
  <c r="AF142" i="8"/>
  <c r="AF143" i="8"/>
  <c r="AF144" i="8"/>
  <c r="AF145" i="8"/>
  <c r="AF146" i="8"/>
  <c r="AF147" i="8"/>
  <c r="AF148" i="8"/>
  <c r="AF149" i="8"/>
  <c r="AF150" i="8"/>
  <c r="AF151" i="8"/>
  <c r="AF152" i="8"/>
  <c r="AF153" i="8"/>
  <c r="AF154" i="8"/>
  <c r="AF155" i="8"/>
  <c r="AF156" i="8"/>
  <c r="AF157" i="8"/>
  <c r="AF162" i="8"/>
  <c r="AF163" i="8"/>
  <c r="AF164" i="8"/>
  <c r="AF165" i="8"/>
  <c r="AF166" i="8"/>
  <c r="AF167" i="8"/>
  <c r="AF168" i="8"/>
  <c r="AF169" i="8"/>
  <c r="AF170" i="8"/>
  <c r="AF171" i="8"/>
  <c r="AF172" i="8"/>
  <c r="AF173" i="8"/>
  <c r="AF174" i="8"/>
  <c r="AF175" i="8"/>
  <c r="AF176" i="8"/>
  <c r="AF177" i="8"/>
  <c r="AF178" i="8"/>
  <c r="AF179" i="8"/>
  <c r="AF180" i="8"/>
  <c r="AF181" i="8"/>
  <c r="AF182" i="8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AF195" i="8"/>
  <c r="AF196" i="8"/>
  <c r="AF198" i="8"/>
  <c r="AF199" i="8"/>
  <c r="AF200" i="8"/>
  <c r="AF201" i="8"/>
  <c r="AF202" i="8"/>
  <c r="AF203" i="8"/>
  <c r="AF204" i="8"/>
  <c r="AF205" i="8"/>
  <c r="AF206" i="8"/>
  <c r="AF207" i="8"/>
  <c r="AF208" i="8"/>
  <c r="AF209" i="8"/>
  <c r="AF210" i="8"/>
  <c r="AF211" i="8"/>
  <c r="AF212" i="8"/>
  <c r="AF213" i="8"/>
  <c r="AF214" i="8"/>
  <c r="AF215" i="8"/>
  <c r="AF216" i="8"/>
  <c r="AF217" i="8"/>
  <c r="AF218" i="8"/>
  <c r="AF219" i="8"/>
  <c r="AF220" i="8"/>
  <c r="AF221" i="8"/>
  <c r="AF222" i="8"/>
  <c r="AF223" i="8"/>
  <c r="AF224" i="8"/>
  <c r="AF225" i="8"/>
  <c r="AF226" i="8"/>
  <c r="AF227" i="8"/>
  <c r="AF228" i="8"/>
  <c r="AF229" i="8"/>
  <c r="AF230" i="8"/>
  <c r="AF231" i="8"/>
  <c r="AF232" i="8"/>
  <c r="AF233" i="8"/>
  <c r="AF234" i="8"/>
  <c r="AF235" i="8"/>
  <c r="AF236" i="8"/>
  <c r="AF237" i="8"/>
  <c r="AF238" i="8"/>
  <c r="AF239" i="8"/>
  <c r="AF240" i="8"/>
  <c r="AF241" i="8"/>
  <c r="AF242" i="8"/>
  <c r="AF243" i="8"/>
  <c r="AF244" i="8"/>
  <c r="AF245" i="8"/>
  <c r="AF246" i="8"/>
  <c r="AF247" i="8"/>
  <c r="AF248" i="8"/>
  <c r="AF249" i="8"/>
  <c r="AF250" i="8"/>
  <c r="AF251" i="8"/>
  <c r="AF252" i="8"/>
  <c r="AF253" i="8"/>
  <c r="AF254" i="8"/>
  <c r="AF255" i="8"/>
  <c r="AF256" i="8"/>
  <c r="AF257" i="8"/>
  <c r="AF258" i="8"/>
  <c r="AF259" i="8"/>
  <c r="AF260" i="8"/>
  <c r="AF261" i="8"/>
  <c r="AF262" i="8"/>
  <c r="AF263" i="8"/>
  <c r="AF264" i="8"/>
  <c r="AF265" i="8"/>
  <c r="AF266" i="8"/>
  <c r="AF267" i="8"/>
  <c r="AF268" i="8"/>
  <c r="AF269" i="8"/>
  <c r="AF270" i="8"/>
  <c r="AF271" i="8"/>
  <c r="AF272" i="8"/>
  <c r="AF273" i="8"/>
  <c r="AF274" i="8"/>
  <c r="AF275" i="8"/>
  <c r="AF276" i="8"/>
  <c r="AF277" i="8"/>
  <c r="AF278" i="8"/>
  <c r="AF279" i="8"/>
  <c r="AF280" i="8"/>
  <c r="AF281" i="8"/>
  <c r="AF282" i="8"/>
  <c r="AF283" i="8"/>
  <c r="AF284" i="8"/>
  <c r="AF285" i="8"/>
  <c r="AF286" i="8"/>
  <c r="AF287" i="8"/>
  <c r="AF288" i="8"/>
  <c r="AF289" i="8"/>
  <c r="AF290" i="8"/>
  <c r="AF291" i="8"/>
  <c r="AF292" i="8"/>
  <c r="AF293" i="8"/>
  <c r="AF294" i="8"/>
  <c r="AF295" i="8"/>
  <c r="AF296" i="8"/>
  <c r="AF297" i="8"/>
  <c r="AF298" i="8"/>
  <c r="AF299" i="8"/>
  <c r="AF300" i="8"/>
  <c r="AF301" i="8"/>
  <c r="AF302" i="8"/>
  <c r="AF303" i="8"/>
  <c r="AF304" i="8"/>
  <c r="AF305" i="8"/>
  <c r="AF306" i="8"/>
  <c r="AF307" i="8"/>
  <c r="AF308" i="8"/>
  <c r="AF309" i="8"/>
  <c r="AF310" i="8"/>
  <c r="AF311" i="8"/>
  <c r="AF312" i="8"/>
  <c r="AF313" i="8"/>
  <c r="AF314" i="8"/>
  <c r="AF315" i="8"/>
  <c r="AF316" i="8"/>
  <c r="AF317" i="8"/>
  <c r="AF318" i="8"/>
  <c r="AF319" i="8"/>
  <c r="AF320" i="8"/>
  <c r="AF321" i="8"/>
  <c r="AF322" i="8"/>
  <c r="AF323" i="8"/>
  <c r="AF324" i="8"/>
  <c r="AF325" i="8"/>
  <c r="AF326" i="8"/>
  <c r="AF327" i="8"/>
  <c r="AF328" i="8"/>
  <c r="AF329" i="8"/>
  <c r="AF330" i="8"/>
  <c r="AF331" i="8"/>
  <c r="AF332" i="8"/>
  <c r="AF333" i="8"/>
  <c r="AF334" i="8"/>
  <c r="AF335" i="8"/>
  <c r="AF336" i="8"/>
  <c r="AF337" i="8"/>
  <c r="AF338" i="8"/>
  <c r="AF339" i="8"/>
  <c r="AF340" i="8"/>
  <c r="AF341" i="8"/>
  <c r="AF342" i="8"/>
  <c r="AF343" i="8"/>
  <c r="AF344" i="8"/>
  <c r="AF345" i="8"/>
  <c r="AF346" i="8"/>
  <c r="AF347" i="8"/>
  <c r="AF348" i="8"/>
  <c r="AF349" i="8"/>
  <c r="AF350" i="8"/>
  <c r="AF351" i="8"/>
  <c r="AF352" i="8"/>
  <c r="AF353" i="8"/>
  <c r="AF354" i="8"/>
  <c r="AF355" i="8"/>
  <c r="AF356" i="8"/>
  <c r="AG371" i="8"/>
  <c r="R371" i="8" s="1"/>
  <c r="AG372" i="8"/>
  <c r="R372" i="8" s="1"/>
  <c r="AG373" i="8"/>
  <c r="R373" i="8" s="1"/>
  <c r="AG374" i="8"/>
  <c r="R374" i="8" s="1"/>
  <c r="R375" i="8"/>
  <c r="R376" i="8"/>
  <c r="R377" i="8"/>
  <c r="AD371" i="8"/>
  <c r="AF371" i="8" s="1"/>
  <c r="AH371" i="8" s="1"/>
  <c r="AD372" i="8"/>
  <c r="AF372" i="8" s="1"/>
  <c r="AH372" i="8" s="1"/>
  <c r="AD373" i="8"/>
  <c r="AF373" i="8" s="1"/>
  <c r="AH373" i="8" s="1"/>
  <c r="AD374" i="8"/>
  <c r="AF374" i="8" s="1"/>
  <c r="AH374" i="8" s="1"/>
  <c r="AD375" i="8"/>
  <c r="AF375" i="8" s="1"/>
  <c r="AH375" i="8" s="1"/>
  <c r="AD376" i="8"/>
  <c r="AF376" i="8" s="1"/>
  <c r="AH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G365" i="8"/>
  <c r="AG366" i="8"/>
  <c r="AG368" i="8"/>
  <c r="AG369" i="8"/>
  <c r="AG364" i="8"/>
  <c r="AG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AD364" i="8"/>
  <c r="AF364" i="8" s="1"/>
  <c r="AD365" i="8"/>
  <c r="AF365" i="8" s="1"/>
  <c r="AD366" i="8"/>
  <c r="AF366" i="8" s="1"/>
  <c r="AD367" i="8"/>
  <c r="AD368" i="8"/>
  <c r="AF368" i="8" s="1"/>
  <c r="AD369" i="8"/>
  <c r="AF369" i="8" s="1"/>
  <c r="AD370" i="8"/>
  <c r="AH364" i="8" l="1"/>
  <c r="AH369" i="8"/>
  <c r="AH368" i="8"/>
  <c r="AH366" i="8"/>
  <c r="AH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G357" i="8"/>
  <c r="R357" i="8" s="1"/>
  <c r="AG358" i="8"/>
  <c r="R358" i="8" s="1"/>
  <c r="AG359" i="8"/>
  <c r="R359" i="8" s="1"/>
  <c r="AG360" i="8"/>
  <c r="R360" i="8" s="1"/>
  <c r="AG361" i="8"/>
  <c r="R361" i="8" s="1"/>
  <c r="AG362" i="8"/>
  <c r="R362" i="8" s="1"/>
  <c r="R363" i="8"/>
  <c r="AD357" i="8"/>
  <c r="AF357" i="8" s="1"/>
  <c r="AD358" i="8"/>
  <c r="AF358" i="8" s="1"/>
  <c r="AD359" i="8"/>
  <c r="AF359" i="8" s="1"/>
  <c r="AD360" i="8"/>
  <c r="AF360" i="8" s="1"/>
  <c r="AD361" i="8"/>
  <c r="AF361" i="8" s="1"/>
  <c r="AD362" i="8"/>
  <c r="AF362" i="8" s="1"/>
  <c r="AD363" i="8"/>
  <c r="AF363" i="8" s="1"/>
  <c r="AH361" i="8" l="1"/>
  <c r="AH359" i="8"/>
  <c r="AH357" i="8"/>
  <c r="AH363" i="8"/>
  <c r="AH362" i="8"/>
  <c r="AH360" i="8"/>
  <c r="AH358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R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H3" i="8"/>
  <c r="AH4" i="8"/>
  <c r="AH5" i="8"/>
  <c r="AH6" i="8"/>
  <c r="AH7" i="8"/>
  <c r="AH8" i="8"/>
  <c r="AH9" i="8"/>
  <c r="AH10" i="8"/>
  <c r="Q10" i="8" s="1"/>
  <c r="AH11" i="8"/>
  <c r="AH12" i="8"/>
  <c r="AH13" i="8"/>
  <c r="AH14" i="8"/>
  <c r="Q14" i="8" s="1"/>
  <c r="AH15" i="8"/>
  <c r="AH16" i="8"/>
  <c r="AH17" i="8"/>
  <c r="AH18" i="8"/>
  <c r="AH19" i="8"/>
  <c r="AH20" i="8"/>
  <c r="AH21" i="8"/>
  <c r="Q21" i="8" s="1"/>
  <c r="AH22" i="8"/>
  <c r="Q22" i="8" s="1"/>
  <c r="AH23" i="8"/>
  <c r="AH24" i="8"/>
  <c r="AH25" i="8"/>
  <c r="AH26" i="8"/>
  <c r="Q26" i="8" s="1"/>
  <c r="AH27" i="8"/>
  <c r="AH28" i="8"/>
  <c r="AH29" i="8"/>
  <c r="AH30" i="8"/>
  <c r="AH31" i="8"/>
  <c r="AH32" i="8"/>
  <c r="AH33" i="8"/>
  <c r="AH34" i="8"/>
  <c r="Q34" i="8" s="1"/>
  <c r="AH35" i="8"/>
  <c r="AH36" i="8"/>
  <c r="AH37" i="8"/>
  <c r="AH38" i="8"/>
  <c r="Q38" i="8" s="1"/>
  <c r="AH39" i="8"/>
  <c r="AH40" i="8"/>
  <c r="AH41" i="8"/>
  <c r="AH42" i="8"/>
  <c r="Q42" i="8" s="1"/>
  <c r="AH43" i="8"/>
  <c r="AH44" i="8"/>
  <c r="AH45" i="8"/>
  <c r="Q45" i="8" s="1"/>
  <c r="AH46" i="8"/>
  <c r="Q46" i="8" s="1"/>
  <c r="AH47" i="8"/>
  <c r="AH48" i="8"/>
  <c r="AH49" i="8"/>
  <c r="AH50" i="8"/>
  <c r="Q50" i="8" s="1"/>
  <c r="AH51" i="8"/>
  <c r="AH52" i="8"/>
  <c r="AH53" i="8"/>
  <c r="AH54" i="8"/>
  <c r="Q54" i="8" s="1"/>
  <c r="AH55" i="8"/>
  <c r="AH56" i="8"/>
  <c r="AH57" i="8"/>
  <c r="AH58" i="8"/>
  <c r="Q58" i="8" s="1"/>
  <c r="AH59" i="8"/>
  <c r="AH60" i="8"/>
  <c r="AH61" i="8"/>
  <c r="AH62" i="8"/>
  <c r="Q62" i="8" s="1"/>
  <c r="AH63" i="8"/>
  <c r="AH64" i="8"/>
  <c r="AH65" i="8"/>
  <c r="AH66" i="8"/>
  <c r="Q66" i="8" s="1"/>
  <c r="AH67" i="8"/>
  <c r="AH68" i="8"/>
  <c r="AH69" i="8"/>
  <c r="Q69" i="8" s="1"/>
  <c r="AH70" i="8"/>
  <c r="Q70" i="8" s="1"/>
  <c r="AH71" i="8"/>
  <c r="AH72" i="8"/>
  <c r="AH73" i="8"/>
  <c r="AH74" i="8"/>
  <c r="Q74" i="8" s="1"/>
  <c r="AH75" i="8"/>
  <c r="AH76" i="8"/>
  <c r="AH77" i="8"/>
  <c r="AH78" i="8"/>
  <c r="AH79" i="8"/>
  <c r="AH80" i="8"/>
  <c r="AH81" i="8"/>
  <c r="AH82" i="8"/>
  <c r="Q82" i="8" s="1"/>
  <c r="AH83" i="8"/>
  <c r="AH84" i="8"/>
  <c r="AH85" i="8"/>
  <c r="AH86" i="8"/>
  <c r="Q86" i="8" s="1"/>
  <c r="AH87" i="8"/>
  <c r="AH88" i="8"/>
  <c r="Q88" i="8" s="1"/>
  <c r="AH89" i="8"/>
  <c r="Q89" i="8" s="1"/>
  <c r="AH93" i="8"/>
  <c r="AH94" i="8"/>
  <c r="AH95" i="8"/>
  <c r="AH96" i="8"/>
  <c r="AH97" i="8"/>
  <c r="AH98" i="8"/>
  <c r="Q98" i="8" s="1"/>
  <c r="AH99" i="8"/>
  <c r="AH100" i="8"/>
  <c r="Q100" i="8" s="1"/>
  <c r="AH101" i="8"/>
  <c r="AH102" i="8"/>
  <c r="AH103" i="8"/>
  <c r="AH104" i="8"/>
  <c r="AH105" i="8"/>
  <c r="Q105" i="8" s="1"/>
  <c r="AH106" i="8"/>
  <c r="Q106" i="8" s="1"/>
  <c r="AH107" i="8"/>
  <c r="AH108" i="8"/>
  <c r="AH109" i="8"/>
  <c r="AH110" i="8"/>
  <c r="Q110" i="8" s="1"/>
  <c r="AH111" i="8"/>
  <c r="AH112" i="8"/>
  <c r="Q112" i="8" s="1"/>
  <c r="AH113" i="8"/>
  <c r="AH114" i="8"/>
  <c r="AH116" i="8"/>
  <c r="AH117" i="8"/>
  <c r="Q117" i="8" s="1"/>
  <c r="AH118" i="8"/>
  <c r="AH119" i="8"/>
  <c r="AH120" i="8"/>
  <c r="AH121" i="8"/>
  <c r="Q122" i="8"/>
  <c r="AH123" i="8"/>
  <c r="AH124" i="8"/>
  <c r="Q124" i="8" s="1"/>
  <c r="AH125" i="8"/>
  <c r="AH126" i="8"/>
  <c r="Q126" i="8" s="1"/>
  <c r="AH127" i="8"/>
  <c r="AH128" i="8"/>
  <c r="AH129" i="8"/>
  <c r="AH130" i="8"/>
  <c r="AH131" i="8"/>
  <c r="AH132" i="8"/>
  <c r="AH133" i="8"/>
  <c r="AH134" i="8"/>
  <c r="Q134" i="8" s="1"/>
  <c r="AH135" i="8"/>
  <c r="AH136" i="8"/>
  <c r="Q136" i="8" s="1"/>
  <c r="AH137" i="8"/>
  <c r="AH138" i="8"/>
  <c r="Q138" i="8" s="1"/>
  <c r="AH139" i="8"/>
  <c r="AH140" i="8"/>
  <c r="AH141" i="8"/>
  <c r="AH142" i="8"/>
  <c r="Q142" i="8" s="1"/>
  <c r="AH143" i="8"/>
  <c r="AH144" i="8"/>
  <c r="AH145" i="8"/>
  <c r="AH146" i="8"/>
  <c r="Q146" i="8" s="1"/>
  <c r="AH147" i="8"/>
  <c r="AH148" i="8"/>
  <c r="AH149" i="8"/>
  <c r="AH150" i="8"/>
  <c r="AH151" i="8"/>
  <c r="AH152" i="8"/>
  <c r="AH153" i="8"/>
  <c r="AH154" i="8"/>
  <c r="Q154" i="8" s="1"/>
  <c r="AH155" i="8"/>
  <c r="AH156" i="8"/>
  <c r="AH157" i="8"/>
  <c r="Q158" i="8"/>
  <c r="AH162" i="8"/>
  <c r="AH163" i="8"/>
  <c r="AH164" i="8"/>
  <c r="AH165" i="8"/>
  <c r="Q165" i="8" s="1"/>
  <c r="AH166" i="8"/>
  <c r="AH167" i="8"/>
  <c r="AH168" i="8"/>
  <c r="AH169" i="8"/>
  <c r="AH170" i="8"/>
  <c r="Q170" i="8" s="1"/>
  <c r="AH171" i="8"/>
  <c r="AH172" i="8"/>
  <c r="Q172" i="8" s="1"/>
  <c r="AH173" i="8"/>
  <c r="AH174" i="8"/>
  <c r="Q174" i="8" s="1"/>
  <c r="AH175" i="8"/>
  <c r="AH176" i="8"/>
  <c r="AH177" i="8"/>
  <c r="Q177" i="8" s="1"/>
  <c r="AH178" i="8"/>
  <c r="AH179" i="8"/>
  <c r="AH180" i="8"/>
  <c r="AH181" i="8"/>
  <c r="AH182" i="8"/>
  <c r="Q182" i="8" s="1"/>
  <c r="AH183" i="8"/>
  <c r="AH184" i="8"/>
  <c r="AH185" i="8"/>
  <c r="AH186" i="8"/>
  <c r="AH187" i="8"/>
  <c r="AH188" i="8"/>
  <c r="AH189" i="8"/>
  <c r="AH190" i="8"/>
  <c r="AH191" i="8"/>
  <c r="AH192" i="8"/>
  <c r="AH193" i="8"/>
  <c r="AH194" i="8"/>
  <c r="Q194" i="8" s="1"/>
  <c r="AH195" i="8"/>
  <c r="AH196" i="8"/>
  <c r="Q196" i="8" s="1"/>
  <c r="Q197" i="8"/>
  <c r="AH198" i="8"/>
  <c r="AH199" i="8"/>
  <c r="AH200" i="8"/>
  <c r="AH201" i="8"/>
  <c r="AH202" i="8"/>
  <c r="Q202" i="8" s="1"/>
  <c r="AH203" i="8"/>
  <c r="AH204" i="8"/>
  <c r="AH205" i="8"/>
  <c r="AH206" i="8"/>
  <c r="Q206" i="8" s="1"/>
  <c r="AH207" i="8"/>
  <c r="AH208" i="8"/>
  <c r="Q208" i="8" s="1"/>
  <c r="AH209" i="8"/>
  <c r="AH210" i="8"/>
  <c r="AH211" i="8"/>
  <c r="AH212" i="8"/>
  <c r="AH213" i="8"/>
  <c r="Q213" i="8" s="1"/>
  <c r="AH214" i="8"/>
  <c r="Q214" i="8" s="1"/>
  <c r="AH215" i="8"/>
  <c r="AH216" i="8"/>
  <c r="AH217" i="8"/>
  <c r="AH218" i="8"/>
  <c r="Q218" i="8" s="1"/>
  <c r="AH219" i="8"/>
  <c r="AH220" i="8"/>
  <c r="Q220" i="8" s="1"/>
  <c r="AH221" i="8"/>
  <c r="AH222" i="8"/>
  <c r="Q222" i="8" s="1"/>
  <c r="AH223" i="8"/>
  <c r="AH224" i="8"/>
  <c r="AH225" i="8"/>
  <c r="AH226" i="8"/>
  <c r="Q226" i="8" s="1"/>
  <c r="AH227" i="8"/>
  <c r="AH228" i="8"/>
  <c r="AH229" i="8"/>
  <c r="AH230" i="8"/>
  <c r="Q230" i="8" s="1"/>
  <c r="AH231" i="8"/>
  <c r="AH232" i="8"/>
  <c r="AH233" i="8"/>
  <c r="AH234" i="8"/>
  <c r="AH235" i="8"/>
  <c r="AH236" i="8"/>
  <c r="AH237" i="8"/>
  <c r="AH238" i="8"/>
  <c r="Q238" i="8" s="1"/>
  <c r="AH239" i="8"/>
  <c r="AH240" i="8"/>
  <c r="AH241" i="8"/>
  <c r="AH242" i="8"/>
  <c r="Q242" i="8" s="1"/>
  <c r="AH243" i="8"/>
  <c r="AH244" i="8"/>
  <c r="Q244" i="8" s="1"/>
  <c r="AH245" i="8"/>
  <c r="AH246" i="8"/>
  <c r="Q246" i="8" s="1"/>
  <c r="AH247" i="8"/>
  <c r="AH248" i="8"/>
  <c r="AH249" i="8"/>
  <c r="Q249" i="8" s="1"/>
  <c r="AH250" i="8"/>
  <c r="AH251" i="8"/>
  <c r="AH252" i="8"/>
  <c r="AH253" i="8"/>
  <c r="AH254" i="8"/>
  <c r="Q254" i="8" s="1"/>
  <c r="AH255" i="8"/>
  <c r="AH256" i="8"/>
  <c r="Q256" i="8" s="1"/>
  <c r="AH257" i="8"/>
  <c r="Q257" i="8" s="1"/>
  <c r="AH258" i="8"/>
  <c r="Q258" i="8" s="1"/>
  <c r="AH259" i="8"/>
  <c r="AH260" i="8"/>
  <c r="AH261" i="8"/>
  <c r="Q261" i="8" s="1"/>
  <c r="AH262" i="8"/>
  <c r="Q262" i="8" s="1"/>
  <c r="AH263" i="8"/>
  <c r="AH264" i="8"/>
  <c r="AH265" i="8"/>
  <c r="AH266" i="8"/>
  <c r="Q266" i="8" s="1"/>
  <c r="AH267" i="8"/>
  <c r="AH268" i="8"/>
  <c r="Q268" i="8" s="1"/>
  <c r="AH269" i="8"/>
  <c r="AH270" i="8"/>
  <c r="AH271" i="8"/>
  <c r="AH272" i="8"/>
  <c r="AH273" i="8"/>
  <c r="AH274" i="8"/>
  <c r="Q274" i="8" s="1"/>
  <c r="AH275" i="8"/>
  <c r="AH276" i="8"/>
  <c r="AH277" i="8"/>
  <c r="AH278" i="8"/>
  <c r="Q278" i="8" s="1"/>
  <c r="AH279" i="8"/>
  <c r="AH280" i="8"/>
  <c r="Q280" i="8" s="1"/>
  <c r="AH281" i="8"/>
  <c r="AH282" i="8"/>
  <c r="Q282" i="8" s="1"/>
  <c r="AH283" i="8"/>
  <c r="AH284" i="8"/>
  <c r="AH285" i="8"/>
  <c r="AH286" i="8"/>
  <c r="AH287" i="8"/>
  <c r="AH288" i="8"/>
  <c r="AH289" i="8"/>
  <c r="AH290" i="8"/>
  <c r="Q290" i="8" s="1"/>
  <c r="AH291" i="8"/>
  <c r="AH292" i="8"/>
  <c r="AH293" i="8"/>
  <c r="AH294" i="8"/>
  <c r="Q294" i="8" s="1"/>
  <c r="AH295" i="8"/>
  <c r="AH296" i="8"/>
  <c r="AH297" i="8"/>
  <c r="AH298" i="8"/>
  <c r="Q298" i="8" s="1"/>
  <c r="AH299" i="8"/>
  <c r="AH300" i="8"/>
  <c r="AH301" i="8"/>
  <c r="AH302" i="8"/>
  <c r="Q302" i="8" s="1"/>
  <c r="AH303" i="8"/>
  <c r="AH304" i="8"/>
  <c r="AH305" i="8"/>
  <c r="AH306" i="8"/>
  <c r="AH307" i="8"/>
  <c r="AH308" i="8"/>
  <c r="AH309" i="8"/>
  <c r="AH310" i="8"/>
  <c r="Q310" i="8" s="1"/>
  <c r="AH311" i="8"/>
  <c r="AH312" i="8"/>
  <c r="AH313" i="8"/>
  <c r="AH314" i="8"/>
  <c r="Q314" i="8" s="1"/>
  <c r="AH315" i="8"/>
  <c r="AH316" i="8"/>
  <c r="Q316" i="8" s="1"/>
  <c r="AH317" i="8"/>
  <c r="AH318" i="8"/>
  <c r="AH319" i="8"/>
  <c r="AH320" i="8"/>
  <c r="AH321" i="8"/>
  <c r="AH322" i="8"/>
  <c r="AH323" i="8"/>
  <c r="AH324" i="8"/>
  <c r="AH325" i="8"/>
  <c r="AH326" i="8"/>
  <c r="Q326" i="8" s="1"/>
  <c r="AH327" i="8"/>
  <c r="AH328" i="8"/>
  <c r="AH329" i="8"/>
  <c r="AH330" i="8"/>
  <c r="AH331" i="8"/>
  <c r="AH332" i="8"/>
  <c r="AH333" i="8"/>
  <c r="AH334" i="8"/>
  <c r="Q334" i="8" s="1"/>
  <c r="AH335" i="8"/>
  <c r="AH336" i="8"/>
  <c r="AH337" i="8"/>
  <c r="AH338" i="8"/>
  <c r="Q338" i="8" s="1"/>
  <c r="AH339" i="8"/>
  <c r="AH340" i="8"/>
  <c r="Q340" i="8" s="1"/>
  <c r="AH341" i="8"/>
  <c r="AH342" i="8"/>
  <c r="AH343" i="8"/>
  <c r="AH344" i="8"/>
  <c r="AH345" i="8"/>
  <c r="Q345" i="8" s="1"/>
  <c r="AH346" i="8"/>
  <c r="Q346" i="8" s="1"/>
  <c r="AH347" i="8"/>
  <c r="AH348" i="8"/>
  <c r="AH349" i="8"/>
  <c r="AH350" i="8"/>
  <c r="Q350" i="8" s="1"/>
  <c r="AH351" i="8"/>
  <c r="AH352" i="8"/>
  <c r="Q352" i="8" s="1"/>
  <c r="AH353" i="8"/>
  <c r="AH354" i="8"/>
  <c r="Q354" i="8" s="1"/>
  <c r="AH355" i="8"/>
  <c r="AH356" i="8"/>
  <c r="AG3" i="8"/>
  <c r="R3" i="8" s="1"/>
  <c r="AG4" i="8"/>
  <c r="R4" i="8" s="1"/>
  <c r="AG5" i="8"/>
  <c r="R5" i="8" s="1"/>
  <c r="AG6" i="8"/>
  <c r="R6" i="8" s="1"/>
  <c r="AG7" i="8"/>
  <c r="R7" i="8" s="1"/>
  <c r="AG8" i="8"/>
  <c r="R8" i="8" s="1"/>
  <c r="AG9" i="8"/>
  <c r="R9" i="8" s="1"/>
  <c r="AG10" i="8"/>
  <c r="R10" i="8" s="1"/>
  <c r="AG11" i="8"/>
  <c r="AG12" i="8"/>
  <c r="AG13" i="8"/>
  <c r="AG14" i="8"/>
  <c r="AG15" i="8"/>
  <c r="R15" i="8" s="1"/>
  <c r="AG16" i="8"/>
  <c r="R16" i="8" s="1"/>
  <c r="AG17" i="8"/>
  <c r="R17" i="8" s="1"/>
  <c r="AG18" i="8"/>
  <c r="R18" i="8" s="1"/>
  <c r="AG19" i="8"/>
  <c r="R19" i="8" s="1"/>
  <c r="AG20" i="8"/>
  <c r="R20" i="8" s="1"/>
  <c r="AG21" i="8"/>
  <c r="AG22" i="8"/>
  <c r="R22" i="8" s="1"/>
  <c r="AG23" i="8"/>
  <c r="R23" i="8" s="1"/>
  <c r="AG24" i="8"/>
  <c r="R24" i="8" s="1"/>
  <c r="AG25" i="8"/>
  <c r="AG26" i="8"/>
  <c r="AG27" i="8"/>
  <c r="R27" i="8" s="1"/>
  <c r="AG28" i="8"/>
  <c r="R28" i="8" s="1"/>
  <c r="AG29" i="8"/>
  <c r="R29" i="8" s="1"/>
  <c r="AG30" i="8"/>
  <c r="R30" i="8" s="1"/>
  <c r="AG31" i="8"/>
  <c r="R31" i="8" s="1"/>
  <c r="AG32" i="8"/>
  <c r="R32" i="8" s="1"/>
  <c r="AG33" i="8"/>
  <c r="R33" i="8" s="1"/>
  <c r="AG34" i="8"/>
  <c r="AG35" i="8"/>
  <c r="AG36" i="8"/>
  <c r="R36" i="8" s="1"/>
  <c r="AG37" i="8"/>
  <c r="AG38" i="8"/>
  <c r="AG39" i="8"/>
  <c r="R39" i="8" s="1"/>
  <c r="AG40" i="8"/>
  <c r="R40" i="8" s="1"/>
  <c r="AG41" i="8"/>
  <c r="R41" i="8" s="1"/>
  <c r="AG42" i="8"/>
  <c r="R42" i="8" s="1"/>
  <c r="AG43" i="8"/>
  <c r="R43" i="8" s="1"/>
  <c r="AG44" i="8"/>
  <c r="R44" i="8" s="1"/>
  <c r="AG45" i="8"/>
  <c r="AG46" i="8"/>
  <c r="AG47" i="8"/>
  <c r="AG48" i="8"/>
  <c r="R48" i="8" s="1"/>
  <c r="AG49" i="8"/>
  <c r="R49" i="8" s="1"/>
  <c r="AG50" i="8"/>
  <c r="AG51" i="8"/>
  <c r="R51" i="8" s="1"/>
  <c r="AG52" i="8"/>
  <c r="R52" i="8" s="1"/>
  <c r="AG53" i="8"/>
  <c r="R53" i="8" s="1"/>
  <c r="AG54" i="8"/>
  <c r="R54" i="8" s="1"/>
  <c r="AG55" i="8"/>
  <c r="R55" i="8" s="1"/>
  <c r="AG56" i="8"/>
  <c r="R56" i="8" s="1"/>
  <c r="AG57" i="8"/>
  <c r="R57" i="8" s="1"/>
  <c r="AG58" i="8"/>
  <c r="R58" i="8" s="1"/>
  <c r="AG59" i="8"/>
  <c r="AG60" i="8"/>
  <c r="AG61" i="8"/>
  <c r="AG62" i="8"/>
  <c r="AG63" i="8"/>
  <c r="R63" i="8" s="1"/>
  <c r="AG64" i="8"/>
  <c r="R64" i="8" s="1"/>
  <c r="AG65" i="8"/>
  <c r="R65" i="8" s="1"/>
  <c r="AG66" i="8"/>
  <c r="R66" i="8" s="1"/>
  <c r="AG67" i="8"/>
  <c r="R67" i="8" s="1"/>
  <c r="AG68" i="8"/>
  <c r="R68" i="8" s="1"/>
  <c r="AG69" i="8"/>
  <c r="R69" i="8" s="1"/>
  <c r="AG70" i="8"/>
  <c r="R70" i="8" s="1"/>
  <c r="AG71" i="8"/>
  <c r="R71" i="8" s="1"/>
  <c r="AG72" i="8"/>
  <c r="R72" i="8" s="1"/>
  <c r="AG73" i="8"/>
  <c r="AG74" i="8"/>
  <c r="R74" i="8" s="1"/>
  <c r="AG75" i="8"/>
  <c r="R75" i="8" s="1"/>
  <c r="AG76" i="8"/>
  <c r="R76" i="8" s="1"/>
  <c r="AG77" i="8"/>
  <c r="R77" i="8" s="1"/>
  <c r="AG78" i="8"/>
  <c r="R78" i="8" s="1"/>
  <c r="AG79" i="8"/>
  <c r="R79" i="8" s="1"/>
  <c r="AG80" i="8"/>
  <c r="R80" i="8" s="1"/>
  <c r="AG81" i="8"/>
  <c r="R81" i="8" s="1"/>
  <c r="AG82" i="8"/>
  <c r="AG83" i="8"/>
  <c r="AG84" i="8"/>
  <c r="R84" i="8" s="1"/>
  <c r="AG85" i="8"/>
  <c r="AG86" i="8"/>
  <c r="AG87" i="8"/>
  <c r="R87" i="8" s="1"/>
  <c r="AG88" i="8"/>
  <c r="R88" i="8" s="1"/>
  <c r="AG89" i="8"/>
  <c r="R89" i="8" s="1"/>
  <c r="R90" i="8"/>
  <c r="R91" i="8"/>
  <c r="AG93" i="8"/>
  <c r="R93" i="8" s="1"/>
  <c r="AG94" i="8"/>
  <c r="R94" i="8" s="1"/>
  <c r="AG95" i="8"/>
  <c r="R95" i="8" s="1"/>
  <c r="AG96" i="8"/>
  <c r="AG97" i="8"/>
  <c r="R97" i="8" s="1"/>
  <c r="AG98" i="8"/>
  <c r="AG99" i="8"/>
  <c r="R99" i="8" s="1"/>
  <c r="AG100" i="8"/>
  <c r="R100" i="8" s="1"/>
  <c r="AG101" i="8"/>
  <c r="R101" i="8" s="1"/>
  <c r="AG102" i="8"/>
  <c r="R102" i="8" s="1"/>
  <c r="AG103" i="8"/>
  <c r="R103" i="8" s="1"/>
  <c r="AG104" i="8"/>
  <c r="R104" i="8" s="1"/>
  <c r="AG105" i="8"/>
  <c r="R105" i="8" s="1"/>
  <c r="AG106" i="8"/>
  <c r="R106" i="8" s="1"/>
  <c r="AG107" i="8"/>
  <c r="R107" i="8" s="1"/>
  <c r="AG108" i="8"/>
  <c r="AG109" i="8"/>
  <c r="AG110" i="8"/>
  <c r="AG111" i="8"/>
  <c r="R111" i="8" s="1"/>
  <c r="AG112" i="8"/>
  <c r="R112" i="8" s="1"/>
  <c r="AG113" i="8"/>
  <c r="R113" i="8" s="1"/>
  <c r="AG114" i="8"/>
  <c r="R114" i="8" s="1"/>
  <c r="R115" i="8"/>
  <c r="AG116" i="8"/>
  <c r="R116" i="8" s="1"/>
  <c r="AG117" i="8"/>
  <c r="R117" i="8" s="1"/>
  <c r="AG118" i="8"/>
  <c r="R118" i="8" s="1"/>
  <c r="AG119" i="8"/>
  <c r="R119" i="8" s="1"/>
  <c r="AG120" i="8"/>
  <c r="R120" i="8" s="1"/>
  <c r="AG121" i="8"/>
  <c r="AG123" i="8"/>
  <c r="R123" i="8" s="1"/>
  <c r="AG124" i="8"/>
  <c r="R124" i="8" s="1"/>
  <c r="AG125" i="8"/>
  <c r="R125" i="8" s="1"/>
  <c r="AG126" i="8"/>
  <c r="R126" i="8" s="1"/>
  <c r="AG127" i="8"/>
  <c r="R127" i="8" s="1"/>
  <c r="AG128" i="8"/>
  <c r="R128" i="8" s="1"/>
  <c r="AG129" i="8"/>
  <c r="R129" i="8" s="1"/>
  <c r="AG130" i="8"/>
  <c r="R130" i="8" s="1"/>
  <c r="AG131" i="8"/>
  <c r="AG132" i="8"/>
  <c r="R132" i="8" s="1"/>
  <c r="AG133" i="8"/>
  <c r="AG134" i="8"/>
  <c r="AG135" i="8"/>
  <c r="R135" i="8" s="1"/>
  <c r="AG136" i="8"/>
  <c r="R136" i="8" s="1"/>
  <c r="AG137" i="8"/>
  <c r="R137" i="8" s="1"/>
  <c r="AG138" i="8"/>
  <c r="R138" i="8" s="1"/>
  <c r="AG139" i="8"/>
  <c r="R139" i="8" s="1"/>
  <c r="AG140" i="8"/>
  <c r="R140" i="8" s="1"/>
  <c r="AG141" i="8"/>
  <c r="R141" i="8" s="1"/>
  <c r="AG142" i="8"/>
  <c r="AG143" i="8"/>
  <c r="AG144" i="8"/>
  <c r="AG145" i="8"/>
  <c r="R145" i="8" s="1"/>
  <c r="AG146" i="8"/>
  <c r="R146" i="8" s="1"/>
  <c r="AG147" i="8"/>
  <c r="R147" i="8" s="1"/>
  <c r="AG148" i="8"/>
  <c r="R148" i="8" s="1"/>
  <c r="AG149" i="8"/>
  <c r="R149" i="8" s="1"/>
  <c r="AG150" i="8"/>
  <c r="R150" i="8" s="1"/>
  <c r="AG151" i="8"/>
  <c r="R151" i="8" s="1"/>
  <c r="AG152" i="8"/>
  <c r="R152" i="8" s="1"/>
  <c r="AG153" i="8"/>
  <c r="R153" i="8" s="1"/>
  <c r="AG154" i="8"/>
  <c r="AG155" i="8"/>
  <c r="AG156" i="8"/>
  <c r="AG157" i="8"/>
  <c r="R159" i="8"/>
  <c r="R160" i="8"/>
  <c r="R161" i="8"/>
  <c r="AG162" i="8"/>
  <c r="R162" i="8" s="1"/>
  <c r="AG163" i="8"/>
  <c r="R163" i="8" s="1"/>
  <c r="AG164" i="8"/>
  <c r="R164" i="8" s="1"/>
  <c r="AG165" i="8"/>
  <c r="R165" i="8" s="1"/>
  <c r="AG166" i="8"/>
  <c r="R166" i="8" s="1"/>
  <c r="AG167" i="8"/>
  <c r="R167" i="8" s="1"/>
  <c r="AG168" i="8"/>
  <c r="R168" i="8" s="1"/>
  <c r="AG169" i="8"/>
  <c r="AG170" i="8"/>
  <c r="AG171" i="8"/>
  <c r="R171" i="8" s="1"/>
  <c r="AG172" i="8"/>
  <c r="R172" i="8" s="1"/>
  <c r="AG173" i="8"/>
  <c r="R173" i="8" s="1"/>
  <c r="AG174" i="8"/>
  <c r="R174" i="8" s="1"/>
  <c r="AG175" i="8"/>
  <c r="R175" i="8" s="1"/>
  <c r="AG176" i="8"/>
  <c r="R176" i="8" s="1"/>
  <c r="AG177" i="8"/>
  <c r="R177" i="8" s="1"/>
  <c r="AG178" i="8"/>
  <c r="R178" i="8" s="1"/>
  <c r="AG179" i="8"/>
  <c r="R179" i="8" s="1"/>
  <c r="AG180" i="8"/>
  <c r="R180" i="8" s="1"/>
  <c r="AG181" i="8"/>
  <c r="AG182" i="8"/>
  <c r="AG183" i="8"/>
  <c r="R183" i="8" s="1"/>
  <c r="AG184" i="8"/>
  <c r="R184" i="8" s="1"/>
  <c r="AG185" i="8"/>
  <c r="R185" i="8" s="1"/>
  <c r="AG186" i="8"/>
  <c r="R186" i="8" s="1"/>
  <c r="AG187" i="8"/>
  <c r="R187" i="8" s="1"/>
  <c r="AG188" i="8"/>
  <c r="R188" i="8" s="1"/>
  <c r="AG189" i="8"/>
  <c r="R189" i="8" s="1"/>
  <c r="AG190" i="8"/>
  <c r="R190" i="8" s="1"/>
  <c r="AG191" i="8"/>
  <c r="R191" i="8" s="1"/>
  <c r="AG192" i="8"/>
  <c r="R192" i="8" s="1"/>
  <c r="AG193" i="8"/>
  <c r="R193" i="8" s="1"/>
  <c r="AG194" i="8"/>
  <c r="AG195" i="8"/>
  <c r="R195" i="8" s="1"/>
  <c r="AG196" i="8"/>
  <c r="R196" i="8" s="1"/>
  <c r="R197" i="8"/>
  <c r="AG198" i="8"/>
  <c r="R198" i="8" s="1"/>
  <c r="AG199" i="8"/>
  <c r="R199" i="8" s="1"/>
  <c r="AG200" i="8"/>
  <c r="R200" i="8" s="1"/>
  <c r="AG201" i="8"/>
  <c r="R201" i="8" s="1"/>
  <c r="AG202" i="8"/>
  <c r="R202" i="8" s="1"/>
  <c r="AG203" i="8"/>
  <c r="R203" i="8" s="1"/>
  <c r="AG204" i="8"/>
  <c r="AG205" i="8"/>
  <c r="AG206" i="8"/>
  <c r="AG207" i="8"/>
  <c r="R207" i="8" s="1"/>
  <c r="AG208" i="8"/>
  <c r="R208" i="8" s="1"/>
  <c r="AG209" i="8"/>
  <c r="R209" i="8" s="1"/>
  <c r="AG210" i="8"/>
  <c r="R210" i="8" s="1"/>
  <c r="AG211" i="8"/>
  <c r="R211" i="8" s="1"/>
  <c r="AG212" i="8"/>
  <c r="R212" i="8" s="1"/>
  <c r="AG213" i="8"/>
  <c r="R213" i="8" s="1"/>
  <c r="AG214" i="8"/>
  <c r="R214" i="8" s="1"/>
  <c r="AG215" i="8"/>
  <c r="R215" i="8" s="1"/>
  <c r="AG216" i="8"/>
  <c r="R216" i="8" s="1"/>
  <c r="AG217" i="8"/>
  <c r="AG218" i="8"/>
  <c r="AG219" i="8"/>
  <c r="R219" i="8" s="1"/>
  <c r="AG220" i="8"/>
  <c r="R220" i="8" s="1"/>
  <c r="AG221" i="8"/>
  <c r="R221" i="8" s="1"/>
  <c r="AG222" i="8"/>
  <c r="R222" i="8" s="1"/>
  <c r="AG223" i="8"/>
  <c r="R223" i="8" s="1"/>
  <c r="AG224" i="8"/>
  <c r="R224" i="8" s="1"/>
  <c r="AG225" i="8"/>
  <c r="R225" i="8" s="1"/>
  <c r="AG226" i="8"/>
  <c r="R226" i="8" s="1"/>
  <c r="AG227" i="8"/>
  <c r="AG228" i="8"/>
  <c r="R228" i="8" s="1"/>
  <c r="AG229" i="8"/>
  <c r="AG230" i="8"/>
  <c r="AG231" i="8"/>
  <c r="R231" i="8" s="1"/>
  <c r="AG232" i="8"/>
  <c r="R232" i="8" s="1"/>
  <c r="AG233" i="8"/>
  <c r="R233" i="8" s="1"/>
  <c r="AG234" i="8"/>
  <c r="R234" i="8" s="1"/>
  <c r="AG235" i="8"/>
  <c r="R235" i="8" s="1"/>
  <c r="AG236" i="8"/>
  <c r="R236" i="8" s="1"/>
  <c r="AG237" i="8"/>
  <c r="R237" i="8" s="1"/>
  <c r="AG238" i="8"/>
  <c r="R238" i="8" s="1"/>
  <c r="AG239" i="8"/>
  <c r="AG240" i="8"/>
  <c r="AG241" i="8"/>
  <c r="R241" i="8" s="1"/>
  <c r="AG242" i="8"/>
  <c r="AG243" i="8"/>
  <c r="R243" i="8" s="1"/>
  <c r="AG244" i="8"/>
  <c r="R244" i="8" s="1"/>
  <c r="AG245" i="8"/>
  <c r="R245" i="8" s="1"/>
  <c r="AG246" i="8"/>
  <c r="R246" i="8" s="1"/>
  <c r="AG247" i="8"/>
  <c r="R247" i="8" s="1"/>
  <c r="AG248" i="8"/>
  <c r="R248" i="8" s="1"/>
  <c r="AG249" i="8"/>
  <c r="R249" i="8" s="1"/>
  <c r="AG250" i="8"/>
  <c r="R250" i="8" s="1"/>
  <c r="AG251" i="8"/>
  <c r="AG252" i="8"/>
  <c r="AG253" i="8"/>
  <c r="AG254" i="8"/>
  <c r="AG255" i="8"/>
  <c r="R255" i="8" s="1"/>
  <c r="AG256" i="8"/>
  <c r="R256" i="8" s="1"/>
  <c r="AG257" i="8"/>
  <c r="R257" i="8" s="1"/>
  <c r="AG258" i="8"/>
  <c r="R258" i="8" s="1"/>
  <c r="AG259" i="8"/>
  <c r="R259" i="8" s="1"/>
  <c r="AG260" i="8"/>
  <c r="R260" i="8" s="1"/>
  <c r="AG261" i="8"/>
  <c r="AG262" i="8"/>
  <c r="R262" i="8" s="1"/>
  <c r="AG263" i="8"/>
  <c r="R263" i="8" s="1"/>
  <c r="AG264" i="8"/>
  <c r="R264" i="8" s="1"/>
  <c r="AG265" i="8"/>
  <c r="AG266" i="8"/>
  <c r="AG267" i="8"/>
  <c r="R267" i="8" s="1"/>
  <c r="AG268" i="8"/>
  <c r="R268" i="8" s="1"/>
  <c r="AG269" i="8"/>
  <c r="R269" i="8" s="1"/>
  <c r="AG270" i="8"/>
  <c r="R270" i="8" s="1"/>
  <c r="AG271" i="8"/>
  <c r="R271" i="8" s="1"/>
  <c r="AG272" i="8"/>
  <c r="R272" i="8" s="1"/>
  <c r="AG273" i="8"/>
  <c r="R273" i="8" s="1"/>
  <c r="AG274" i="8"/>
  <c r="AG275" i="8"/>
  <c r="AG276" i="8"/>
  <c r="R276" i="8" s="1"/>
  <c r="AG277" i="8"/>
  <c r="AG278" i="8"/>
  <c r="AG279" i="8"/>
  <c r="R279" i="8" s="1"/>
  <c r="AG280" i="8"/>
  <c r="R280" i="8" s="1"/>
  <c r="AG281" i="8"/>
  <c r="R281" i="8" s="1"/>
  <c r="AG282" i="8"/>
  <c r="R282" i="8" s="1"/>
  <c r="AG283" i="8"/>
  <c r="R283" i="8" s="1"/>
  <c r="AG284" i="8"/>
  <c r="R284" i="8" s="1"/>
  <c r="AG285" i="8"/>
  <c r="R285" i="8" s="1"/>
  <c r="AG286" i="8"/>
  <c r="R286" i="8" s="1"/>
  <c r="AG287" i="8"/>
  <c r="R287" i="8" s="1"/>
  <c r="AG288" i="8"/>
  <c r="AG289" i="8"/>
  <c r="AG290" i="8"/>
  <c r="AG291" i="8"/>
  <c r="R291" i="8" s="1"/>
  <c r="AG292" i="8"/>
  <c r="R292" i="8" s="1"/>
  <c r="AG293" i="8"/>
  <c r="R293" i="8" s="1"/>
  <c r="AG294" i="8"/>
  <c r="R294" i="8" s="1"/>
  <c r="AG295" i="8"/>
  <c r="R295" i="8" s="1"/>
  <c r="AG296" i="8"/>
  <c r="R296" i="8" s="1"/>
  <c r="AG297" i="8"/>
  <c r="R297" i="8" s="1"/>
  <c r="AG298" i="8"/>
  <c r="R298" i="8" s="1"/>
  <c r="AG299" i="8"/>
  <c r="R299" i="8" s="1"/>
  <c r="AG300" i="8"/>
  <c r="AG301" i="8"/>
  <c r="AG302" i="8"/>
  <c r="AG303" i="8"/>
  <c r="R303" i="8" s="1"/>
  <c r="AG304" i="8"/>
  <c r="R304" i="8" s="1"/>
  <c r="AG305" i="8"/>
  <c r="R305" i="8" s="1"/>
  <c r="AG306" i="8"/>
  <c r="R306" i="8" s="1"/>
  <c r="AG307" i="8"/>
  <c r="R307" i="8" s="1"/>
  <c r="AG308" i="8"/>
  <c r="R308" i="8" s="1"/>
  <c r="AG309" i="8"/>
  <c r="R309" i="8" s="1"/>
  <c r="AG310" i="8"/>
  <c r="R310" i="8" s="1"/>
  <c r="AG311" i="8"/>
  <c r="R311" i="8" s="1"/>
  <c r="AG312" i="8"/>
  <c r="R312" i="8" s="1"/>
  <c r="AG313" i="8"/>
  <c r="AG314" i="8"/>
  <c r="AG315" i="8"/>
  <c r="R315" i="8" s="1"/>
  <c r="AG316" i="8"/>
  <c r="R316" i="8" s="1"/>
  <c r="AG317" i="8"/>
  <c r="R317" i="8" s="1"/>
  <c r="AG318" i="8"/>
  <c r="R318" i="8" s="1"/>
  <c r="AG319" i="8"/>
  <c r="R319" i="8" s="1"/>
  <c r="AG320" i="8"/>
  <c r="R320" i="8" s="1"/>
  <c r="AG321" i="8"/>
  <c r="R321" i="8" s="1"/>
  <c r="AG322" i="8"/>
  <c r="R322" i="8" s="1"/>
  <c r="AG323" i="8"/>
  <c r="AG324" i="8"/>
  <c r="R324" i="8" s="1"/>
  <c r="AG325" i="8"/>
  <c r="AG326" i="8"/>
  <c r="AG327" i="8"/>
  <c r="R327" i="8" s="1"/>
  <c r="AG328" i="8"/>
  <c r="R328" i="8" s="1"/>
  <c r="AG329" i="8"/>
  <c r="R329" i="8" s="1"/>
  <c r="AG330" i="8"/>
  <c r="R330" i="8" s="1"/>
  <c r="AG331" i="8"/>
  <c r="R331" i="8" s="1"/>
  <c r="AG332" i="8"/>
  <c r="R332" i="8" s="1"/>
  <c r="AG333" i="8"/>
  <c r="R333" i="8" s="1"/>
  <c r="AG334" i="8"/>
  <c r="AG335" i="8"/>
  <c r="AG336" i="8"/>
  <c r="R336" i="8" s="1"/>
  <c r="AG337" i="8"/>
  <c r="R337" i="8" s="1"/>
  <c r="AG338" i="8"/>
  <c r="AG339" i="8"/>
  <c r="R339" i="8" s="1"/>
  <c r="AG340" i="8"/>
  <c r="R340" i="8" s="1"/>
  <c r="AG341" i="8"/>
  <c r="R341" i="8" s="1"/>
  <c r="AG342" i="8"/>
  <c r="R342" i="8" s="1"/>
  <c r="AG343" i="8"/>
  <c r="R343" i="8" s="1"/>
  <c r="AG344" i="8"/>
  <c r="R344" i="8" s="1"/>
  <c r="AG345" i="8"/>
  <c r="R345" i="8" s="1"/>
  <c r="AG346" i="8"/>
  <c r="R346" i="8" s="1"/>
  <c r="AG347" i="8"/>
  <c r="AG348" i="8"/>
  <c r="AG349" i="8"/>
  <c r="AG350" i="8"/>
  <c r="AG351" i="8"/>
  <c r="R351" i="8" s="1"/>
  <c r="AG352" i="8"/>
  <c r="R352" i="8" s="1"/>
  <c r="AG353" i="8"/>
  <c r="R353" i="8" s="1"/>
  <c r="AG354" i="8"/>
  <c r="R354" i="8" s="1"/>
  <c r="AG355" i="8"/>
  <c r="R355" i="8" s="1"/>
  <c r="AG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  <c r="A10" i="41"/>
  <c r="A11" i="41" s="1"/>
  <c r="IR11" i="41"/>
  <c r="IW11" i="41"/>
  <c r="IV11" i="41"/>
  <c r="IU11" i="41"/>
  <c r="IT11" i="41"/>
  <c r="IS11" i="41"/>
</calcChain>
</file>

<file path=xl/sharedStrings.xml><?xml version="1.0" encoding="utf-8"?>
<sst xmlns="http://schemas.openxmlformats.org/spreadsheetml/2006/main" count="17043" uniqueCount="3220">
  <si>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</si>
  <si>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</si>
  <si>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</si>
  <si>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</si>
  <si>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</si>
  <si>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</si>
  <si>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</si>
  <si>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</si>
  <si>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</si>
  <si>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</si>
  <si>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</si>
  <si>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</si>
  <si>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</si>
  <si>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</si>
  <si>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</si>
  <si>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</si>
  <si>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</si>
  <si>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</si>
  <si>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</si>
  <si>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</si>
  <si>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</si>
  <si>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</si>
  <si>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</si>
  <si>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</si>
  <si>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</si>
  <si>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</si>
  <si>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</si>
  <si>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</si>
  <si>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</si>
  <si>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</si>
  <si>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</si>
  <si>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</si>
  <si>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</si>
  <si>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</si>
  <si>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</si>
  <si>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</si>
  <si>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</si>
  <si>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</si>
  <si>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</si>
  <si>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</si>
  <si>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</si>
  <si>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</si>
  <si>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</si>
  <si>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</si>
  <si>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</si>
  <si>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</si>
  <si>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</si>
  <si>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</si>
  <si>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</si>
  <si>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</si>
  <si>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</si>
  <si>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</si>
  <si>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</si>
  <si>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</si>
  <si>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</si>
  <si>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</si>
  <si>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</si>
  <si>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</si>
  <si>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</si>
  <si>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</si>
  <si>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</si>
  <si>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</si>
  <si>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</si>
  <si>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</si>
  <si>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</si>
  <si>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</si>
  <si>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</si>
  <si>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</si>
  <si>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</si>
  <si>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</si>
  <si>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</si>
  <si>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</si>
  <si>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</si>
  <si>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</si>
  <si>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</si>
  <si>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</si>
  <si>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</si>
  <si>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</si>
  <si>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</si>
  <si>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</si>
  <si>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</si>
  <si>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</si>
  <si>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</si>
  <si>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</si>
  <si>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</si>
  <si>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</si>
  <si>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</si>
  <si>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</si>
  <si>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</si>
  <si>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</si>
  <si>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</si>
  <si>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</si>
  <si>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</si>
  <si>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</si>
  <si>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</si>
  <si>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</si>
  <si>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</si>
  <si>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</si>
  <si>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</si>
  <si>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</si>
  <si>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</si>
  <si>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</si>
  <si>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</si>
  <si>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</si>
  <si>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</si>
  <si>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</si>
  <si>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</si>
  <si>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</si>
  <si>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</si>
  <si>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</si>
  <si>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</si>
  <si>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</si>
  <si>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</si>
  <si>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</si>
  <si>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</si>
  <si>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</si>
  <si>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</si>
  <si>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</si>
  <si>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</si>
  <si>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</si>
  <si>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</si>
  <si>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</si>
  <si>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</si>
  <si>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</si>
  <si>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</si>
  <si>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</si>
  <si>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</si>
  <si>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</si>
  <si>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</si>
  <si>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</si>
  <si>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</si>
  <si>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</si>
  <si>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</si>
  <si>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</si>
  <si>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</si>
  <si>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</si>
  <si>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</si>
  <si>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</si>
  <si>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</si>
  <si>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</si>
  <si>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</si>
  <si>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</si>
  <si>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</si>
  <si>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</si>
  <si>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</si>
  <si>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</si>
  <si>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</si>
  <si>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</si>
  <si>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</si>
  <si>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</si>
  <si>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</si>
  <si>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</si>
  <si>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</si>
  <si>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</si>
  <si>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</si>
  <si>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</si>
  <si>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</si>
  <si>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</si>
  <si>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</si>
  <si>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</si>
  <si>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</si>
  <si>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</si>
  <si>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</si>
  <si>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</si>
  <si>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</si>
  <si>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</si>
  <si>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</si>
  <si>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</si>
  <si>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</si>
  <si>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</si>
  <si>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</si>
  <si>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</si>
  <si>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</si>
  <si>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</si>
  <si>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</si>
  <si>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</si>
  <si>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</si>
  <si>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</si>
  <si>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</si>
  <si>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</si>
  <si>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</si>
  <si>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</si>
  <si>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</si>
  <si>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</si>
  <si>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</si>
  <si>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</si>
  <si>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</si>
  <si>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</si>
  <si>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</si>
  <si>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</si>
  <si>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</si>
  <si>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</si>
  <si>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</si>
  <si>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</si>
  <si>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</si>
  <si>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</si>
  <si>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</si>
  <si>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</si>
  <si>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</si>
  <si>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</si>
  <si>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</si>
  <si>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</si>
  <si>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</si>
  <si>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</si>
  <si>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</si>
  <si>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</si>
  <si>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</si>
  <si>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</si>
  <si>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</si>
  <si>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</si>
  <si>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</si>
  <si>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</si>
  <si>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</si>
  <si>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</si>
  <si>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</si>
  <si>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</si>
  <si>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</si>
  <si>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</si>
  <si>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</si>
  <si>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</si>
  <si>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</si>
  <si>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</si>
  <si>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</si>
  <si>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</si>
  <si>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</si>
  <si>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</si>
  <si>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</si>
  <si>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</si>
  <si>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</si>
  <si>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</si>
  <si>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</si>
  <si>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</si>
  <si>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</si>
  <si>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</si>
  <si>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</si>
  <si>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</si>
  <si>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</si>
  <si>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</si>
  <si>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</si>
  <si>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</si>
  <si>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</si>
  <si>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</si>
  <si>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</si>
  <si>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</si>
  <si>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</si>
  <si>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</si>
  <si>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</si>
  <si>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</si>
  <si>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</si>
  <si>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</si>
  <si>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</si>
  <si>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</si>
  <si>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</si>
  <si>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</si>
  <si>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</si>
  <si>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</si>
  <si>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</si>
  <si>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</si>
  <si>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</si>
  <si>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</si>
  <si>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</si>
  <si>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</si>
  <si>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</si>
  <si>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</si>
  <si>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</si>
  <si>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</si>
  <si>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</si>
  <si>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</si>
  <si>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</si>
  <si>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</si>
  <si>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</si>
  <si>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</si>
  <si>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</si>
  <si>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</si>
  <si>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</si>
  <si>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</si>
  <si>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</si>
  <si>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</si>
  <si>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</si>
  <si>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</si>
  <si>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</si>
  <si>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</si>
  <si>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</si>
  <si>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</si>
  <si>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</si>
  <si>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</si>
  <si>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</si>
  <si>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</si>
  <si>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</si>
  <si>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</si>
  <si>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</si>
  <si>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</si>
  <si>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</si>
  <si>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</si>
  <si>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</si>
  <si>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</si>
  <si>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</si>
  <si>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</si>
  <si>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</si>
  <si>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</si>
  <si>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</si>
  <si>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</si>
  <si>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</si>
  <si>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</si>
  <si>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</si>
  <si>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</si>
  <si>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</si>
  <si>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</si>
  <si>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</si>
  <si>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</si>
  <si>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</si>
  <si>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</si>
  <si>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</si>
  <si>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</si>
  <si>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</si>
  <si>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</si>
  <si>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</si>
  <si>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</si>
  <si>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</si>
  <si>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</si>
  <si>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</si>
  <si>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</si>
  <si>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</si>
  <si>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</si>
  <si>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</si>
  <si>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</si>
  <si>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</si>
  <si>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</si>
  <si>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</si>
  <si>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</si>
  <si>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</si>
  <si>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</si>
  <si>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</si>
  <si>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</si>
  <si>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</si>
  <si>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</si>
  <si>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</si>
  <si>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</si>
  <si>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</si>
  <si>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</si>
  <si>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</si>
  <si>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</si>
  <si>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</si>
  <si>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</si>
  <si>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</si>
  <si>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</si>
  <si>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</si>
  <si>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</si>
  <si>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</si>
  <si>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</si>
  <si>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</si>
  <si>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</si>
  <si>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</si>
  <si>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</si>
  <si>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</si>
  <si>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</si>
  <si>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</si>
  <si>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</si>
  <si>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</si>
  <si>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</si>
  <si>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</si>
  <si>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</si>
  <si>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</si>
  <si>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</si>
  <si>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</si>
  <si>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</si>
  <si>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</si>
  <si>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</si>
  <si>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</si>
  <si>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</si>
  <si>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</si>
  <si>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</si>
  <si>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</si>
  <si>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</si>
  <si>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</si>
  <si>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</si>
  <si>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</si>
  <si>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</si>
  <si>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</si>
  <si>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</si>
  <si>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</si>
  <si>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</si>
  <si>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</si>
  <si>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</si>
  <si>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</si>
  <si>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</si>
  <si>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</si>
  <si>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</si>
  <si>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</si>
  <si>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</si>
  <si>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</si>
  <si>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</si>
  <si>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</si>
  <si>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</si>
  <si>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</si>
  <si>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</si>
  <si>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</si>
  <si>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</si>
  <si>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</si>
  <si>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</si>
  <si>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</si>
  <si>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</si>
  <si>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</si>
  <si>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</si>
  <si>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</si>
  <si>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</si>
  <si>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</si>
  <si>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</si>
  <si>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</si>
  <si>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</si>
  <si>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</si>
  <si>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</si>
  <si>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</si>
  <si>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</si>
  <si>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</si>
  <si>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</si>
  <si>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</si>
  <si>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</si>
  <si>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</si>
  <si>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</si>
  <si>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</si>
  <si>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</si>
  <si>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</si>
  <si>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</si>
  <si>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</si>
  <si>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</si>
  <si>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</si>
  <si>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</si>
  <si>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</si>
  <si>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</si>
  <si>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</si>
  <si>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</si>
  <si>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</si>
  <si>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</si>
  <si>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</si>
  <si>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</si>
  <si>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</si>
  <si>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</si>
  <si>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</si>
  <si>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</si>
  <si>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</si>
  <si>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</si>
  <si>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</si>
  <si>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</si>
  <si>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</si>
  <si>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</si>
  <si>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</si>
  <si>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</si>
  <si>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</si>
  <si>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</si>
  <si>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</si>
  <si>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</si>
  <si>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</si>
  <si>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</si>
  <si>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</si>
  <si>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</si>
  <si>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</si>
  <si>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</si>
  <si>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</si>
  <si>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</si>
  <si>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</si>
  <si>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</si>
  <si>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</si>
  <si>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</si>
  <si>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</si>
  <si>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</si>
  <si>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</si>
  <si>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</si>
  <si>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</si>
  <si>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</si>
  <si>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</si>
  <si>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</si>
  <si>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</si>
  <si>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</si>
  <si>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</si>
  <si>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</si>
  <si>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</si>
  <si>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</si>
  <si>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</si>
  <si>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</si>
  <si>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</si>
  <si>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</si>
  <si>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</si>
  <si>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</si>
  <si>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</si>
  <si>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</si>
  <si>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</si>
  <si>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</si>
  <si>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</si>
  <si>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</si>
  <si>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</si>
  <si>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</si>
  <si>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</si>
  <si>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</si>
  <si>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</si>
  <si>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</si>
  <si>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</si>
  <si>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</si>
  <si>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</si>
  <si>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</si>
  <si>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</si>
  <si>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</si>
  <si>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</si>
  <si>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</si>
  <si>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</si>
  <si>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</si>
  <si>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</si>
  <si>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</si>
  <si>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</si>
  <si>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</si>
  <si>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</si>
  <si>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</si>
  <si>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</si>
  <si>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</si>
  <si>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</si>
  <si>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</si>
  <si>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</si>
  <si>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</si>
  <si>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</si>
  <si>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</si>
  <si>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</si>
  <si>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</si>
  <si>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</si>
  <si>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</si>
  <si>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</si>
  <si>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</si>
  <si>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</si>
  <si>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</si>
  <si>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</si>
  <si>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</si>
  <si>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</si>
  <si>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</si>
  <si>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</si>
  <si>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</si>
  <si>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</si>
  <si>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</si>
  <si>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</si>
  <si>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</si>
  <si>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</si>
  <si>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</si>
  <si>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</si>
  <si>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</si>
  <si>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</si>
  <si>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</si>
  <si>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</si>
  <si>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</si>
  <si>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</si>
  <si>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</si>
  <si>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</si>
  <si>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</si>
  <si>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</si>
  <si>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</si>
  <si>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</si>
  <si>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</si>
  <si>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</si>
  <si>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</si>
  <si>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</si>
  <si>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</si>
  <si>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</si>
  <si>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</si>
  <si>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</si>
  <si>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</si>
  <si>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</si>
  <si>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</si>
  <si>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</si>
  <si>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</si>
  <si>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</si>
  <si>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</si>
  <si>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</si>
  <si>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</si>
  <si>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</si>
  <si>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</si>
  <si>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</si>
  <si>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</si>
  <si>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</si>
  <si>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</si>
  <si>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</si>
  <si>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</si>
  <si>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</si>
  <si>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</si>
  <si>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</si>
  <si>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</si>
  <si>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</si>
  <si>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</si>
  <si>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</si>
  <si>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</si>
  <si>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</si>
  <si>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303650</t>
  </si>
  <si>
    <t>CAFER ALİ SAVTAK</t>
  </si>
  <si>
    <t>158836</t>
  </si>
  <si>
    <t>CAN GÜLER</t>
  </si>
  <si>
    <t>299268</t>
  </si>
  <si>
    <t>CANSU ACER</t>
  </si>
  <si>
    <t>231273</t>
  </si>
  <si>
    <t>CANSU KAVAKLI</t>
  </si>
  <si>
    <t>215423</t>
  </si>
  <si>
    <t>CELAL İNAL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</si>
  <si>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</si>
  <si>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</si>
  <si>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</si>
  <si>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</si>
  <si>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</si>
  <si>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</si>
  <si>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</si>
  <si>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</si>
  <si>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</si>
  <si>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</si>
  <si>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</si>
  <si>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187504</t>
  </si>
  <si>
    <t>DEMET AKTAŞ</t>
  </si>
  <si>
    <t>194879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</si>
  <si>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</si>
  <si>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</si>
  <si>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</si>
  <si>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</si>
  <si>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</si>
  <si>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</si>
  <si>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</si>
  <si>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</si>
  <si>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</si>
  <si>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</si>
  <si>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</si>
  <si>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</si>
  <si>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</si>
  <si>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</si>
  <si>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</si>
  <si>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</si>
  <si>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</si>
  <si>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</si>
  <si>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</si>
  <si>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</si>
  <si>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</si>
  <si>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</si>
  <si>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</si>
  <si>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</si>
  <si>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</si>
  <si>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</si>
  <si>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</si>
  <si>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</si>
  <si>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</si>
  <si>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</si>
  <si>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</si>
  <si>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</si>
  <si>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</si>
  <si>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</si>
  <si>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</si>
  <si>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</si>
  <si>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</si>
  <si>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</si>
  <si>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</si>
  <si>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</si>
  <si>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</si>
  <si>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</si>
  <si>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</si>
  <si>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</si>
  <si>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</si>
  <si>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</si>
  <si>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</si>
  <si>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</si>
  <si>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</si>
  <si>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</si>
  <si>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</si>
  <si>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</si>
  <si>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</si>
  <si>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</si>
  <si>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</si>
  <si>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</si>
  <si>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</si>
  <si>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</si>
  <si>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</si>
  <si>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</si>
  <si>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</si>
  <si>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</si>
  <si>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</si>
  <si>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</si>
  <si>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</si>
  <si>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</si>
  <si>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</si>
  <si>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</si>
  <si>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</si>
  <si>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</si>
  <si>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</si>
  <si>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</si>
  <si>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</si>
  <si>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</si>
  <si>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</si>
  <si>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</si>
  <si>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</si>
  <si>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</si>
  <si>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</si>
  <si>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</si>
  <si>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</si>
  <si>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</si>
  <si>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</si>
  <si>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</si>
  <si>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</si>
  <si>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</si>
  <si>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</si>
  <si>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</si>
  <si>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</si>
  <si>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</si>
  <si>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</si>
  <si>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</si>
  <si>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</si>
  <si>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</si>
  <si>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</si>
  <si>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</si>
  <si>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</si>
  <si>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</si>
  <si>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</si>
  <si>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</si>
  <si>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</si>
  <si>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</si>
  <si>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</si>
  <si>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</si>
  <si>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</si>
  <si>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</si>
  <si>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</si>
  <si>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</si>
  <si>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</si>
  <si>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</si>
  <si>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</si>
  <si>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</si>
  <si>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</si>
  <si>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</si>
  <si>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</si>
  <si>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</si>
  <si>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</si>
  <si>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</si>
  <si>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</si>
  <si>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</si>
  <si>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</si>
  <si>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</si>
  <si>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</si>
  <si>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</si>
  <si>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</si>
  <si>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</si>
  <si>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</si>
  <si>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</si>
  <si>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</si>
  <si>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</si>
  <si>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</si>
  <si>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</si>
  <si>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</si>
  <si>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</si>
  <si>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</si>
  <si>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</si>
  <si>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</si>
  <si>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</si>
  <si>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</si>
  <si>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</si>
  <si>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</si>
  <si>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</si>
  <si>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</si>
  <si>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</si>
  <si>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</si>
  <si>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</si>
  <si>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</si>
  <si>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</si>
  <si>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</si>
  <si>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</si>
  <si>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</si>
  <si>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</si>
  <si>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</si>
  <si>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</si>
  <si>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</si>
  <si>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</si>
  <si>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</si>
  <si>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</si>
  <si>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</si>
  <si>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</si>
  <si>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</si>
  <si>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</si>
  <si>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</si>
  <si>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</si>
  <si>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</si>
  <si>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</si>
  <si>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278132</t>
  </si>
  <si>
    <t>FIRAT ALTUN</t>
  </si>
  <si>
    <t>112066</t>
  </si>
  <si>
    <t>FİDAN ÖZAKDAŞ</t>
  </si>
  <si>
    <t>274436</t>
  </si>
  <si>
    <t>FİDAN ŞAHİN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</si>
  <si>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</si>
  <si>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</si>
  <si>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</si>
  <si>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</si>
  <si>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</si>
  <si>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</si>
  <si>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</si>
  <si>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</si>
  <si>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</si>
  <si>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</si>
  <si>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</si>
  <si>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</si>
  <si>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</si>
  <si>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</si>
  <si>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</si>
  <si>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</si>
  <si>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</si>
  <si>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</si>
  <si>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</si>
  <si>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</si>
  <si>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</si>
  <si>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</si>
  <si>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</si>
  <si>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</si>
  <si>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</si>
  <si>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</si>
  <si>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</si>
  <si>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</si>
  <si>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</si>
  <si>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</si>
  <si>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</si>
  <si>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</si>
  <si>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</si>
  <si>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</si>
  <si>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</si>
  <si>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</si>
  <si>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</si>
  <si>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</si>
  <si>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</si>
  <si>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</si>
  <si>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</si>
  <si>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</si>
  <si>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</si>
  <si>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</si>
  <si>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</si>
  <si>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</si>
  <si>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</si>
  <si>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</si>
  <si>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</si>
  <si>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</si>
  <si>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</si>
  <si>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</si>
  <si>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</si>
  <si>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</si>
  <si>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</si>
  <si>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</si>
  <si>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</si>
  <si>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</si>
  <si>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</si>
  <si>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</si>
  <si>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</si>
  <si>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</si>
  <si>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</si>
  <si>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</si>
  <si>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</si>
  <si>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</si>
  <si>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</si>
  <si>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</si>
  <si>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</si>
  <si>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</si>
  <si>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</si>
  <si>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</si>
  <si>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</si>
  <si>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</si>
  <si>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</si>
  <si>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</si>
  <si>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</si>
  <si>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</si>
  <si>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</si>
  <si>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</si>
  <si>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</si>
  <si>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</si>
  <si>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</si>
  <si>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</si>
  <si>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</si>
  <si>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</si>
  <si>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</si>
  <si>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</si>
  <si>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</si>
  <si>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</si>
  <si>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</si>
  <si>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</si>
  <si>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</si>
  <si>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</si>
  <si>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</si>
  <si>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</si>
  <si>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</si>
  <si>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</si>
  <si>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</si>
  <si>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</si>
  <si>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</si>
  <si>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</si>
  <si>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</si>
  <si>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</si>
  <si>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</si>
  <si>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</si>
  <si>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</si>
  <si>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</si>
  <si>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</si>
  <si>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</si>
  <si>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</si>
  <si>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</si>
  <si>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</si>
  <si>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</si>
  <si>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</si>
  <si>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</si>
  <si>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</si>
  <si>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</si>
  <si>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</si>
  <si>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</si>
  <si>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</si>
  <si>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</si>
  <si>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</si>
  <si>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</si>
  <si>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</si>
  <si>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</si>
  <si>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</si>
  <si>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</si>
  <si>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</si>
  <si>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</si>
  <si>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</si>
  <si>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</si>
  <si>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</si>
  <si>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</si>
  <si>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</si>
  <si>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</si>
  <si>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</si>
  <si>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</si>
  <si>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</si>
  <si>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</si>
  <si>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</si>
  <si>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</si>
  <si>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</si>
  <si>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</si>
  <si>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</si>
  <si>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</si>
  <si>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</si>
  <si>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</si>
  <si>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</si>
  <si>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</si>
  <si>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</si>
  <si>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</si>
  <si>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</si>
  <si>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</si>
  <si>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</si>
  <si>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</si>
  <si>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</si>
  <si>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</si>
  <si>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</si>
  <si>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</si>
  <si>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</si>
  <si>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</si>
  <si>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</si>
  <si>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</si>
  <si>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</si>
  <si>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</si>
  <si>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</si>
  <si>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</si>
  <si>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</si>
  <si>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</si>
  <si>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</si>
  <si>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</si>
  <si>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</si>
  <si>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</si>
  <si>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</si>
  <si>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</si>
  <si>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</si>
  <si>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</si>
  <si>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</si>
  <si>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</si>
  <si>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</si>
  <si>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</si>
  <si>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</si>
  <si>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</si>
  <si>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</si>
  <si>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</si>
  <si>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</si>
  <si>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</si>
  <si>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</si>
  <si>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</si>
  <si>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</si>
  <si>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</si>
  <si>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</si>
  <si>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</si>
  <si>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</si>
  <si>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</si>
  <si>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</si>
  <si>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</si>
  <si>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</si>
  <si>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</si>
  <si>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</si>
  <si>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</si>
  <si>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</si>
  <si>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</si>
  <si>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</si>
  <si>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</si>
  <si>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</si>
  <si>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</si>
  <si>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</si>
  <si>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</si>
  <si>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</si>
  <si>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</si>
  <si>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</si>
  <si>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</si>
  <si>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</si>
  <si>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</si>
  <si>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</si>
  <si>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</si>
  <si>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</si>
  <si>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</si>
  <si>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</si>
  <si>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</si>
  <si>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</si>
  <si>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</si>
  <si>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</si>
  <si>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</si>
  <si>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</si>
  <si>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</si>
  <si>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</si>
  <si>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</si>
  <si>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</si>
  <si>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</si>
  <si>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</si>
  <si>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</si>
  <si>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</si>
  <si>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</si>
  <si>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</si>
  <si>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</si>
  <si>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</si>
  <si>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</si>
  <si>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</si>
  <si>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</si>
  <si>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</si>
  <si>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</si>
  <si>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</si>
  <si>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</si>
  <si>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</si>
  <si>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</si>
  <si>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</si>
  <si>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</si>
  <si>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</si>
  <si>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</si>
  <si>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</si>
  <si>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</si>
  <si>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</si>
  <si>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</si>
  <si>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</si>
  <si>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</si>
  <si>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</si>
  <si>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</si>
  <si>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</si>
  <si>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</si>
  <si>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</si>
  <si>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</si>
  <si>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</si>
  <si>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</si>
  <si>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</si>
  <si>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</si>
  <si>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</si>
  <si>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</si>
  <si>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</si>
  <si>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</si>
  <si>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</si>
  <si>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</si>
  <si>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</si>
  <si>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</si>
  <si>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</si>
  <si>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</si>
  <si>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</si>
  <si>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</si>
  <si>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</si>
  <si>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</si>
  <si>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</si>
  <si>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</si>
  <si>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</si>
  <si>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</si>
  <si>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</si>
  <si>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</si>
  <si>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</si>
  <si>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</si>
  <si>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</si>
  <si>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</si>
  <si>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</si>
  <si>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</si>
  <si>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</si>
  <si>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</si>
  <si>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</si>
  <si>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</si>
  <si>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</si>
  <si>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</si>
  <si>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</si>
  <si>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</si>
  <si>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</si>
  <si>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</si>
  <si>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</si>
  <si>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</si>
  <si>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</si>
  <si>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</si>
  <si>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</si>
  <si>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</si>
  <si>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</si>
  <si>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</si>
  <si>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293170</t>
  </si>
  <si>
    <t>ÖZLEM KURT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</si>
  <si>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</si>
  <si>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</si>
  <si>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</si>
  <si>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</si>
  <si>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</si>
  <si>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</si>
  <si>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</si>
  <si>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</si>
  <si>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</si>
  <si>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</si>
  <si>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</si>
  <si>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</si>
  <si>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</si>
  <si>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</si>
  <si>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</si>
  <si>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</si>
  <si>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</si>
  <si>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</si>
  <si>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</si>
  <si>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</si>
  <si>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</si>
  <si>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</si>
  <si>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</si>
  <si>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</si>
  <si>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</si>
  <si>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</si>
  <si>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</si>
  <si>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</si>
  <si>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</si>
  <si>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</si>
  <si>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</si>
  <si>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</si>
  <si>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</si>
  <si>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</si>
  <si>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</si>
  <si>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</si>
  <si>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</si>
  <si>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</si>
  <si>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</si>
  <si>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</si>
  <si>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</si>
  <si>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</si>
  <si>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</si>
  <si>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</si>
  <si>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</si>
  <si>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</si>
  <si>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</si>
  <si>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</si>
  <si>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</si>
  <si>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</si>
  <si>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</si>
  <si>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</si>
  <si>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</si>
  <si>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</si>
  <si>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</si>
  <si>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</si>
  <si>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</si>
  <si>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</si>
  <si>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</si>
  <si>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</si>
  <si>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</si>
  <si>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</si>
  <si>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</si>
  <si>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</si>
  <si>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</si>
  <si>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</si>
  <si>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</si>
  <si>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</si>
  <si>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</si>
  <si>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</si>
  <si>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</si>
  <si>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</si>
  <si>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</si>
  <si>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</si>
  <si>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</si>
  <si>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</si>
  <si>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</si>
  <si>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</si>
  <si>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</si>
  <si>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</si>
  <si>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</si>
  <si>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</si>
  <si>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</si>
  <si>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</si>
  <si>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</si>
  <si>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194579</t>
  </si>
  <si>
    <t>SEMRA ŞAHİN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</si>
  <si>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</si>
  <si>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</si>
  <si>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</si>
  <si>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</si>
  <si>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</si>
  <si>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</si>
  <si>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</si>
  <si>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</si>
  <si>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</si>
  <si>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</si>
  <si>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</si>
  <si>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</si>
  <si>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</si>
  <si>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</si>
  <si>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</si>
  <si>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</si>
  <si>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</si>
  <si>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</si>
  <si>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</si>
  <si>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</si>
  <si>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</si>
  <si>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</si>
  <si>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</si>
  <si>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</si>
  <si>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</si>
  <si>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</si>
  <si>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</si>
  <si>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</si>
  <si>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</si>
  <si>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</si>
  <si>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</si>
  <si>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</si>
  <si>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</si>
  <si>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</si>
  <si>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</si>
  <si>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</si>
  <si>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</si>
  <si>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</si>
  <si>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</si>
  <si>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</si>
  <si>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</si>
  <si>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</si>
  <si>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</si>
  <si>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</si>
  <si>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</si>
  <si>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</si>
  <si>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</si>
  <si>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</si>
  <si>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</si>
  <si>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</si>
  <si>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</si>
  <si>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</si>
  <si>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</si>
  <si>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</si>
  <si>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</si>
  <si>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</si>
  <si>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</si>
  <si>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</si>
  <si>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</si>
  <si>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</si>
  <si>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</si>
  <si>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</si>
  <si>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</si>
  <si>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</si>
  <si>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</si>
  <si>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</si>
  <si>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</si>
  <si>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</si>
  <si>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</si>
  <si>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</si>
  <si>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</si>
  <si>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</si>
  <si>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</si>
  <si>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</si>
  <si>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</si>
  <si>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</si>
  <si>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</si>
  <si>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</si>
  <si>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</si>
  <si>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</si>
  <si>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</si>
  <si>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</si>
  <si>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</si>
  <si>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</si>
  <si>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</si>
  <si>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</si>
  <si>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</si>
  <si>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</si>
  <si>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</si>
  <si>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</si>
  <si>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</si>
  <si>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</si>
  <si>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</si>
  <si>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</si>
  <si>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293511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</si>
  <si>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</si>
  <si>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</si>
  <si>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</si>
  <si>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</si>
  <si>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</si>
  <si>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</si>
  <si>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</si>
  <si>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</si>
  <si>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</si>
  <si>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</si>
  <si>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</si>
  <si>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</si>
  <si>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</si>
  <si>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108333</t>
  </si>
  <si>
    <t>ÜMMÜHAN TÜRKAN</t>
  </si>
  <si>
    <t>221548</t>
  </si>
  <si>
    <t>VEDAT TAYDEN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</si>
  <si>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</si>
  <si>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</si>
  <si>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</si>
  <si>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</si>
  <si>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</si>
  <si>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</si>
  <si>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</si>
  <si>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</si>
  <si>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</si>
  <si>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</si>
  <si>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</si>
  <si>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</si>
  <si>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</si>
  <si>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</si>
  <si>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</si>
  <si>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</si>
  <si>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</si>
  <si>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</si>
  <si>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</si>
  <si>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</si>
  <si>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</si>
  <si>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</si>
  <si>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</si>
  <si>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</si>
  <si>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</si>
  <si>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</si>
  <si>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</si>
  <si>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</si>
  <si>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</si>
  <si>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</si>
  <si>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</si>
  <si>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</si>
  <si>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</si>
  <si>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</si>
  <si>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</si>
  <si>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</si>
  <si>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</si>
  <si>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229215</t>
  </si>
  <si>
    <t>YUSUF SEZEN</t>
  </si>
  <si>
    <t>111571</t>
  </si>
  <si>
    <t>YÜCEL DELGE</t>
  </si>
  <si>
    <t>81717</t>
  </si>
  <si>
    <t>YÜCEL POLAT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</si>
  <si>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</si>
  <si>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</si>
  <si>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</si>
  <si>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</si>
  <si>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</si>
  <si>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</si>
  <si>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</si>
  <si>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</si>
  <si>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</si>
  <si>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</si>
  <si>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</si>
  <si>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</si>
  <si>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</si>
  <si>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</si>
  <si>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</si>
  <si>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</si>
  <si>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</si>
  <si>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</si>
  <si>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</si>
  <si>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</si>
  <si>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</si>
  <si>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</si>
  <si>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</si>
  <si>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</si>
  <si>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</si>
  <si>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</si>
  <si>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</si>
  <si>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</si>
  <si>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</si>
  <si>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</si>
  <si>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</si>
  <si>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</si>
  <si>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</si>
  <si>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</si>
  <si>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</si>
  <si>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</si>
  <si>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</si>
  <si>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</si>
  <si>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</si>
  <si>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</si>
  <si>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</si>
  <si>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</si>
  <si>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</si>
  <si>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</si>
  <si>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</si>
  <si>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</si>
  <si>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</si>
  <si>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</si>
  <si>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</si>
  <si>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</si>
  <si>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</si>
  <si>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</si>
  <si>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</si>
  <si>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</si>
  <si>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</si>
  <si>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</si>
  <si>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</si>
  <si>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</si>
  <si>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</si>
  <si>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</si>
  <si>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</si>
  <si>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</si>
  <si>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</si>
  <si>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</si>
  <si>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</si>
  <si>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</si>
  <si>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</si>
  <si>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</si>
  <si>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</si>
  <si>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</si>
  <si>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</si>
  <si>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</si>
  <si>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</si>
  <si>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</si>
  <si>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</si>
  <si>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</si>
  <si>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</si>
  <si>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</si>
  <si>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METİN GÖKTAŞ</t>
  </si>
  <si>
    <t>GÜRSEL ÖZÜBEK</t>
  </si>
  <si>
    <t>194995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</si>
  <si>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</si>
  <si>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</si>
  <si>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</si>
  <si>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</si>
  <si>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</si>
  <si>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</si>
  <si>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</si>
  <si>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GAMZENUR UZUNBAY</t>
  </si>
  <si>
    <t>HACER AYHAN</t>
  </si>
  <si>
    <t>İLKNUR CAN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</si>
  <si>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</si>
  <si>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</si>
  <si>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</si>
  <si>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</si>
  <si>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</si>
  <si>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</si>
  <si>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</si>
  <si>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</si>
  <si>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</si>
  <si>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</si>
  <si>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</si>
  <si>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</si>
  <si>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BERAT CELİL BALCI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</si>
  <si>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</si>
  <si>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</si>
  <si>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</si>
  <si>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</si>
  <si>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</si>
  <si>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</si>
  <si>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</si>
  <si>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</si>
  <si>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</si>
  <si>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</si>
  <si>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</si>
  <si>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</si>
  <si>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</si>
  <si>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</si>
  <si>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</si>
  <si>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</si>
  <si>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</si>
  <si>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</si>
  <si>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</si>
  <si>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</si>
  <si>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</si>
  <si>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</si>
  <si>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</si>
  <si>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</si>
  <si>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</si>
  <si>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</si>
  <si>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</si>
  <si>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</si>
  <si>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</si>
  <si>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</si>
  <si>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</si>
  <si>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</si>
  <si>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</si>
  <si>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</si>
  <si>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</si>
  <si>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290504</t>
  </si>
  <si>
    <t>265500</t>
  </si>
  <si>
    <t>267966</t>
  </si>
  <si>
    <t>189228</t>
  </si>
  <si>
    <t>121910</t>
  </si>
  <si>
    <t>173210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</si>
  <si>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</si>
  <si>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</si>
  <si>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</si>
  <si>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</si>
  <si>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</si>
  <si>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</si>
  <si>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</si>
  <si>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</si>
  <si>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</si>
  <si>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158390</t>
  </si>
  <si>
    <t>145377</t>
  </si>
  <si>
    <t>CEYLAN KUŞ</t>
  </si>
  <si>
    <t>ELİF KUŞ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</si>
  <si>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</si>
  <si>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</si>
  <si>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</si>
  <si>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</si>
  <si>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</si>
  <si>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</si>
  <si>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</si>
  <si>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</si>
  <si>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</si>
  <si>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</si>
  <si>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</si>
  <si>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</si>
  <si>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</si>
  <si>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</si>
  <si>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</si>
  <si>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</si>
  <si>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</si>
  <si>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</si>
  <si>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</si>
  <si>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</si>
  <si>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</si>
  <si>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</si>
  <si>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</si>
  <si>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</si>
  <si>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</si>
  <si>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</si>
  <si>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</si>
  <si>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</si>
  <si>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</si>
  <si>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</si>
  <si>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</si>
  <si>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</si>
  <si>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</si>
  <si>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</si>
  <si>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</si>
  <si>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</si>
  <si>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</si>
  <si>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</si>
  <si>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</si>
  <si>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</si>
  <si>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</si>
  <si>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</si>
  <si>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</si>
  <si>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</si>
  <si>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</si>
  <si>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</si>
  <si>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</si>
  <si>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</si>
  <si>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</si>
  <si>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</si>
  <si>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</si>
  <si>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</si>
  <si>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</si>
  <si>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</si>
  <si>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</si>
  <si>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</si>
  <si>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</si>
  <si>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</si>
  <si>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</si>
  <si>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</si>
  <si>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</si>
  <si>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</si>
  <si>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</si>
  <si>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</si>
  <si>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</si>
  <si>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</si>
  <si>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</si>
  <si>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</si>
  <si>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</si>
  <si>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</si>
  <si>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</si>
  <si>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</si>
  <si>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</si>
  <si>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</si>
  <si>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</si>
  <si>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</si>
  <si>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</si>
  <si>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195108</t>
  </si>
  <si>
    <t>HAKKI CAN ARSLAN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</si>
  <si>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</si>
  <si>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</si>
  <si>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</si>
  <si>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</si>
  <si>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</si>
  <si>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</si>
  <si>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</si>
  <si>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</si>
  <si>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</si>
  <si>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</si>
  <si>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</si>
  <si>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</si>
  <si>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</si>
  <si>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</si>
  <si>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</si>
  <si>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</si>
  <si>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</si>
  <si>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</si>
  <si>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</si>
  <si>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</si>
  <si>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</si>
  <si>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</si>
  <si>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</si>
  <si>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</si>
  <si>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</si>
  <si>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</si>
  <si>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</si>
  <si>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</si>
  <si>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</si>
  <si>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</si>
  <si>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</si>
  <si>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</si>
  <si>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</si>
  <si>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</si>
  <si>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</si>
  <si>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</si>
  <si>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</si>
  <si>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</si>
  <si>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</si>
  <si>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</si>
  <si>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</si>
  <si>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</si>
  <si>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</si>
  <si>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</si>
  <si>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</si>
  <si>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</si>
  <si>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</si>
  <si>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325727</t>
  </si>
  <si>
    <t>HASAN HÜSEYİN DEĞİRMENCİ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</si>
  <si>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</si>
  <si>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</si>
  <si>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</si>
  <si>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</si>
  <si>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</si>
  <si>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</si>
  <si>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</si>
  <si>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</si>
  <si>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</si>
  <si>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</si>
  <si>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</si>
  <si>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</si>
  <si>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</si>
  <si>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</si>
  <si>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</si>
  <si>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</si>
  <si>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</si>
  <si>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</si>
  <si>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</si>
  <si>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</si>
  <si>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</si>
  <si>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</si>
  <si>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</si>
  <si>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</si>
  <si>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</si>
  <si>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</si>
  <si>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</si>
  <si>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</si>
  <si>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</si>
  <si>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</si>
  <si>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</si>
  <si>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</si>
  <si>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</si>
  <si>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</si>
  <si>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</si>
  <si>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</si>
  <si>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</si>
  <si>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</si>
  <si>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</si>
  <si>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</si>
  <si>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</si>
  <si>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</si>
  <si>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OPERASYON YÖNETİCİSİ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</si>
  <si>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</si>
  <si>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</si>
  <si>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</si>
  <si>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</si>
  <si>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</si>
  <si>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</si>
  <si>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</si>
  <si>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</si>
  <si>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</si>
  <si>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</si>
  <si>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</si>
  <si>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</si>
  <si>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</si>
  <si>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</si>
  <si>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</si>
  <si>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</si>
  <si>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</si>
  <si>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</si>
  <si>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</si>
  <si>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</si>
  <si>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</si>
  <si>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</si>
  <si>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</si>
  <si>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</si>
  <si>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</si>
  <si>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</si>
  <si>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</si>
  <si>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</si>
  <si>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</si>
  <si>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</si>
  <si>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</si>
  <si>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</si>
  <si>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</si>
  <si>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</si>
  <si>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</si>
  <si>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</si>
  <si>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</si>
  <si>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</si>
  <si>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</si>
  <si>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</si>
  <si>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</si>
  <si>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</si>
  <si>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</si>
  <si>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</si>
  <si>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</si>
  <si>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</si>
  <si>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</si>
  <si>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</si>
  <si>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</si>
  <si>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</si>
  <si>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</si>
  <si>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</si>
  <si>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</si>
  <si>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</si>
  <si>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</si>
  <si>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</si>
  <si>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</si>
  <si>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</si>
  <si>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</si>
  <si>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</si>
  <si>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329226</t>
  </si>
  <si>
    <t>ÖZCAN BOLAT</t>
  </si>
  <si>
    <t>329207</t>
  </si>
  <si>
    <t>SEFA ÇALIŞKAN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</si>
  <si>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</si>
  <si>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</si>
  <si>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</si>
  <si>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</si>
  <si>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</si>
  <si>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</si>
  <si>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</si>
  <si>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</si>
  <si>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</si>
  <si>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</si>
  <si>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</si>
  <si>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</si>
  <si>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</si>
  <si>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</si>
  <si>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</si>
  <si>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</si>
  <si>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</si>
  <si>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</si>
  <si>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</si>
  <si>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</si>
  <si>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</si>
  <si>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</si>
  <si>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</si>
  <si>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</si>
  <si>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</si>
  <si>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</si>
  <si>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</si>
  <si>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</si>
  <si>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</si>
  <si>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</si>
  <si>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</si>
  <si>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</si>
  <si>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</si>
  <si>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</si>
  <si>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</si>
  <si>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</si>
  <si>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329433</t>
  </si>
  <si>
    <t>YUNUS EMRE ÇAKIROĞLU</t>
  </si>
  <si>
    <t>329429</t>
  </si>
  <si>
    <t>CİHAN POLAT</t>
  </si>
  <si>
    <t>329425</t>
  </si>
  <si>
    <t>ŞÜKRAN KILIÇ</t>
  </si>
  <si>
    <t>329302</t>
  </si>
  <si>
    <t>MUSTAFA SARAÇLI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</si>
  <si>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</si>
  <si>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</si>
  <si>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</si>
  <si>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</si>
  <si>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</si>
  <si>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</si>
  <si>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</si>
  <si>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</si>
  <si>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</si>
  <si>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</si>
  <si>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</si>
  <si>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</si>
  <si>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</si>
  <si>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</si>
  <si>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</si>
  <si>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</si>
  <si>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</si>
  <si>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329614</t>
  </si>
  <si>
    <t>SERDAR MORKOÇ</t>
  </si>
  <si>
    <t>ÇAĞLA KORKMAZ</t>
  </si>
  <si>
    <t>ESRA GÜÇLÜ</t>
  </si>
  <si>
    <t>SALİHE SARIASLAN</t>
  </si>
  <si>
    <t>AYHAN  ÇELİK</t>
  </si>
  <si>
    <t>SİHEM ŞAHİN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</si>
  <si>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</si>
  <si>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</si>
  <si>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</si>
  <si>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</si>
  <si>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</si>
  <si>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</si>
  <si>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</si>
  <si>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</si>
  <si>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</si>
  <si>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</si>
  <si>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</si>
  <si>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</si>
  <si>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</si>
  <si>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</si>
  <si>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329910</t>
  </si>
  <si>
    <t>ÇİĞDEM KAYA</t>
  </si>
  <si>
    <t>330166</t>
  </si>
  <si>
    <t>MEDİNE TOP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</si>
  <si>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</si>
  <si>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</si>
  <si>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</si>
  <si>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</si>
  <si>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</si>
  <si>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</si>
  <si>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</si>
  <si>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</si>
  <si>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</si>
  <si>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</si>
  <si>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</si>
  <si>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</si>
  <si>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330203</t>
  </si>
  <si>
    <t>HAVVA ÖZKARA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</si>
  <si>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</si>
  <si>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</si>
  <si>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</si>
  <si>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</si>
  <si>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</si>
  <si>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</si>
  <si>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</si>
  <si>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</si>
  <si>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</si>
  <si>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</si>
  <si>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</si>
  <si>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</si>
  <si>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Sipariş Takip TL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</si>
  <si>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</si>
  <si>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</si>
  <si>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</si>
  <si>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</si>
  <si>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</si>
  <si>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</si>
  <si>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</si>
  <si>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</si>
  <si>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</si>
  <si>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</si>
  <si>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</si>
  <si>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</si>
  <si>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</si>
  <si>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</si>
  <si>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</si>
  <si>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</si>
  <si>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</si>
  <si>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</si>
  <si>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</si>
  <si>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</si>
  <si>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</si>
  <si>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</si>
  <si>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</si>
  <si>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</si>
  <si>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</si>
  <si>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</si>
  <si>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</si>
  <si>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</si>
  <si>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</si>
  <si>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</si>
  <si>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</si>
  <si>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</si>
  <si>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</si>
  <si>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</si>
  <si>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</si>
  <si>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</si>
  <si>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</si>
  <si>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</si>
  <si>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</si>
  <si>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</si>
  <si>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</si>
  <si>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</si>
  <si>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</si>
  <si>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</si>
  <si>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</si>
  <si>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</si>
  <si>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</si>
  <si>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</si>
  <si>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</si>
  <si>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</si>
  <si>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</si>
  <si>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</si>
  <si>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</si>
  <si>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</si>
  <si>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</si>
  <si>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</si>
  <si>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</si>
  <si>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</si>
  <si>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</si>
  <si>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</si>
  <si>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</si>
  <si>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</si>
  <si>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</si>
  <si>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</si>
  <si>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</si>
  <si>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</si>
  <si>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</si>
  <si>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</si>
  <si>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</si>
  <si>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</si>
  <si>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</si>
  <si>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</si>
  <si>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</si>
  <si>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</si>
  <si>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</si>
  <si>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</si>
  <si>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</si>
  <si>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</si>
  <si>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</si>
  <si>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</si>
  <si>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</si>
  <si>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</si>
  <si>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</si>
  <si>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</si>
  <si>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</si>
  <si>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</si>
  <si>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</si>
  <si>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</si>
  <si>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</si>
  <si>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</si>
  <si>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</si>
  <si>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</si>
  <si>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</si>
  <si>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</si>
  <si>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</si>
  <si>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</si>
  <si>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</si>
  <si>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</si>
  <si>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</si>
  <si>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</si>
  <si>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</si>
  <si>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</si>
  <si>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</si>
  <si>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</si>
  <si>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</si>
  <si>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</si>
  <si>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</si>
  <si>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</si>
  <si>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</si>
  <si>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</si>
  <si>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</si>
  <si>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</si>
  <si>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</si>
  <si>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</si>
  <si>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</si>
  <si>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</si>
  <si>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</si>
  <si>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</si>
  <si>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</si>
  <si>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</si>
  <si>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</si>
  <si>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</si>
  <si>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</si>
  <si>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</si>
  <si>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</si>
  <si>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</si>
  <si>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</si>
  <si>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</si>
  <si>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</si>
  <si>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</si>
  <si>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</si>
  <si>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</si>
  <si>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</si>
  <si>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</si>
  <si>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</si>
  <si>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</si>
  <si>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</si>
  <si>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</si>
  <si>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</si>
  <si>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</si>
  <si>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</si>
  <si>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</si>
  <si>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</si>
  <si>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</si>
  <si>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</si>
  <si>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</si>
  <si>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</si>
  <si>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</si>
  <si>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</si>
  <si>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</si>
  <si>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</si>
  <si>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</si>
  <si>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</si>
  <si>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</si>
  <si>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</si>
  <si>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</si>
  <si>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</si>
  <si>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</si>
  <si>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</si>
  <si>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</si>
  <si>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</si>
  <si>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</si>
  <si>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</si>
  <si>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</si>
  <si>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</si>
  <si>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</si>
  <si>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</si>
  <si>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</si>
  <si>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</si>
  <si>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</si>
  <si>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</si>
  <si>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</si>
  <si>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</si>
  <si>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</si>
  <si>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</si>
  <si>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</si>
  <si>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</si>
  <si>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</si>
  <si>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</si>
  <si>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</si>
  <si>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</si>
  <si>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</si>
  <si>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</si>
  <si>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</si>
  <si>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</si>
  <si>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</si>
  <si>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</si>
  <si>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</si>
  <si>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</si>
  <si>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</si>
  <si>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</si>
  <si>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</si>
  <si>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</si>
  <si>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</si>
  <si>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</si>
  <si>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</si>
  <si>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</si>
  <si>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</si>
  <si>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</si>
  <si>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</si>
  <si>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</si>
  <si>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</si>
  <si>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</si>
  <si>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</si>
  <si>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</si>
  <si>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</si>
  <si>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</si>
  <si>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</si>
  <si>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</si>
  <si>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</si>
  <si>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</si>
  <si>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</si>
  <si>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</si>
  <si>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</si>
  <si>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</si>
  <si>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</si>
  <si>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</si>
  <si>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</si>
  <si>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</si>
  <si>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</si>
  <si>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</si>
  <si>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</si>
  <si>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</si>
  <si>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</si>
  <si>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</si>
  <si>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</si>
  <si>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</si>
  <si>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</si>
  <si>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</si>
  <si>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</si>
  <si>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</si>
  <si>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</si>
  <si>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</si>
  <si>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</si>
  <si>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</si>
  <si>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</si>
  <si>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</si>
  <si>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</si>
  <si>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</si>
  <si>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</si>
  <si>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</si>
  <si>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</si>
  <si>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</si>
  <si>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</si>
  <si>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</si>
  <si>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</si>
  <si>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</si>
  <si>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</si>
  <si>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</si>
  <si>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</si>
  <si>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</si>
  <si>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</si>
  <si>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</si>
  <si>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</si>
  <si>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</si>
  <si>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</si>
  <si>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</si>
  <si>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</si>
  <si>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</si>
  <si>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</si>
  <si>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</si>
  <si>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</si>
  <si>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</si>
  <si>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</si>
  <si>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</si>
  <si>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</si>
  <si>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</si>
  <si>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</si>
  <si>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</si>
  <si>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</si>
  <si>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</si>
  <si>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</si>
  <si>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</si>
  <si>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</si>
  <si>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</si>
  <si>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</si>
  <si>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</si>
  <si>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</si>
  <si>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</si>
  <si>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</si>
  <si>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</si>
  <si>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</si>
  <si>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</si>
  <si>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</si>
  <si>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</si>
  <si>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</si>
  <si>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</si>
  <si>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</si>
  <si>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</si>
  <si>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</si>
  <si>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</si>
  <si>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</si>
  <si>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</si>
  <si>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</si>
  <si>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</si>
  <si>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</si>
  <si>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</si>
  <si>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</si>
  <si>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</si>
  <si>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</si>
  <si>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</si>
  <si>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</si>
  <si>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</si>
  <si>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</si>
  <si>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</si>
  <si>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</si>
  <si>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</si>
  <si>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</si>
  <si>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</si>
  <si>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</si>
  <si>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</si>
  <si>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</si>
  <si>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</si>
  <si>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</si>
  <si>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</si>
  <si>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</si>
  <si>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</si>
  <si>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</si>
  <si>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</si>
  <si>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</si>
  <si>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</si>
  <si>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</si>
  <si>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</si>
  <si>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</si>
  <si>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</si>
  <si>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</si>
  <si>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</si>
  <si>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</si>
  <si>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</si>
  <si>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</si>
  <si>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</si>
  <si>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</si>
  <si>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</si>
  <si>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</si>
  <si>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</si>
  <si>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</si>
  <si>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</si>
  <si>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</si>
  <si>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</si>
  <si>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</si>
  <si>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</si>
  <si>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</si>
  <si>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</si>
  <si>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</si>
  <si>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</si>
  <si>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</si>
  <si>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</si>
  <si>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</si>
  <si>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</si>
  <si>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</si>
  <si>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</si>
  <si>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</si>
  <si>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</si>
  <si>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</si>
  <si>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</si>
  <si>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</si>
  <si>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</si>
  <si>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</si>
  <si>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</si>
  <si>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</si>
  <si>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</si>
  <si>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</si>
  <si>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</si>
  <si>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</si>
  <si>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</si>
  <si>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</si>
  <si>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</si>
  <si>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</si>
  <si>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</si>
  <si>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</si>
  <si>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</si>
  <si>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</si>
  <si>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</si>
  <si>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</si>
  <si>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</si>
  <si>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</si>
  <si>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</si>
  <si>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</si>
  <si>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</si>
  <si>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</si>
  <si>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</si>
  <si>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</si>
  <si>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</si>
  <si>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</si>
  <si>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</si>
  <si>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</si>
  <si>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</si>
  <si>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</si>
  <si>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</si>
  <si>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</si>
  <si>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</si>
  <si>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</si>
  <si>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</si>
  <si>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</si>
  <si>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</si>
  <si>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</si>
  <si>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</si>
  <si>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</si>
  <si>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</si>
  <si>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</si>
  <si>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</si>
  <si>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</si>
  <si>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</si>
  <si>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</si>
  <si>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</si>
  <si>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</si>
  <si>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NURCAN TANAÇ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</si>
  <si>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</si>
  <si>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</si>
  <si>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</si>
  <si>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</si>
  <si>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</si>
  <si>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</si>
  <si>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</si>
  <si>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</si>
  <si>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</si>
  <si>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</si>
  <si>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</si>
  <si>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</si>
  <si>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</si>
  <si>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</si>
  <si>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</si>
  <si>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HELİN ÇETİNKAYA</t>
  </si>
  <si>
    <t>MERYEM GÜNER</t>
  </si>
  <si>
    <t>BEYZANUR BAKIR</t>
  </si>
  <si>
    <t>İKLİME PELİT</t>
  </si>
  <si>
    <t>ÇİÇEK ÖZCAN</t>
  </si>
  <si>
    <t>KADER ÜSTÜNBAŞ</t>
  </si>
  <si>
    <t>SERDAR ÖZER</t>
  </si>
  <si>
    <t>ÖZLEM HAKYEMEZ</t>
  </si>
  <si>
    <t>ROJBİN DEMİR</t>
  </si>
  <si>
    <t>NEŞE İLA</t>
  </si>
  <si>
    <t>NURTEN ŞENER</t>
  </si>
  <si>
    <t>SEDAT AKTAŞ</t>
  </si>
  <si>
    <t>CEYLAN DEMİR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</si>
  <si>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</si>
  <si>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</si>
  <si>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</si>
  <si>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</si>
  <si>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</si>
  <si>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</si>
  <si>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</si>
  <si>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</si>
  <si>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</si>
  <si>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CEMİLE İNAL</t>
  </si>
  <si>
    <t>HAZAL ERDAL</t>
  </si>
  <si>
    <t>RIDVAN İŞNAS</t>
  </si>
  <si>
    <t>SEDEF ÇİNER</t>
  </si>
  <si>
    <t>FURKAN ULUTAŞ</t>
  </si>
  <si>
    <t>HAKAN YAŞAR</t>
  </si>
  <si>
    <t>HARUN GÜLTEKİN</t>
  </si>
  <si>
    <t>340589</t>
  </si>
  <si>
    <t>291517</t>
  </si>
  <si>
    <t>340623</t>
  </si>
  <si>
    <t>239764</t>
  </si>
  <si>
    <t>340534</t>
  </si>
  <si>
    <t>340533</t>
  </si>
  <si>
    <t>340581</t>
  </si>
  <si>
    <t>340536</t>
  </si>
  <si>
    <t>340549</t>
  </si>
  <si>
    <t>277855</t>
  </si>
  <si>
    <t>340551</t>
  </si>
  <si>
    <t>340558</t>
  </si>
  <si>
    <t>340777</t>
  </si>
  <si>
    <t>340750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</si>
  <si>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</si>
  <si>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</si>
  <si>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</si>
  <si>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</si>
  <si>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</si>
  <si>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</si>
  <si>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</si>
  <si>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</si>
  <si>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</si>
  <si>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341070</t>
  </si>
  <si>
    <t>341074</t>
  </si>
  <si>
    <t>341162</t>
  </si>
  <si>
    <t>341143</t>
  </si>
  <si>
    <t>341156</t>
  </si>
  <si>
    <t>341157</t>
  </si>
  <si>
    <t>341094</t>
  </si>
  <si>
    <t>FERHAT YILDIZ</t>
  </si>
  <si>
    <t>CANER ERDEM</t>
  </si>
  <si>
    <t>ÖMER DEMİR</t>
  </si>
  <si>
    <t>SEMİH GÜVEN</t>
  </si>
  <si>
    <t>MURAT CAN ÇİNAR</t>
  </si>
  <si>
    <t>CİHAN KOÇ</t>
  </si>
  <si>
    <t>DİYAR İŞİN</t>
  </si>
  <si>
    <t>YUSUF ELALDI</t>
  </si>
  <si>
    <t>MELEK ERDEM</t>
  </si>
  <si>
    <t>SEVAL ABAY</t>
  </si>
  <si>
    <t>RAVZA AYDİN</t>
  </si>
  <si>
    <t>ŞEYMA EZGİN</t>
  </si>
  <si>
    <t>HEDİYE ÖZDEMİR</t>
  </si>
  <si>
    <t>SEMANUR SAYAN</t>
  </si>
  <si>
    <t>ELİF İLBAY</t>
  </si>
  <si>
    <t>NAZLICAN AYDOĞMUŞ</t>
  </si>
  <si>
    <t>BERİVAN KILIÇ</t>
  </si>
  <si>
    <t>ZEYNEP BAHÇİ</t>
  </si>
  <si>
    <t>AYSUN ÇEÇEN</t>
  </si>
  <si>
    <t>MUHAMMET HALİL AKTAŞ</t>
  </si>
  <si>
    <t>ŞEVİN TEMEL</t>
  </si>
  <si>
    <t>KİFAYET GAMZE BAŞKAPAN</t>
  </si>
  <si>
    <t>ZEYNEP DOĞAN</t>
  </si>
  <si>
    <t>SUNA YALVAÇ</t>
  </si>
  <si>
    <t>BERFİN AKTAĞ</t>
  </si>
  <si>
    <t>MELEK ASLAN</t>
  </si>
  <si>
    <t>MUSTAFA BAY</t>
  </si>
  <si>
    <t>KÜBRA YAĞUZLUK</t>
  </si>
  <si>
    <t>KÜBRA ZERRİN ACAR</t>
  </si>
  <si>
    <t>GÜLİZAR YILMAZ</t>
  </si>
  <si>
    <t>AYŞENUR BİLEN</t>
  </si>
  <si>
    <t>341646</t>
  </si>
  <si>
    <t>341606</t>
  </si>
  <si>
    <t>341648</t>
  </si>
  <si>
    <t>341617</t>
  </si>
  <si>
    <t>344474</t>
  </si>
  <si>
    <t>196390</t>
  </si>
  <si>
    <t>344478</t>
  </si>
  <si>
    <t>344480</t>
  </si>
  <si>
    <t>297576</t>
  </si>
  <si>
    <t>265405</t>
  </si>
  <si>
    <t>344496</t>
  </si>
  <si>
    <t>344505</t>
  </si>
  <si>
    <t>249251</t>
  </si>
  <si>
    <t>278343</t>
  </si>
  <si>
    <t>344514</t>
  </si>
  <si>
    <t>344653</t>
  </si>
  <si>
    <t>344655</t>
  </si>
  <si>
    <t>344658</t>
  </si>
  <si>
    <t>344811</t>
  </si>
  <si>
    <t>344817</t>
  </si>
  <si>
    <t>344841</t>
  </si>
  <si>
    <t>344594</t>
  </si>
  <si>
    <t>344657</t>
  </si>
  <si>
    <t>344604</t>
  </si>
  <si>
    <t>344612</t>
  </si>
  <si>
    <t>344725</t>
  </si>
  <si>
    <t>344842</t>
  </si>
  <si>
    <t>345529</t>
  </si>
  <si>
    <t>345093</t>
  </si>
  <si>
    <t>345095</t>
  </si>
  <si>
    <t>345428</t>
  </si>
  <si>
    <t>345091</t>
  </si>
  <si>
    <t>345085</t>
  </si>
  <si>
    <t>345089</t>
  </si>
  <si>
    <t>345531</t>
  </si>
  <si>
    <t>345533</t>
  </si>
  <si>
    <t>Crossborder</t>
  </si>
  <si>
    <t>Müşteri Çıkış Adet</t>
  </si>
  <si>
    <t>Boş Koltuk</t>
  </si>
  <si>
    <t>ÖZGÜR SANCAR</t>
  </si>
  <si>
    <t>DEMET ŞAHİN</t>
  </si>
  <si>
    <t>DOĞUKAN KILIÇ</t>
  </si>
  <si>
    <t>MUHAMMET ALKAN</t>
  </si>
  <si>
    <t>MUHAMMET SAİT YILAN</t>
  </si>
  <si>
    <t>CANAN MEŞE</t>
  </si>
  <si>
    <t>SERAP GEVREK</t>
  </si>
  <si>
    <t>BERFİN KARAKAŞ</t>
  </si>
  <si>
    <t>HÜSEYİN CULFA</t>
  </si>
  <si>
    <t>KADİR MENTEŞ</t>
  </si>
  <si>
    <t>ŞEVVAL COŞKUN</t>
  </si>
  <si>
    <t>BİLAL CEYLAN</t>
  </si>
  <si>
    <t>EMRE ÇETİN</t>
  </si>
  <si>
    <t>ÖMER ŞAHİN</t>
  </si>
  <si>
    <t>MUHAMMET RIZA AÇIKÇA</t>
  </si>
  <si>
    <t>CANER YİĞİT</t>
  </si>
  <si>
    <t>ABDULLAH EYÜP GÜLÜN</t>
  </si>
  <si>
    <t>BURCU KARAKAŞ</t>
  </si>
  <si>
    <t>LOKMAN UYĞUR</t>
  </si>
  <si>
    <t>ADİLE KAYA</t>
  </si>
  <si>
    <t>ŞÜKRAN KARABULUT</t>
  </si>
  <si>
    <t>SONGÜL AYDIN</t>
  </si>
  <si>
    <t>AHMET EFE KARAKAYA</t>
  </si>
  <si>
    <t>MERVE ÜNALAN</t>
  </si>
  <si>
    <t>İSHAK IĞDIR</t>
  </si>
  <si>
    <t>FATMA LEYLA KALAFAT</t>
  </si>
  <si>
    <t>BAHAR METE</t>
  </si>
  <si>
    <t>SEMA ARİ</t>
  </si>
  <si>
    <t>AHMET MELİH GELİBOLU</t>
  </si>
  <si>
    <t>ARJİN ÖZKAN</t>
  </si>
  <si>
    <t>ARİF KAYA</t>
  </si>
  <si>
    <t>SERAP MADEN</t>
  </si>
  <si>
    <t>AYŞE ÇAĞLAR</t>
  </si>
  <si>
    <t>MERVE VANLI</t>
  </si>
  <si>
    <t>NEHİR ALTINTAŞ</t>
  </si>
  <si>
    <t>YAĞMUR YAREN ERDOĞAN</t>
  </si>
  <si>
    <t>SEVGİ ALTAY</t>
  </si>
  <si>
    <t>ESRA IĞDIR</t>
  </si>
  <si>
    <t>ARZU SERBEST</t>
  </si>
  <si>
    <t>İSA ASLAN</t>
  </si>
  <si>
    <t>CAN GÜNEŞ</t>
  </si>
  <si>
    <t>AHMET YAŞAR</t>
  </si>
  <si>
    <t>ENES TAYIS</t>
  </si>
  <si>
    <t>ASLI ARSLAN</t>
  </si>
  <si>
    <t>KEREM ÜSTÜN</t>
  </si>
  <si>
    <t>HASAN GÜN</t>
  </si>
  <si>
    <t>MEHMET CAN BAYRAM</t>
  </si>
  <si>
    <t>ABDULLAH YAMAN</t>
  </si>
  <si>
    <t>EDANUR KULU</t>
  </si>
  <si>
    <t>MELİSA DÜŞKÜN</t>
  </si>
  <si>
    <t>MERYEM ARVAS</t>
  </si>
  <si>
    <t>HİRANUR ALDIM</t>
  </si>
  <si>
    <t>SUDE ÖZDEMİR</t>
  </si>
  <si>
    <t>RECEP ALTIN</t>
  </si>
  <si>
    <t>BUSE BAKIŞ</t>
  </si>
  <si>
    <t>HELİN KADAN</t>
  </si>
  <si>
    <t>ZELİHA TARTAR</t>
  </si>
  <si>
    <t>DİDEM YALÇIN</t>
  </si>
  <si>
    <t>ZEYNEP TAŞDEMİR</t>
  </si>
  <si>
    <t>UMUT CAN YILANCI</t>
  </si>
  <si>
    <t>ESMANUR TURAN</t>
  </si>
  <si>
    <t>ÇAĞLA AKKAYA</t>
  </si>
  <si>
    <t>NERGİZ BEYGUR</t>
  </si>
  <si>
    <t>YAĞMUR SARIKAYA</t>
  </si>
  <si>
    <t>YUSUF TAĞMAN</t>
  </si>
  <si>
    <t>TANER AYDOĞAN</t>
  </si>
  <si>
    <t>GAMZENUR GENEL</t>
  </si>
  <si>
    <t>43575</t>
  </si>
  <si>
    <t>350315</t>
  </si>
  <si>
    <t>347451</t>
  </si>
  <si>
    <t>346465</t>
  </si>
  <si>
    <t>298971</t>
  </si>
  <si>
    <t>349918</t>
  </si>
  <si>
    <t>350056</t>
  </si>
  <si>
    <t>350043</t>
  </si>
  <si>
    <t>350046</t>
  </si>
  <si>
    <t>350082</t>
  </si>
  <si>
    <t>350053</t>
  </si>
  <si>
    <t>349989</t>
  </si>
  <si>
    <t>349993</t>
  </si>
  <si>
    <t>266743</t>
  </si>
  <si>
    <t>349984</t>
  </si>
  <si>
    <t>349991</t>
  </si>
  <si>
    <t>299080</t>
  </si>
  <si>
    <t>349986</t>
  </si>
  <si>
    <t>350128</t>
  </si>
  <si>
    <t>350368</t>
  </si>
  <si>
    <t>293600</t>
  </si>
  <si>
    <t>350317</t>
  </si>
  <si>
    <t>350342</t>
  </si>
  <si>
    <t>350349</t>
  </si>
  <si>
    <t>350327</t>
  </si>
  <si>
    <t>350364</t>
  </si>
  <si>
    <t>349506</t>
  </si>
  <si>
    <t>349574</t>
  </si>
  <si>
    <t>350319</t>
  </si>
  <si>
    <t>350321</t>
  </si>
  <si>
    <t>350356</t>
  </si>
  <si>
    <t>350367</t>
  </si>
  <si>
    <t>350344</t>
  </si>
  <si>
    <t>350717</t>
  </si>
  <si>
    <t>350720</t>
  </si>
  <si>
    <t>350721</t>
  </si>
  <si>
    <t>350544</t>
  </si>
  <si>
    <t>350728</t>
  </si>
  <si>
    <t>350730</t>
  </si>
  <si>
    <t>350731</t>
  </si>
  <si>
    <t>350732</t>
  </si>
  <si>
    <t>350553</t>
  </si>
  <si>
    <t>350570</t>
  </si>
  <si>
    <t>350716</t>
  </si>
  <si>
    <t>350725</t>
  </si>
  <si>
    <t>350562</t>
  </si>
  <si>
    <t>350790</t>
  </si>
  <si>
    <t>350928</t>
  </si>
  <si>
    <t>350929</t>
  </si>
  <si>
    <t>350947</t>
  </si>
  <si>
    <t>350950</t>
  </si>
  <si>
    <t>350930</t>
  </si>
  <si>
    <t>350932</t>
  </si>
  <si>
    <t>350935</t>
  </si>
  <si>
    <t>350963</t>
  </si>
  <si>
    <t>350958</t>
  </si>
  <si>
    <t>350669</t>
  </si>
  <si>
    <t>350667</t>
  </si>
  <si>
    <t>234560</t>
  </si>
  <si>
    <t>351240</t>
  </si>
  <si>
    <t>350936</t>
  </si>
  <si>
    <t>351305</t>
  </si>
  <si>
    <t>351254</t>
  </si>
  <si>
    <t>351231</t>
  </si>
  <si>
    <t>351263</t>
  </si>
  <si>
    <t>351294</t>
  </si>
  <si>
    <t>351296</t>
  </si>
  <si>
    <t>297538</t>
  </si>
  <si>
    <t>351216</t>
  </si>
  <si>
    <t>351230</t>
  </si>
  <si>
    <t>351250</t>
  </si>
  <si>
    <t>MEDİNE İLHAN</t>
  </si>
  <si>
    <t>EMİN KAMÇILI</t>
  </si>
  <si>
    <t>MUSTAFA ORAL</t>
  </si>
  <si>
    <t>EREN DEMİR</t>
  </si>
  <si>
    <t>ESRA EKİNCİ</t>
  </si>
  <si>
    <t>SEVDA SAK</t>
  </si>
  <si>
    <t>ZİLAN DEMİR</t>
  </si>
  <si>
    <t>MAŞİDE NUR USLU</t>
  </si>
  <si>
    <t>SEHER SÖNER</t>
  </si>
  <si>
    <t>VOLKAN MUTLU</t>
  </si>
  <si>
    <t>HAYRİYE KAVUT</t>
  </si>
  <si>
    <t>RAMAZAN DEMİR</t>
  </si>
  <si>
    <t>MEDİNE SAYİR</t>
  </si>
  <si>
    <t>SADIK ACAR</t>
  </si>
  <si>
    <t>İBRAHİM ETHEM USLU</t>
  </si>
  <si>
    <t>FATİH TOPKAYA</t>
  </si>
  <si>
    <t>HELİN AYDIN</t>
  </si>
  <si>
    <t>MELİKE AY</t>
  </si>
  <si>
    <t>MUSTAFA GÜLEÇ</t>
  </si>
  <si>
    <t>KADİR KUL</t>
  </si>
  <si>
    <t>FATMA YAMAK</t>
  </si>
  <si>
    <t>SİNEM TÜRK</t>
  </si>
  <si>
    <t>AYSUN DUYGUCU</t>
  </si>
  <si>
    <t>ALEYNA ÖRS</t>
  </si>
  <si>
    <t>MELTEM YILDIRIM</t>
  </si>
  <si>
    <t>HAZAR YILDIRIMÇAKAR</t>
  </si>
  <si>
    <t>MEDİNE TEKBEY</t>
  </si>
  <si>
    <t>HÜLYA ALAYILDIZ</t>
  </si>
  <si>
    <t>351509</t>
  </si>
  <si>
    <t>351460</t>
  </si>
  <si>
    <t>351513</t>
  </si>
  <si>
    <t>351514</t>
  </si>
  <si>
    <t>351289</t>
  </si>
  <si>
    <t>351470</t>
  </si>
  <si>
    <t>351472</t>
  </si>
  <si>
    <t>351506</t>
  </si>
  <si>
    <t>351504</t>
  </si>
  <si>
    <t>351499</t>
  </si>
  <si>
    <t>351463</t>
  </si>
  <si>
    <t>351471</t>
  </si>
  <si>
    <t>351461</t>
  </si>
  <si>
    <t>351521</t>
  </si>
  <si>
    <t>299961</t>
  </si>
  <si>
    <t>351742</t>
  </si>
  <si>
    <t>351793</t>
  </si>
  <si>
    <t>351801</t>
  </si>
  <si>
    <t>351827</t>
  </si>
  <si>
    <t>351828</t>
  </si>
  <si>
    <t>351829</t>
  </si>
  <si>
    <t>351261</t>
  </si>
  <si>
    <t>311051</t>
  </si>
  <si>
    <t>351783</t>
  </si>
  <si>
    <t>351805</t>
  </si>
  <si>
    <t>351475</t>
  </si>
  <si>
    <t>351807</t>
  </si>
  <si>
    <t>351800</t>
  </si>
  <si>
    <t>351785</t>
  </si>
  <si>
    <t>Cr Birim Süre Sorter</t>
  </si>
  <si>
    <t>Cr Birim Süre Toplama</t>
  </si>
  <si>
    <t>Adet</t>
  </si>
  <si>
    <t>Müşteri Çıkış Verimlilik(Toplama-Sorter-Kargo)</t>
  </si>
  <si>
    <t>Crossborder(Toplama-Sorter-Kargo)</t>
  </si>
  <si>
    <t>DİYAR CANTEPE</t>
  </si>
  <si>
    <t>YAĞMUR TÜCİ</t>
  </si>
  <si>
    <t>TUĞBA ADIGÜZEL</t>
  </si>
  <si>
    <t>GAMZE MENTEŞ</t>
  </si>
  <si>
    <t>SUDENAZ GÜL</t>
  </si>
  <si>
    <t>ROJİN ORUÇ</t>
  </si>
  <si>
    <t>BARIŞ YILDIRIMÇAKAR</t>
  </si>
  <si>
    <t>İSA BOĞA</t>
  </si>
  <si>
    <t>FATMA BARIŞ</t>
  </si>
  <si>
    <t>SEZGİN SEZEN</t>
  </si>
  <si>
    <t>HANDAN GÜLSEVER</t>
  </si>
  <si>
    <t>DİLAN DÖNMEZ</t>
  </si>
  <si>
    <t>YUSUF DEMİR</t>
  </si>
  <si>
    <t>SERHAT GÜZERGAH</t>
  </si>
  <si>
    <t>MUHAMMED MUSTAFA BİNGÖL</t>
  </si>
  <si>
    <t>HAKAN AKKOYUN</t>
  </si>
  <si>
    <t>BERFİN ÇİFTÇİ</t>
  </si>
  <si>
    <t>MAKSUT CANSIZ</t>
  </si>
  <si>
    <t>RABİYA KIPÇAK</t>
  </si>
  <si>
    <t>GÜLBAHAR OKUR</t>
  </si>
  <si>
    <t>RUKEN ŞAHİN</t>
  </si>
  <si>
    <t>YUSUF AKTÜRK</t>
  </si>
  <si>
    <t>MUHAMMET EMİN İLHAN</t>
  </si>
  <si>
    <t>BAKİ CAN</t>
  </si>
  <si>
    <t>TUĞBA GÖKYAR</t>
  </si>
  <si>
    <t>ELİF ÖRS</t>
  </si>
  <si>
    <t>SEVDA BAYRAM</t>
  </si>
  <si>
    <t>İLKNUR KULAKSIZ</t>
  </si>
  <si>
    <t>ABDULLAH İLHAN</t>
  </si>
  <si>
    <t>OSMAN ÜNSAL</t>
  </si>
  <si>
    <t>YUSUF KARATAŞ</t>
  </si>
  <si>
    <t>FIRAT İŞGÖREN</t>
  </si>
  <si>
    <t>KAAN BOZKURT</t>
  </si>
  <si>
    <t>YAKUP YUSUF DURMUŞ</t>
  </si>
  <si>
    <t>EGE KOZKAMAN</t>
  </si>
  <si>
    <t>SEBRULLAH ÇOBAN</t>
  </si>
  <si>
    <t>İMDATCAN YILDIZ</t>
  </si>
  <si>
    <t>BURAK ERİŞEN</t>
  </si>
  <si>
    <t>ZAFER GÜLDÜR</t>
  </si>
  <si>
    <t>SEMİH BERK YURĞA</t>
  </si>
  <si>
    <t>YAHYA DAYAN</t>
  </si>
  <si>
    <t>YUSUF MİTAN</t>
  </si>
  <si>
    <t>SUDENAZ DURMUŞ</t>
  </si>
  <si>
    <t>YAĞMUR ALAKAŞ</t>
  </si>
  <si>
    <t>YAREN GERGİN</t>
  </si>
  <si>
    <t>MUSTAFA ÜNLÜ</t>
  </si>
  <si>
    <t>YUSUF YILDIZ</t>
  </si>
  <si>
    <t>NİHAL LALE</t>
  </si>
  <si>
    <t>SEHER KURT</t>
  </si>
  <si>
    <t>BERKAN KILIÇ</t>
  </si>
  <si>
    <t>DİYAR YILDIRIM</t>
  </si>
  <si>
    <t>EMİRHAN TEKDEMİR</t>
  </si>
  <si>
    <t>EYYÜP ÖZKAN</t>
  </si>
  <si>
    <t>KEREM DAĞ</t>
  </si>
  <si>
    <t>ASİYE BİLSİN</t>
  </si>
  <si>
    <t>EDANUR AVCI</t>
  </si>
  <si>
    <t>MELEK ARVAS</t>
  </si>
  <si>
    <t>MERVE ARVAS</t>
  </si>
  <si>
    <t>REYYAN SÖNER</t>
  </si>
  <si>
    <t>MUSTAFA HAMZA TARTAR</t>
  </si>
  <si>
    <t>DERYA GÜLHAN</t>
  </si>
  <si>
    <t>GÜLZADE AKSOY</t>
  </si>
  <si>
    <t>HELİN UĞUR</t>
  </si>
  <si>
    <t>RUMEYSA SESLİKAYA</t>
  </si>
  <si>
    <t>ŞEVVAL SÖNER</t>
  </si>
  <si>
    <t>ARDA ÇELİK</t>
  </si>
  <si>
    <t>EMİRHAN KAZAK</t>
  </si>
  <si>
    <t>MUHAMMET EGE KARAÇAYIR</t>
  </si>
  <si>
    <t>Görev Alanı2</t>
  </si>
  <si>
    <t>351767</t>
  </si>
  <si>
    <t>351752</t>
  </si>
  <si>
    <t>351750</t>
  </si>
  <si>
    <t>351744</t>
  </si>
  <si>
    <t>351796</t>
  </si>
  <si>
    <t>352075</t>
  </si>
  <si>
    <t>352085</t>
  </si>
  <si>
    <t>352083</t>
  </si>
  <si>
    <t>352084</t>
  </si>
  <si>
    <t>351799</t>
  </si>
  <si>
    <t>352081</t>
  </si>
  <si>
    <t>352087</t>
  </si>
  <si>
    <t>352088</t>
  </si>
  <si>
    <t>352074</t>
  </si>
  <si>
    <t>352082</t>
  </si>
  <si>
    <t>351786</t>
  </si>
  <si>
    <t>351791</t>
  </si>
  <si>
    <t>352079</t>
  </si>
  <si>
    <t>352077</t>
  </si>
  <si>
    <t>270265</t>
  </si>
  <si>
    <t>352311</t>
  </si>
  <si>
    <t>352402</t>
  </si>
  <si>
    <t>352359</t>
  </si>
  <si>
    <t>352394</t>
  </si>
  <si>
    <t>200043</t>
  </si>
  <si>
    <t>352186</t>
  </si>
  <si>
    <t>352184</t>
  </si>
  <si>
    <t>327524</t>
  </si>
  <si>
    <t>352301</t>
  </si>
  <si>
    <t>352304</t>
  </si>
  <si>
    <t>352309</t>
  </si>
  <si>
    <t>352312</t>
  </si>
  <si>
    <t>352404</t>
  </si>
  <si>
    <t>352183</t>
  </si>
  <si>
    <t>352182</t>
  </si>
  <si>
    <t>352266</t>
  </si>
  <si>
    <t>352275</t>
  </si>
  <si>
    <t>352187</t>
  </si>
  <si>
    <t>352188</t>
  </si>
  <si>
    <t>352346</t>
  </si>
  <si>
    <t>352348</t>
  </si>
  <si>
    <t>352354</t>
  </si>
  <si>
    <t>352397</t>
  </si>
  <si>
    <t>352352</t>
  </si>
  <si>
    <t>352557</t>
  </si>
  <si>
    <t>352553</t>
  </si>
  <si>
    <t>352547</t>
  </si>
  <si>
    <t>352901</t>
  </si>
  <si>
    <t>352906</t>
  </si>
  <si>
    <t>352907</t>
  </si>
  <si>
    <t>352903</t>
  </si>
  <si>
    <t>352882</t>
  </si>
  <si>
    <t>352886</t>
  </si>
  <si>
    <t>352884</t>
  </si>
  <si>
    <t>352918</t>
  </si>
  <si>
    <t>352916</t>
  </si>
  <si>
    <t>340625</t>
  </si>
  <si>
    <t>352881</t>
  </si>
  <si>
    <t>352885</t>
  </si>
  <si>
    <t>352883</t>
  </si>
  <si>
    <t>352905</t>
  </si>
  <si>
    <t>352944</t>
  </si>
  <si>
    <t>352941</t>
  </si>
  <si>
    <t>352936</t>
  </si>
  <si>
    <t>352935</t>
  </si>
  <si>
    <t>352937</t>
  </si>
  <si>
    <t>352894</t>
  </si>
  <si>
    <t>352897</t>
  </si>
  <si>
    <t>352893</t>
  </si>
  <si>
    <t>352895</t>
  </si>
  <si>
    <t>352892</t>
  </si>
  <si>
    <t>352938</t>
  </si>
  <si>
    <t>352888</t>
  </si>
  <si>
    <t>352889</t>
  </si>
  <si>
    <t>352899</t>
  </si>
  <si>
    <t>352887</t>
  </si>
  <si>
    <t>352890</t>
  </si>
  <si>
    <t>352940</t>
  </si>
  <si>
    <t>352915</t>
  </si>
  <si>
    <t>352919</t>
  </si>
  <si>
    <t>YASEMİN TURHAN</t>
  </si>
  <si>
    <t>AZİME ÖNDEŞ</t>
  </si>
  <si>
    <t>BERİN GÜN</t>
  </si>
  <si>
    <t>HİLAL  AKDENİZ</t>
  </si>
  <si>
    <t xml:space="preserve">YASİN  ÇAKIROĞLU </t>
  </si>
  <si>
    <t>SULTAN  TEMEL</t>
  </si>
  <si>
    <t>ESMA NUR SAĞIN</t>
  </si>
  <si>
    <t>NARİN SELDÜZ</t>
  </si>
  <si>
    <t>MERYEM ASLI CAN  DEMİRAL</t>
  </si>
  <si>
    <t>ZEYNEP  GÜVEN</t>
  </si>
  <si>
    <t>ŞİRVAN  SÖNMEZ</t>
  </si>
  <si>
    <t>CANDAR  GÜNER</t>
  </si>
  <si>
    <t>BERKE AYDENİZ</t>
  </si>
  <si>
    <t>İREM TUANNA TURAN</t>
  </si>
  <si>
    <t>DİLANUR  AKÇELİK</t>
  </si>
  <si>
    <t>ÖZLEM  DEMİR</t>
  </si>
  <si>
    <t>RAİFE ÇELİKER</t>
  </si>
  <si>
    <t>CEYDA  ŞENTÜRK</t>
  </si>
  <si>
    <t>MUHAMMED  KAMBUK</t>
  </si>
  <si>
    <t>MUSTAFA KEMAL KADİR KAMBUK</t>
  </si>
  <si>
    <t>ATAKAN  TARI</t>
  </si>
  <si>
    <t>MUHAMMED TALHA  KİLİK</t>
  </si>
  <si>
    <t xml:space="preserve">İLKNUR  ORTA </t>
  </si>
  <si>
    <t>NAZAR  KIPÇAK</t>
  </si>
  <si>
    <t>MAHMUT BARIŞ</t>
  </si>
  <si>
    <t>ABDULHAMİT COŞKUN</t>
  </si>
  <si>
    <t>YELİZ TUTKUN</t>
  </si>
  <si>
    <t>MELEK ÇERİBAŞ</t>
  </si>
  <si>
    <t>SUDE CÖDEL</t>
  </si>
  <si>
    <t>EVİN KURT</t>
  </si>
  <si>
    <t>FIRAT YAĞIZ</t>
  </si>
  <si>
    <t>KENAN İPEK</t>
  </si>
  <si>
    <t>BEDİRHAN ÇEBER</t>
  </si>
  <si>
    <t>ONUR EKİCİ</t>
  </si>
  <si>
    <t>CIVAN ARDA ARDAK</t>
  </si>
  <si>
    <t>YUSUF EFE TÜRÜNÇ</t>
  </si>
  <si>
    <t>ŞAHİN GÜVEN</t>
  </si>
  <si>
    <t>İLHAN ER</t>
  </si>
  <si>
    <t>CANER EKMEKÇİ</t>
  </si>
  <si>
    <t>GÜLBAHAR ATİK</t>
  </si>
  <si>
    <t>SİBEL SU</t>
  </si>
  <si>
    <t>SEVİLAY DEMİR</t>
  </si>
  <si>
    <t>NİSAN ÖZDEMİR</t>
  </si>
  <si>
    <t>SUNA ÖZAYYILDIZ</t>
  </si>
  <si>
    <t>GÜL ER</t>
  </si>
  <si>
    <t>SILA GÖGÜLTER</t>
  </si>
  <si>
    <t>MELİSA ÇERİBAŞ</t>
  </si>
  <si>
    <t>AYSUN YALVAÇ</t>
  </si>
  <si>
    <t>ÇAĞRI ÇELİK</t>
  </si>
  <si>
    <t>MİNE SÖYLEMEZOĞLU</t>
  </si>
  <si>
    <t>SİNEM ÇETİN</t>
  </si>
  <si>
    <t>EBRU BİĞİ</t>
  </si>
  <si>
    <t>SALİHE BABUR</t>
  </si>
  <si>
    <t>SİBEL İSET</t>
  </si>
  <si>
    <t>YUNUS YILDIRIM</t>
  </si>
  <si>
    <t>SİBEL KÖROĞLU</t>
  </si>
  <si>
    <t>CEREN ERGÜN</t>
  </si>
  <si>
    <t>DİLAN YAŞAR</t>
  </si>
  <si>
    <t>ÜNZİLE BAŞ</t>
  </si>
  <si>
    <t>KIYMET KAYA</t>
  </si>
  <si>
    <t>ŞİLAN YANZI</t>
  </si>
  <si>
    <t>İLAYDA ERGÜN</t>
  </si>
  <si>
    <t>DİLARA DOĞAN</t>
  </si>
  <si>
    <t>ŞADUMAN KÖSELİ</t>
  </si>
  <si>
    <t>HİVDAY AVŞAR</t>
  </si>
  <si>
    <t>YUNUS TOPÇU</t>
  </si>
  <si>
    <t>AYŞEGÜL ARSLAN</t>
  </si>
  <si>
    <t>İLAYDA ATLI</t>
  </si>
  <si>
    <t>ELİF KAYMAZ</t>
  </si>
  <si>
    <t>EYLÜL ÇELEBİ</t>
  </si>
  <si>
    <t>SEVİLAY ÖNEY</t>
  </si>
  <si>
    <t>GAMZE  KURULAY</t>
  </si>
  <si>
    <t>CAN BAŞARAN</t>
  </si>
  <si>
    <t>EKREM ALTAŞ</t>
  </si>
  <si>
    <t>ÜMMÜHAN KIZILÇAM</t>
  </si>
  <si>
    <t>HURİYE KAYA</t>
  </si>
  <si>
    <t>MERYEM ÖZDEMİR</t>
  </si>
  <si>
    <t>TÜLAY KAKKOV</t>
  </si>
  <si>
    <t>EMİNE ERDEM</t>
  </si>
  <si>
    <t>ARİFE YILDIZ</t>
  </si>
  <si>
    <t>MERVE ATAMAN</t>
  </si>
  <si>
    <t>ECE KAPUCUOĞLU</t>
  </si>
  <si>
    <t>DİDEM KIZIL</t>
  </si>
  <si>
    <t>EYBİCAN BEKTEMUR</t>
  </si>
  <si>
    <t>NİMET KAYA</t>
  </si>
  <si>
    <t>ŞÜKRAN BADUR</t>
  </si>
  <si>
    <t>YAĞMUR AKŞİT</t>
  </si>
  <si>
    <t xml:space="preserve">SUDENUR  KARATAŞ </t>
  </si>
  <si>
    <t>TUĞÇE GÜRBÜZ</t>
  </si>
  <si>
    <t>İREM OCAKLIK</t>
  </si>
  <si>
    <t>MERVE ARABOĞA</t>
  </si>
  <si>
    <t>ŞEVVAL KARAYEL</t>
  </si>
  <si>
    <t>SILA ÇİMEN</t>
  </si>
  <si>
    <t>ELİSA BİTER</t>
  </si>
  <si>
    <t>YAĞMUR GÜÇEL</t>
  </si>
  <si>
    <t>GÜLBAHAR DEYİN</t>
  </si>
  <si>
    <t>HÜLYA DURU</t>
  </si>
  <si>
    <t>HALİME DAĞ</t>
  </si>
  <si>
    <t>HİLAL SU KARAKURT</t>
  </si>
  <si>
    <t>NURSEMİN ZENGİN</t>
  </si>
  <si>
    <t>EYLÜL BAYDAR</t>
  </si>
  <si>
    <t>SENANUR UŞNA</t>
  </si>
  <si>
    <t>ECEM DAMAT</t>
  </si>
  <si>
    <t>BAHAR UĞUN</t>
  </si>
  <si>
    <t>BURAK KİNYAZ TOĞRUL</t>
  </si>
  <si>
    <t>YUNUS MERT SÜRMEN</t>
  </si>
  <si>
    <t>ENES BEDİRHAN TURAN</t>
  </si>
  <si>
    <t>MEVLANA SEYHAN</t>
  </si>
  <si>
    <t>MURAT EREN ERGİN</t>
  </si>
  <si>
    <t>BARAN ELBİR</t>
  </si>
  <si>
    <t>BERAT YİĞİT</t>
  </si>
  <si>
    <t>ORHAN GÜNTAÇ</t>
  </si>
  <si>
    <t>SERKAN HIRLİ</t>
  </si>
  <si>
    <t>EKREM ARSLAN</t>
  </si>
  <si>
    <t>İREM ÖZTÜRK</t>
  </si>
  <si>
    <t>FATMA CANİŞ</t>
  </si>
  <si>
    <t>SÜNDÜZ TURMUŞ</t>
  </si>
  <si>
    <t>BEDİA AYDIN</t>
  </si>
  <si>
    <t>ALİ BİTİK</t>
  </si>
  <si>
    <t>TUNAHAN ÇAKIR</t>
  </si>
  <si>
    <t>MUSTAFA YAZAR</t>
  </si>
  <si>
    <t>ZAFER ÜNLÜ</t>
  </si>
  <si>
    <t>ABDULLAH AKYOL</t>
  </si>
  <si>
    <t>DİLARA ÜNAL</t>
  </si>
  <si>
    <t>EVİNDAR ADALMIŞ</t>
  </si>
  <si>
    <t>LORİN BALAMİR</t>
  </si>
  <si>
    <t>MEHTAP ÖZTÜRK</t>
  </si>
  <si>
    <t>NAZAR DÜZENLİ</t>
  </si>
  <si>
    <t>SERHAN DURMUŞ</t>
  </si>
  <si>
    <t>SUDENAZ ÖNTÜRK</t>
  </si>
  <si>
    <t>ZEYNEP SÜTÇÜ</t>
  </si>
  <si>
    <t>DENİZ BAYDAR</t>
  </si>
  <si>
    <t>EYÜP KARAATAY</t>
  </si>
  <si>
    <t>ABDULGEYLANİ ÜNAL</t>
  </si>
  <si>
    <t>KUBİLAY DAĞDEVİREN</t>
  </si>
  <si>
    <t>OĞUZ TAYANİR</t>
  </si>
  <si>
    <t>ÖNDER SÖYLEMEZ</t>
  </si>
  <si>
    <t>YUSUF GÜNEŞ</t>
  </si>
  <si>
    <t>BURAK ÜÇER</t>
  </si>
  <si>
    <t>BEYZANUR KAYA</t>
  </si>
  <si>
    <t>353184</t>
  </si>
  <si>
    <t>353186</t>
  </si>
  <si>
    <t>353115</t>
  </si>
  <si>
    <t>353117</t>
  </si>
  <si>
    <t>353121</t>
  </si>
  <si>
    <t>353122</t>
  </si>
  <si>
    <t>353167</t>
  </si>
  <si>
    <t>353166</t>
  </si>
  <si>
    <t>353199</t>
  </si>
  <si>
    <t>353198</t>
  </si>
  <si>
    <t>353194</t>
  </si>
  <si>
    <t>353196</t>
  </si>
  <si>
    <t>353187</t>
  </si>
  <si>
    <t>353189</t>
  </si>
  <si>
    <t>353191</t>
  </si>
  <si>
    <t>264892</t>
  </si>
  <si>
    <t>353176</t>
  </si>
  <si>
    <t>353179</t>
  </si>
  <si>
    <t>353125</t>
  </si>
  <si>
    <t>353126</t>
  </si>
  <si>
    <t>353128</t>
  </si>
  <si>
    <t>353130</t>
  </si>
  <si>
    <t>353132</t>
  </si>
  <si>
    <t>353165</t>
  </si>
  <si>
    <t>353171</t>
  </si>
  <si>
    <t>353168</t>
  </si>
  <si>
    <t>353169</t>
  </si>
  <si>
    <t>109540</t>
  </si>
  <si>
    <t>290160</t>
  </si>
  <si>
    <t>118127</t>
  </si>
  <si>
    <t>300992</t>
  </si>
  <si>
    <t>187169</t>
  </si>
  <si>
    <t>349497</t>
  </si>
  <si>
    <t>349488</t>
  </si>
  <si>
    <t>345096</t>
  </si>
  <si>
    <t>345433</t>
  </si>
  <si>
    <t>350713</t>
  </si>
  <si>
    <t>345181</t>
  </si>
  <si>
    <t>292179</t>
  </si>
  <si>
    <t>198530</t>
  </si>
  <si>
    <t>239699</t>
  </si>
  <si>
    <t>234989</t>
  </si>
  <si>
    <t>346145</t>
  </si>
  <si>
    <t>345112</t>
  </si>
  <si>
    <t>349540</t>
  </si>
  <si>
    <t>345436</t>
  </si>
  <si>
    <t>290643</t>
  </si>
  <si>
    <t>350557</t>
  </si>
  <si>
    <t>290287</t>
  </si>
  <si>
    <t>300530</t>
  </si>
  <si>
    <t>65286</t>
  </si>
  <si>
    <t>294102</t>
  </si>
  <si>
    <t>329307</t>
  </si>
  <si>
    <t>121113</t>
  </si>
  <si>
    <t>267921</t>
  </si>
  <si>
    <t>349572</t>
  </si>
  <si>
    <t>349554</t>
  </si>
  <si>
    <t>290267</t>
  </si>
  <si>
    <t>345108</t>
  </si>
  <si>
    <t>350715</t>
  </si>
  <si>
    <t>345435</t>
  </si>
  <si>
    <t>349489</t>
  </si>
  <si>
    <t>329159</t>
  </si>
  <si>
    <t>329506</t>
  </si>
  <si>
    <t>346140</t>
  </si>
  <si>
    <t>346139</t>
  </si>
  <si>
    <t>349502</t>
  </si>
  <si>
    <t>274127</t>
  </si>
  <si>
    <t>267972</t>
  </si>
  <si>
    <t>345434</t>
  </si>
  <si>
    <t>345121</t>
  </si>
  <si>
    <t>346144</t>
  </si>
  <si>
    <t>345175</t>
  </si>
  <si>
    <t>353391</t>
  </si>
  <si>
    <t>353389</t>
  </si>
  <si>
    <t>353387</t>
  </si>
  <si>
    <t>353386</t>
  </si>
  <si>
    <t>353385</t>
  </si>
  <si>
    <t>353521</t>
  </si>
  <si>
    <t>353415</t>
  </si>
  <si>
    <t>353388</t>
  </si>
  <si>
    <t>353523</t>
  </si>
  <si>
    <t>353526</t>
  </si>
  <si>
    <t>353528</t>
  </si>
  <si>
    <t>353530</t>
  </si>
  <si>
    <t>353466</t>
  </si>
  <si>
    <t>353459</t>
  </si>
  <si>
    <t>353452</t>
  </si>
  <si>
    <t>353445</t>
  </si>
  <si>
    <t>353439</t>
  </si>
  <si>
    <t>353401</t>
  </si>
  <si>
    <t>353413</t>
  </si>
  <si>
    <t>353395</t>
  </si>
  <si>
    <t>353394</t>
  </si>
  <si>
    <t>353534</t>
  </si>
  <si>
    <t>353532</t>
  </si>
  <si>
    <t>353402</t>
  </si>
  <si>
    <t>353404</t>
  </si>
  <si>
    <t>353392</t>
  </si>
  <si>
    <t>248950</t>
  </si>
  <si>
    <t>353757</t>
  </si>
  <si>
    <t>353775</t>
  </si>
  <si>
    <t>351301</t>
  </si>
  <si>
    <t>353780</t>
  </si>
  <si>
    <t>353743</t>
  </si>
  <si>
    <t>353739</t>
  </si>
  <si>
    <t>353762</t>
  </si>
  <si>
    <t>353748</t>
  </si>
  <si>
    <t>353752</t>
  </si>
  <si>
    <t>353746</t>
  </si>
  <si>
    <t>353754</t>
  </si>
  <si>
    <t>353833</t>
  </si>
  <si>
    <t>353759</t>
  </si>
  <si>
    <t>353777</t>
  </si>
  <si>
    <t>353753</t>
  </si>
  <si>
    <t>353437</t>
  </si>
  <si>
    <t>HATİCE AKTAŞ</t>
  </si>
  <si>
    <t>SEVGİ DEMİR</t>
  </si>
  <si>
    <t>LEYLA GÜNGÖR</t>
  </si>
  <si>
    <t>SÜMEYRA UÇUK</t>
  </si>
  <si>
    <t>KARDELEN MİZİKOĞLU</t>
  </si>
  <si>
    <t>ELVAN ÇİÇEK</t>
  </si>
  <si>
    <t>MERVE ACAR</t>
  </si>
  <si>
    <t>NİDA ADIGÜZEL</t>
  </si>
  <si>
    <t>ZEYNEP SUSUROĞLU</t>
  </si>
  <si>
    <t>ELİF ACER</t>
  </si>
  <si>
    <t>BERİVAN DEMİR</t>
  </si>
  <si>
    <t>VİYAN ADALMIŞ</t>
  </si>
  <si>
    <t>MERVE ŞARMAN</t>
  </si>
  <si>
    <t>BERFİN ÖZGEZER</t>
  </si>
  <si>
    <t>YAREN KARATAN</t>
  </si>
  <si>
    <t>BUSE DEMİRCAN</t>
  </si>
  <si>
    <t>GAMZE BABAT</t>
  </si>
  <si>
    <t>AYŞE YILDIZ</t>
  </si>
  <si>
    <t>ÖMER ADIGÜZEL</t>
  </si>
  <si>
    <t>HARUN KAÇMAZ</t>
  </si>
  <si>
    <t>ÖZLEM ÇELİK</t>
  </si>
  <si>
    <t>SÜMEYYA BİTER</t>
  </si>
  <si>
    <t>NESRİN ALGU</t>
  </si>
  <si>
    <t>ŞEYMA AKTAŞ</t>
  </si>
  <si>
    <t>KADRİYE GÜRER</t>
  </si>
  <si>
    <t>BEYZANUR SELOĞLU</t>
  </si>
  <si>
    <t>EVİN GÜNDÜZ</t>
  </si>
  <si>
    <t>EYLÜL ERTUĞRUL</t>
  </si>
  <si>
    <t>SEMANUR SADAK</t>
  </si>
  <si>
    <t>YUSUF CAN</t>
  </si>
  <si>
    <t>UĞURCAN ALTAY</t>
  </si>
  <si>
    <t>MUSTAFA KELEŞ</t>
  </si>
  <si>
    <t>DOĞAN BOZAN</t>
  </si>
  <si>
    <t>BATUHAN SUSTAN</t>
  </si>
  <si>
    <t>SERHAT KORKUT</t>
  </si>
  <si>
    <t>BEDİRHAN EFE GÜL</t>
  </si>
  <si>
    <t>YUSUF BABUR</t>
  </si>
  <si>
    <t>MUHAMMED ÖRS</t>
  </si>
  <si>
    <t>AYŞE ÇETİN</t>
  </si>
  <si>
    <t>HASRET ERDAL</t>
  </si>
  <si>
    <t>İREM NUR YILDIRIM</t>
  </si>
  <si>
    <t>SEDA YILDIRIM</t>
  </si>
  <si>
    <t>SONGÜL ŞANVERDİ</t>
  </si>
  <si>
    <t>İLAYDA BİLİCİ</t>
  </si>
  <si>
    <t>ZELİHA AYBAR</t>
  </si>
  <si>
    <t>HATİCE ORTA</t>
  </si>
  <si>
    <t>DİLEK KILIÇ</t>
  </si>
  <si>
    <t>EMİNE AKSU</t>
  </si>
  <si>
    <t>PINAR ÇALAPKOLU</t>
  </si>
  <si>
    <t>BAŞAK CENKERİ</t>
  </si>
  <si>
    <t>FATMANUR ÇALIŞKAN</t>
  </si>
  <si>
    <t>FADİME ÖZNUR GÜNEŞ</t>
  </si>
  <si>
    <t>İREM ESRA ERSOY</t>
  </si>
  <si>
    <t>EBRAR MELİSA DAŞ</t>
  </si>
  <si>
    <t>YASEMİN ERGÜN</t>
  </si>
  <si>
    <t>BERAT ÖZDEK</t>
  </si>
  <si>
    <t>YUSUF YILMAZ</t>
  </si>
  <si>
    <t>EMRE YILMAZ</t>
  </si>
  <si>
    <t>RAHMAN HALİL BAŞLI</t>
  </si>
  <si>
    <t>MUSA DEMİR</t>
  </si>
  <si>
    <t>MUHAMMED ALİ ONAT</t>
  </si>
  <si>
    <t>ALPEREN ÜZNÜK</t>
  </si>
  <si>
    <t>AHMET TOLUMOĞLU</t>
  </si>
  <si>
    <t>REF2</t>
  </si>
  <si>
    <t>354326</t>
  </si>
  <si>
    <t>354329</t>
  </si>
  <si>
    <t>354333</t>
  </si>
  <si>
    <t>296234</t>
  </si>
  <si>
    <t>354334</t>
  </si>
  <si>
    <t>354339</t>
  </si>
  <si>
    <t>354338</t>
  </si>
  <si>
    <t>354345</t>
  </si>
  <si>
    <t>354353</t>
  </si>
  <si>
    <t>354360</t>
  </si>
  <si>
    <t>354296</t>
  </si>
  <si>
    <t>354292</t>
  </si>
  <si>
    <t>354293</t>
  </si>
  <si>
    <t>354315</t>
  </si>
  <si>
    <t>354316</t>
  </si>
  <si>
    <t>354318</t>
  </si>
  <si>
    <t>344512</t>
  </si>
  <si>
    <t>354319</t>
  </si>
  <si>
    <t>354311</t>
  </si>
  <si>
    <t>354328</t>
  </si>
  <si>
    <t>249865</t>
  </si>
  <si>
    <t>354320</t>
  </si>
  <si>
    <t>354323</t>
  </si>
  <si>
    <t>354324</t>
  </si>
  <si>
    <t>354336</t>
  </si>
  <si>
    <t>354349</t>
  </si>
  <si>
    <t>354352</t>
  </si>
  <si>
    <t>354356</t>
  </si>
  <si>
    <t>354357</t>
  </si>
  <si>
    <t>354347</t>
  </si>
  <si>
    <t>354350</t>
  </si>
  <si>
    <t>354335</t>
  </si>
  <si>
    <t>354341</t>
  </si>
  <si>
    <t>354344</t>
  </si>
  <si>
    <t>354343</t>
  </si>
  <si>
    <t>276658</t>
  </si>
  <si>
    <t>354330</t>
  </si>
  <si>
    <t>354331</t>
  </si>
  <si>
    <t>354639</t>
  </si>
  <si>
    <t>354641</t>
  </si>
  <si>
    <t>354649</t>
  </si>
  <si>
    <t>354658</t>
  </si>
  <si>
    <t>354670</t>
  </si>
  <si>
    <t>354682</t>
  </si>
  <si>
    <t>354644</t>
  </si>
  <si>
    <t>354646</t>
  </si>
  <si>
    <t>354657</t>
  </si>
  <si>
    <t>354653</t>
  </si>
  <si>
    <t>354655</t>
  </si>
  <si>
    <t>354659</t>
  </si>
  <si>
    <t>354661</t>
  </si>
  <si>
    <t>354348</t>
  </si>
  <si>
    <t>354667</t>
  </si>
  <si>
    <t>354676</t>
  </si>
  <si>
    <t>354679</t>
  </si>
  <si>
    <t>354686</t>
  </si>
  <si>
    <t>354687</t>
  </si>
  <si>
    <t>354688</t>
  </si>
  <si>
    <t>354691</t>
  </si>
  <si>
    <t>354692</t>
  </si>
  <si>
    <t>354689</t>
  </si>
  <si>
    <t>354718</t>
  </si>
  <si>
    <t>354731</t>
  </si>
  <si>
    <t>GİZEM YILDIRIM</t>
  </si>
  <si>
    <t>NURAY SÜNE</t>
  </si>
  <si>
    <t>RUMEYSA DİLEK AKYEL</t>
  </si>
  <si>
    <t>SÜMEYYE DEMİR</t>
  </si>
  <si>
    <t>CEYLAN ERGİN</t>
  </si>
  <si>
    <t>AYŞEGÜL TÜRKER</t>
  </si>
  <si>
    <t>CANSU DEMİR</t>
  </si>
  <si>
    <t>ELİF ERŞEN</t>
  </si>
  <si>
    <t>ELVAN BÜLBÜN</t>
  </si>
  <si>
    <t>ÖZNUR KÖÇMEN</t>
  </si>
  <si>
    <t>ROJİN DOLAR</t>
  </si>
  <si>
    <t>SEMA KONCA</t>
  </si>
  <si>
    <t>ŞENGÜL BAYRAM</t>
  </si>
  <si>
    <t>MEDİNE ASLAN</t>
  </si>
  <si>
    <t>MERVE BERK</t>
  </si>
  <si>
    <t>MERYEM ERTONBUL</t>
  </si>
  <si>
    <t>FATMA DEMİR</t>
  </si>
  <si>
    <t>GÜLSÜM ÇİÇEK</t>
  </si>
  <si>
    <t>HAVİN KARAGÜLLE</t>
  </si>
  <si>
    <t>HELİN ÇABUK</t>
  </si>
  <si>
    <t>İLKNUR ZORBA</t>
  </si>
  <si>
    <t>ELİF ÇEKEN</t>
  </si>
  <si>
    <t>NAZLICAN ÇOBAN</t>
  </si>
  <si>
    <t>TUĞBA DENİZ</t>
  </si>
  <si>
    <t>YAREN TURAN</t>
  </si>
  <si>
    <t>EREN BABUR</t>
  </si>
  <si>
    <t>MUHAMMED ENSAR ÖNKÜR</t>
  </si>
  <si>
    <t>BEDİRHAN HAZAN</t>
  </si>
  <si>
    <t>BİRKAN BOLAT</t>
  </si>
  <si>
    <t>DİDAR KILIÇ</t>
  </si>
  <si>
    <t>AYŞE MERVE AZAKLI</t>
  </si>
  <si>
    <t>RABİA ÖZKAN</t>
  </si>
  <si>
    <t>HELİN SENA KAYA</t>
  </si>
  <si>
    <t>355196</t>
  </si>
  <si>
    <t>355192</t>
  </si>
  <si>
    <t>355171</t>
  </si>
  <si>
    <t>355127</t>
  </si>
  <si>
    <t>355173</t>
  </si>
  <si>
    <t>355182</t>
  </si>
  <si>
    <t>355125</t>
  </si>
  <si>
    <t>355188</t>
  </si>
  <si>
    <t>355122</t>
  </si>
  <si>
    <t>211562</t>
  </si>
  <si>
    <t>355203</t>
  </si>
  <si>
    <t>355204</t>
  </si>
  <si>
    <t>355117</t>
  </si>
  <si>
    <t>355186</t>
  </si>
  <si>
    <t>355119</t>
  </si>
  <si>
    <t>355191</t>
  </si>
  <si>
    <t>355116</t>
  </si>
  <si>
    <t>332938</t>
  </si>
  <si>
    <t>355202</t>
  </si>
  <si>
    <t>355172</t>
  </si>
  <si>
    <t>355121</t>
  </si>
  <si>
    <t>355194</t>
  </si>
  <si>
    <t>355176</t>
  </si>
  <si>
    <t>355205</t>
  </si>
  <si>
    <t>355181</t>
  </si>
  <si>
    <t>355178</t>
  </si>
  <si>
    <t>241756</t>
  </si>
  <si>
    <t>278977</t>
  </si>
  <si>
    <t>355288</t>
  </si>
  <si>
    <t>355299</t>
  </si>
  <si>
    <t>355206</t>
  </si>
  <si>
    <t>300222</t>
  </si>
  <si>
    <t>347795</t>
  </si>
  <si>
    <t>349528</t>
  </si>
  <si>
    <t>Toplam 01.10</t>
  </si>
  <si>
    <t>Toplam 02.10</t>
  </si>
  <si>
    <t>Toplam 03.10</t>
  </si>
  <si>
    <t>Toplam 04.10</t>
  </si>
  <si>
    <t>Toplam 28.09</t>
  </si>
  <si>
    <t>Toplam 29.09</t>
  </si>
  <si>
    <t>Toplam 30.09</t>
  </si>
  <si>
    <t>ömer</t>
  </si>
  <si>
    <t>28.Eyl</t>
  </si>
  <si>
    <t>29.Eyl</t>
  </si>
  <si>
    <t>30.Eyl</t>
  </si>
  <si>
    <t>1.Eki</t>
  </si>
  <si>
    <t>2.Eki</t>
  </si>
  <si>
    <t>3.Eki</t>
  </si>
  <si>
    <t>dış destek</t>
  </si>
  <si>
    <t>özel</t>
  </si>
  <si>
    <t>verilen</t>
  </si>
  <si>
    <t>INTERNET DEPO ADRES KONTROL VE VAS</t>
  </si>
  <si>
    <t>INTERNET DEPO KARGO</t>
  </si>
  <si>
    <t>INTERNET DEPO MUSTERI IADE</t>
  </si>
  <si>
    <t>Internet Depo Ozel Projeler</t>
  </si>
  <si>
    <t>INTERNET DEPO SORTER VE PAKETLEME</t>
  </si>
  <si>
    <t>INTERNET DEPO TOPLAMA</t>
  </si>
  <si>
    <t>INTERNET DEPO URUN KABUL VE ADRESLEME</t>
  </si>
  <si>
    <t>Alınan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</si>
</sst>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_-* #,##0.000_-;\-* #,##0.000_-;_-* &quot;-&quot;??_-;_-@_-"/>
    <numFmt numFmtId="170" formatCode="0.000%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44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1" fontId="7" fillId="0" borderId="0" xfId="0" applyNumberFormat="1" applyFont="1" applyAlignment="1">
      <alignment vertical="center" wrapText="1"/>
    </xf>
    <xf numFmtId="169" fontId="5" fillId="6" borderId="0" xfId="1" applyNumberFormat="1" applyFont="1" applyFill="1" applyBorder="1"/>
    <xf numFmtId="1" fontId="0" fillId="0" borderId="13" xfId="0" applyNumberFormat="1" applyBorder="1"/>
    <xf numFmtId="14" fontId="0" fillId="0" borderId="0" xfId="0" applyNumberFormat="1" applyAlignment="1">
      <alignment vertical="center" wrapText="1"/>
    </xf>
    <xf numFmtId="1" fontId="7" fillId="0" borderId="0" xfId="0" applyNumberFormat="1" applyFont="1" applyBorder="1" applyAlignment="1">
      <alignment vertical="center" wrapText="1"/>
    </xf>
    <xf numFmtId="164" fontId="7" fillId="0" borderId="0" xfId="0" applyNumberFormat="1" applyFont="1" applyBorder="1" applyAlignment="1">
      <alignment vertical="center" wrapText="1"/>
    </xf>
    <xf numFmtId="10" fontId="0" fillId="0" borderId="0" xfId="0" applyNumberFormat="1" applyBorder="1"/>
    <xf numFmtId="0" fontId="0" fillId="0" borderId="0" xfId="0" applyAlignment="1">
      <alignment horizontal="center"/>
    </xf>
    <xf numFmtId="3" fontId="0" fillId="8" borderId="0" xfId="0" applyNumberFormat="1" applyFill="1" applyAlignment="1">
      <alignment vertical="center" wrapText="1"/>
    </xf>
    <xf numFmtId="9" fontId="0" fillId="8" borderId="0" xfId="9" applyNumberFormat="1" applyFont="1" applyFill="1" applyBorder="1"/>
    <xf numFmtId="10" fontId="0" fillId="8" borderId="0" xfId="9" applyNumberFormat="1" applyFont="1" applyFill="1" applyBorder="1"/>
    <xf numFmtId="0" fontId="0" fillId="0" borderId="0" xfId="9" applyNumberFormat="1" applyFont="1" applyBorder="1"/>
    <xf numFmtId="0" fontId="7" fillId="0" borderId="0" xfId="0" applyFont="1" applyBorder="1" applyAlignment="1">
      <alignment vertical="center" wrapText="1"/>
    </xf>
    <xf numFmtId="43" fontId="0" fillId="0" borderId="0" xfId="1" applyNumberFormat="1" applyFont="1"/>
    <xf numFmtId="2" fontId="0" fillId="0" borderId="0" xfId="0" applyNumberFormat="1" applyBorder="1" applyAlignment="1">
      <alignment horizontal="center"/>
    </xf>
    <xf numFmtId="0" fontId="0" fillId="0" borderId="0" xfId="0" applyFont="1" applyFill="1" applyBorder="1"/>
    <xf numFmtId="170" fontId="0" fillId="0" borderId="0" xfId="9" applyNumberFormat="1" applyFont="1" applyBorder="1"/>
    <xf numFmtId="0" fontId="19" fillId="17" borderId="17" xfId="0" applyFont="1" applyFill="1" applyBorder="1"/>
    <xf numFmtId="164" fontId="7" fillId="0" borderId="0" xfId="1" applyNumberFormat="1" applyFont="1" applyBorder="1" applyAlignment="1">
      <alignment vertical="center" wrapText="1"/>
    </xf>
    <xf numFmtId="164" fontId="11" fillId="0" borderId="0" xfId="0" applyNumberFormat="1" applyFont="1" applyAlignment="1">
      <alignment vertical="center"/>
    </xf>
    <xf numFmtId="164" fontId="19" fillId="17" borderId="17" xfId="0" applyNumberFormat="1" applyFont="1" applyFill="1" applyBorder="1"/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37. Hafta</c:v>
                </c:pt>
                <c:pt idx="1">
                  <c:v>38. Hafta</c:v>
                </c:pt>
                <c:pt idx="2">
                  <c:v>39. Hafta</c:v>
                </c:pt>
                <c:pt idx="3">
                  <c:v>40.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384.63000138766824</c:v>
                </c:pt>
                <c:pt idx="1">
                  <c:v>390.68053148469085</c:v>
                </c:pt>
                <c:pt idx="2">
                  <c:v>424.3765972720746</c:v>
                </c:pt>
                <c:pt idx="3">
                  <c:v>409.74351786965661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37. Hafta</c:v>
                </c:pt>
                <c:pt idx="1">
                  <c:v>38. Hafta</c:v>
                </c:pt>
                <c:pt idx="2">
                  <c:v>39. Hafta</c:v>
                </c:pt>
                <c:pt idx="3">
                  <c:v>40.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361.54598227925453</c:v>
                </c:pt>
                <c:pt idx="1">
                  <c:v>325.94090909090903</c:v>
                </c:pt>
                <c:pt idx="2">
                  <c:v>321.65522454424183</c:v>
                </c:pt>
                <c:pt idx="3">
                  <c:v>315.77528983106987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37. Hafta</c:v>
                </c:pt>
                <c:pt idx="1">
                  <c:v>38. Hafta</c:v>
                </c:pt>
                <c:pt idx="2">
                  <c:v>39. Hafta</c:v>
                </c:pt>
                <c:pt idx="3">
                  <c:v>40.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99.128459383044117</c:v>
                </c:pt>
                <c:pt idx="1">
                  <c:v>107.31026529651045</c:v>
                </c:pt>
                <c:pt idx="2">
                  <c:v>96.805890714003269</c:v>
                </c:pt>
                <c:pt idx="3">
                  <c:v>96.838528545687126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37. Hafta</c:v>
                </c:pt>
                <c:pt idx="1">
                  <c:v>38. Hafta</c:v>
                </c:pt>
                <c:pt idx="2">
                  <c:v>39. Hafta</c:v>
                </c:pt>
                <c:pt idx="3">
                  <c:v>40.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105.14449685197032</c:v>
                </c:pt>
                <c:pt idx="1">
                  <c:v>97.614342686377952</c:v>
                </c:pt>
                <c:pt idx="2">
                  <c:v>96.76720761187633</c:v>
                </c:pt>
                <c:pt idx="3">
                  <c:v>97.594337790097597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37. Hafta</c:v>
                </c:pt>
                <c:pt idx="1">
                  <c:v>38. Hafta</c:v>
                </c:pt>
                <c:pt idx="2">
                  <c:v>39. Hafta</c:v>
                </c:pt>
                <c:pt idx="3">
                  <c:v>40.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73.425508545983618</c:v>
                </c:pt>
                <c:pt idx="1">
                  <c:v>81.699856051031404</c:v>
                </c:pt>
                <c:pt idx="2">
                  <c:v>85.44841128651619</c:v>
                </c:pt>
                <c:pt idx="3">
                  <c:v>79.268524753980842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37. Hafta</c:v>
                </c:pt>
                <c:pt idx="1">
                  <c:v>38. Hafta</c:v>
                </c:pt>
                <c:pt idx="2">
                  <c:v>39. Hafta</c:v>
                </c:pt>
                <c:pt idx="3">
                  <c:v>40.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65.225849834016785</c:v>
                </c:pt>
                <c:pt idx="1">
                  <c:v>66.92144568191776</c:v>
                </c:pt>
                <c:pt idx="2">
                  <c:v>65.801726401211965</c:v>
                </c:pt>
                <c:pt idx="3">
                  <c:v>63.75160654273148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37. Hafta</c:v>
                </c:pt>
                <c:pt idx="1">
                  <c:v>38. Hafta</c:v>
                </c:pt>
                <c:pt idx="2">
                  <c:v>39. Hafta</c:v>
                </c:pt>
                <c:pt idx="3">
                  <c:v>40.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92.110948905109495</c:v>
                </c:pt>
                <c:pt idx="1">
                  <c:v>86.36515679442509</c:v>
                </c:pt>
                <c:pt idx="2">
                  <c:v>94.762915129151295</c:v>
                </c:pt>
                <c:pt idx="3">
                  <c:v>90.785971000123936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37. Hafta</c:v>
                </c:pt>
                <c:pt idx="1">
                  <c:v>38. Hafta</c:v>
                </c:pt>
                <c:pt idx="2">
                  <c:v>39. Hafta</c:v>
                </c:pt>
                <c:pt idx="3">
                  <c:v>40.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37. Hafta</c:v>
                </c:pt>
                <c:pt idx="1">
                  <c:v>38. Hafta</c:v>
                </c:pt>
                <c:pt idx="2">
                  <c:v>39. Hafta</c:v>
                </c:pt>
                <c:pt idx="3">
                  <c:v>40.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119.92099694333412</c:v>
                </c:pt>
                <c:pt idx="1">
                  <c:v>111.41793280547827</c:v>
                </c:pt>
                <c:pt idx="2">
                  <c:v>119.22686230248307</c:v>
                </c:pt>
                <c:pt idx="3">
                  <c:v>126.67004767217773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37. Hafta</c:v>
                </c:pt>
                <c:pt idx="1">
                  <c:v>38. Hafta</c:v>
                </c:pt>
                <c:pt idx="2">
                  <c:v>39. Hafta</c:v>
                </c:pt>
                <c:pt idx="3">
                  <c:v>40.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102.40113340480933</c:v>
                </c:pt>
                <c:pt idx="1">
                  <c:v>108.00085766358144</c:v>
                </c:pt>
                <c:pt idx="2">
                  <c:v>134.53555465258026</c:v>
                </c:pt>
                <c:pt idx="3">
                  <c:v>142.93176815847394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37. Hafta</c:v>
                </c:pt>
                <c:pt idx="1">
                  <c:v>38. Hafta</c:v>
                </c:pt>
                <c:pt idx="2">
                  <c:v>39. Hafta</c:v>
                </c:pt>
                <c:pt idx="3">
                  <c:v>40.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735.3054413542925</c:v>
                </c:pt>
                <c:pt idx="1">
                  <c:v>480.56878891343649</c:v>
                </c:pt>
                <c:pt idx="2">
                  <c:v>634.77028683500851</c:v>
                </c:pt>
                <c:pt idx="3">
                  <c:v>608.90476190476193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37. Hafta</c:v>
                </c:pt>
                <c:pt idx="1">
                  <c:v>38. Hafta</c:v>
                </c:pt>
                <c:pt idx="2">
                  <c:v>39. Hafta</c:v>
                </c:pt>
                <c:pt idx="3">
                  <c:v>40.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544.76226734348563</c:v>
                </c:pt>
                <c:pt idx="1">
                  <c:v>546.36960506582238</c:v>
                </c:pt>
                <c:pt idx="2">
                  <c:v>570.85644216358605</c:v>
                </c:pt>
                <c:pt idx="3">
                  <c:v>482.48328697159019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37. Hafta</c:v>
                </c:pt>
                <c:pt idx="1">
                  <c:v>38. Hafta</c:v>
                </c:pt>
                <c:pt idx="2">
                  <c:v>39. Hafta</c:v>
                </c:pt>
                <c:pt idx="3">
                  <c:v>40.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22.821047641621238</c:v>
                </c:pt>
                <c:pt idx="1">
                  <c:v>21.867793824116472</c:v>
                </c:pt>
                <c:pt idx="2">
                  <c:v>24.164460980549148</c:v>
                </c:pt>
                <c:pt idx="3">
                  <c:v>27.512652986104722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37. Hafta</c:v>
                </c:pt>
                <c:pt idx="1">
                  <c:v>38. Hafta</c:v>
                </c:pt>
                <c:pt idx="2">
                  <c:v>39. Hafta</c:v>
                </c:pt>
                <c:pt idx="3">
                  <c:v>40.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24.631401711800194</c:v>
                </c:pt>
                <c:pt idx="1">
                  <c:v>27.603798855473027</c:v>
                </c:pt>
                <c:pt idx="2">
                  <c:v>28.47743658210948</c:v>
                </c:pt>
                <c:pt idx="3">
                  <c:v>23.672401206594952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37. Hafta</c:v>
                </c:pt>
                <c:pt idx="1">
                  <c:v>38. Hafta</c:v>
                </c:pt>
                <c:pt idx="2">
                  <c:v>39. Hafta</c:v>
                </c:pt>
                <c:pt idx="3">
                  <c:v>40.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35.942543787853992</c:v>
                </c:pt>
                <c:pt idx="1">
                  <c:v>39.413136388044997</c:v>
                </c:pt>
                <c:pt idx="2">
                  <c:v>40.374145151703551</c:v>
                </c:pt>
                <c:pt idx="3">
                  <c:v>37.767192441415077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37. Hafta</c:v>
                </c:pt>
                <c:pt idx="1">
                  <c:v>38. Hafta</c:v>
                </c:pt>
                <c:pt idx="2">
                  <c:v>39. Hafta</c:v>
                </c:pt>
                <c:pt idx="3">
                  <c:v>40.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32.163754219006435</c:v>
                </c:pt>
                <c:pt idx="1">
                  <c:v>32.528689515842188</c:v>
                </c:pt>
                <c:pt idx="2">
                  <c:v>32.170976096265889</c:v>
                </c:pt>
                <c:pt idx="3">
                  <c:v>31.107469674398807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37. Hafta</c:v>
                </c:pt>
                <c:pt idx="1">
                  <c:v>38. Hafta</c:v>
                </c:pt>
                <c:pt idx="2">
                  <c:v>39. Hafta</c:v>
                </c:pt>
                <c:pt idx="3">
                  <c:v>40.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35.769384859937958</c:v>
                </c:pt>
                <c:pt idx="1">
                  <c:v>38.315720152614645</c:v>
                </c:pt>
                <c:pt idx="2">
                  <c:v>40.373022871471569</c:v>
                </c:pt>
                <c:pt idx="3">
                  <c:v>38.094298521317569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37. Hafta</c:v>
                </c:pt>
                <c:pt idx="1">
                  <c:v>38. Hafta</c:v>
                </c:pt>
                <c:pt idx="2">
                  <c:v>39. Hafta</c:v>
                </c:pt>
                <c:pt idx="3">
                  <c:v>40.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32.408478118949844</c:v>
                </c:pt>
                <c:pt idx="1">
                  <c:v>30.667368063364613</c:v>
                </c:pt>
                <c:pt idx="2">
                  <c:v>29.906634085766989</c:v>
                </c:pt>
                <c:pt idx="3">
                  <c:v>29.613395329690839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topLeftCell="JE1" zoomScaleNormal="100" workbookViewId="0">
      <selection activeCell="JM12" sqref="JM12:JM15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/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/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>
      <c r="A5" s="220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1075676.0169945171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FZ9" s="7">
        <v>4242.25</v>
      </c>
      <c r="GA9" s="7">
        <v>4267.666666666667</v>
      </c>
      <c r="GB9" s="7">
        <v>4361.6666666666661</v>
      </c>
      <c r="GC9" s="7">
        <v>4539</v>
      </c>
      <c r="GD9" s="7">
        <v>4403.5833333333339</v>
      </c>
      <c r="GE9" s="7">
        <v>4091.0833333333339</v>
      </c>
      <c r="GG9" s="7">
        <v>4140.416666666667</v>
      </c>
      <c r="GH9" s="7">
        <v>4631.3333333333339</v>
      </c>
      <c r="GI9" s="7">
        <v>4707.9166666666661</v>
      </c>
      <c r="GJ9" s="7">
        <v>4668.166666666667</v>
      </c>
      <c r="GK9" s="7">
        <v>4529.583333333333</v>
      </c>
      <c r="GL9" s="7">
        <v>4054.833333333333</v>
      </c>
      <c r="GM9" s="7">
        <v>3522.9166666666661</v>
      </c>
      <c r="GN9" s="7">
        <v>3992.333333333333</v>
      </c>
      <c r="GO9" s="7">
        <v>3854.5</v>
      </c>
      <c r="GP9" s="7">
        <v>3695.6666666666661</v>
      </c>
      <c r="GQ9" s="7">
        <v>3932.3333333333335</v>
      </c>
      <c r="GR9" s="7">
        <v>3982.3333333333335</v>
      </c>
      <c r="GS9" s="7">
        <v>3536.833333333333</v>
      </c>
      <c r="GU9" s="7">
        <v>4075.5</v>
      </c>
      <c r="GV9" s="7">
        <v>4075.583333333333</v>
      </c>
      <c r="GW9" s="7">
        <v>4074.8333333333335</v>
      </c>
      <c r="GX9" s="7">
        <v>4095.4166666666665</v>
      </c>
      <c r="GY9" s="7">
        <v>4170.333333333333</v>
      </c>
      <c r="GZ9" s="7">
        <v>3876.916666666667</v>
      </c>
      <c r="HA9" s="7">
        <v>3248.833333333333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4247.083333333333</v>
      </c>
      <c r="HL9" s="7">
        <v>4324.583333333333</v>
      </c>
      <c r="HM9" s="7">
        <v>4201.583333333333</v>
      </c>
      <c r="HN9" s="7">
        <v>4041</v>
      </c>
      <c r="HO9" s="7">
        <v>3121.5</v>
      </c>
      <c r="HP9" s="7">
        <v>4342</v>
      </c>
      <c r="HQ9" s="7">
        <v>4616.9166666666661</v>
      </c>
      <c r="HR9" s="7">
        <v>4954.6666666666661</v>
      </c>
      <c r="HS9" s="7">
        <v>5170</v>
      </c>
      <c r="HT9" s="7">
        <v>5472.25</v>
      </c>
      <c r="HU9" s="7">
        <v>5061.166666666667</v>
      </c>
      <c r="HV9" s="20"/>
      <c r="HW9" s="7">
        <v>5473.0833333333339</v>
      </c>
      <c r="HX9" s="7">
        <v>5154</v>
      </c>
      <c r="HY9" s="7">
        <v>5262.1666666666661</v>
      </c>
      <c r="HZ9" s="7">
        <v>5225.5</v>
      </c>
      <c r="IA9" s="7">
        <v>5147.75</v>
      </c>
      <c r="IB9" s="7">
        <v>4747</v>
      </c>
      <c r="IC9" s="7">
        <v>3675</v>
      </c>
      <c r="ID9" s="7">
        <v>4432.583333333333</v>
      </c>
      <c r="IE9" s="7">
        <v>4648</v>
      </c>
      <c r="IF9" s="7">
        <v>4772.25</v>
      </c>
      <c r="IG9" s="7">
        <v>4871.2499999999991</v>
      </c>
      <c r="IH9" s="7">
        <v>4537.666666666667</v>
      </c>
      <c r="II9" s="7">
        <v>4252.4166666666661</v>
      </c>
      <c r="IK9" s="7">
        <v>4458.5</v>
      </c>
      <c r="IL9" s="7">
        <v>4659.75</v>
      </c>
      <c r="IM9" s="7">
        <v>4909.416666666667</v>
      </c>
      <c r="IN9" s="7">
        <v>5583</v>
      </c>
      <c r="IO9" s="7">
        <v>5203.166666666667</v>
      </c>
      <c r="IP9" s="7">
        <v>4913.166666666667</v>
      </c>
      <c r="IQ9" s="7">
        <v>3596.5</v>
      </c>
      <c r="IR9" s="7">
        <v>5348.083333333333</v>
      </c>
      <c r="IS9" s="7">
        <v>5503.416666666667</v>
      </c>
      <c r="IT9" s="7">
        <v>5608.4999999999991</v>
      </c>
      <c r="IU9" s="7">
        <v>5374.4166666666661</v>
      </c>
      <c r="IV9" s="7">
        <v>5515.583333333333</v>
      </c>
      <c r="IW9" s="7">
        <v>4944.3333333333339</v>
      </c>
      <c r="IY9" s="7">
        <v>5840.6666666666661</v>
      </c>
      <c r="IZ9" s="7">
        <v>5829.916666666667</v>
      </c>
      <c r="JA9" s="7">
        <v>5765.3333333333339</v>
      </c>
      <c r="JB9" s="7">
        <v>6059.6666666666661</v>
      </c>
      <c r="JC9" s="7">
        <v>5897.8333333333339</v>
      </c>
      <c r="JD9" s="7">
        <v>5750.0833333333339</v>
      </c>
      <c r="JF9" s="7">
        <v>5767.0833333333339</v>
      </c>
      <c r="JG9" s="7">
        <v>5695.9166666666661</v>
      </c>
      <c r="JH9" s="7">
        <v>6156.4166666666661</v>
      </c>
      <c r="JI9" s="7">
        <v>6094.5</v>
      </c>
      <c r="JJ9" s="7">
        <v>6185.25</v>
      </c>
      <c r="JK9" s="7">
        <v>5946</v>
      </c>
      <c r="JM9" s="7">
        <v>6249.9166666666679</v>
      </c>
      <c r="JN9" s="7">
        <v>6313.0000000000009</v>
      </c>
      <c r="JO9" s="7">
        <v>6446.5000000000009</v>
      </c>
      <c r="JP9" s="7">
        <v>6467.833333333333</v>
      </c>
      <c r="JQ9" s="7">
        <v>6340.083333333333</v>
      </c>
      <c r="JR9" s="7">
        <v>5774.6666666666661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38583279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FZ10" s="7">
        <v>161920</v>
      </c>
      <c r="GA10" s="7">
        <v>189186</v>
      </c>
      <c r="GB10" s="7">
        <v>174062</v>
      </c>
      <c r="GC10" s="7">
        <v>154137</v>
      </c>
      <c r="GD10" s="7">
        <v>138736</v>
      </c>
      <c r="GE10" s="7">
        <v>146611</v>
      </c>
      <c r="GG10" s="7">
        <v>148002</v>
      </c>
      <c r="GH10" s="7">
        <v>164947</v>
      </c>
      <c r="GI10" s="7">
        <v>124543</v>
      </c>
      <c r="GJ10" s="7">
        <v>132064</v>
      </c>
      <c r="GK10" s="7">
        <v>175907</v>
      </c>
      <c r="GL10" s="7">
        <v>143468</v>
      </c>
      <c r="GM10" s="7">
        <v>128818</v>
      </c>
      <c r="GN10" s="7">
        <v>150969</v>
      </c>
      <c r="GO10" s="7">
        <v>132618</v>
      </c>
      <c r="GP10" s="7">
        <v>142055</v>
      </c>
      <c r="GQ10" s="7">
        <v>143815</v>
      </c>
      <c r="GR10" s="7">
        <v>144625</v>
      </c>
      <c r="GS10" s="7">
        <v>131045</v>
      </c>
      <c r="GU10" s="7">
        <v>131888</v>
      </c>
      <c r="GV10" s="7">
        <v>133648</v>
      </c>
      <c r="GW10" s="7">
        <v>147108</v>
      </c>
      <c r="GX10" s="7">
        <v>155842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155809</v>
      </c>
      <c r="HM10" s="7">
        <v>146082</v>
      </c>
      <c r="HN10" s="7">
        <v>149623</v>
      </c>
      <c r="HO10" s="7">
        <v>120912</v>
      </c>
      <c r="HP10" s="7">
        <v>134438</v>
      </c>
      <c r="HQ10" s="7">
        <v>145103</v>
      </c>
      <c r="HR10" s="7">
        <v>149963</v>
      </c>
      <c r="HS10" s="7">
        <v>178642</v>
      </c>
      <c r="HT10" s="7">
        <v>167111</v>
      </c>
      <c r="HU10" s="7">
        <v>159734</v>
      </c>
      <c r="HW10" s="7">
        <v>197899</v>
      </c>
      <c r="HX10" s="7">
        <v>185783</v>
      </c>
      <c r="HY10" s="7">
        <v>173162</v>
      </c>
      <c r="HZ10" s="7">
        <v>141167</v>
      </c>
      <c r="IA10" s="7">
        <v>184301</v>
      </c>
      <c r="IB10" s="7">
        <v>173854</v>
      </c>
      <c r="IC10" s="7">
        <v>147005</v>
      </c>
      <c r="ID10" s="7">
        <v>131016</v>
      </c>
      <c r="IE10" s="7">
        <v>154550</v>
      </c>
      <c r="IF10" s="7">
        <v>143398</v>
      </c>
      <c r="IG10" s="7">
        <v>126968</v>
      </c>
      <c r="IH10" s="7">
        <v>162136</v>
      </c>
      <c r="II10" s="7">
        <v>151488</v>
      </c>
      <c r="IK10" s="7">
        <v>119742</v>
      </c>
      <c r="IL10" s="7">
        <v>149154</v>
      </c>
      <c r="IM10" s="7">
        <v>181767</v>
      </c>
      <c r="IN10" s="7">
        <v>122468</v>
      </c>
      <c r="IO10" s="7">
        <v>126423</v>
      </c>
      <c r="IP10" s="7">
        <v>136542</v>
      </c>
      <c r="IQ10" s="7">
        <v>123563</v>
      </c>
      <c r="IR10" s="7">
        <v>168735</v>
      </c>
      <c r="IS10" s="7">
        <v>170068</v>
      </c>
      <c r="IT10" s="7">
        <v>163215</v>
      </c>
      <c r="IU10" s="7">
        <v>175868</v>
      </c>
      <c r="IV10" s="7">
        <v>180183</v>
      </c>
      <c r="IW10" s="7">
        <v>180638</v>
      </c>
      <c r="IY10" s="7">
        <v>177337</v>
      </c>
      <c r="IZ10" s="7">
        <v>184428</v>
      </c>
      <c r="JA10" s="7">
        <v>206432</v>
      </c>
      <c r="JB10" s="7">
        <v>173620</v>
      </c>
      <c r="JC10" s="7">
        <v>197019</v>
      </c>
      <c r="JD10" s="7">
        <v>204336</v>
      </c>
      <c r="JF10" s="7">
        <v>231763</v>
      </c>
      <c r="JG10" s="7">
        <v>161496</v>
      </c>
      <c r="JH10" s="7">
        <v>187278</v>
      </c>
      <c r="JI10" s="7">
        <v>185131</v>
      </c>
      <c r="JJ10" s="7">
        <v>177559</v>
      </c>
      <c r="JK10" s="7">
        <v>209947</v>
      </c>
      <c r="JM10" s="7">
        <v>190901</v>
      </c>
      <c r="JN10" s="7">
        <v>187295</v>
      </c>
      <c r="JO10" s="7">
        <v>188441</v>
      </c>
      <c r="JP10" s="7">
        <v>188648</v>
      </c>
      <c r="JQ10" s="7">
        <v>169036</v>
      </c>
      <c r="JR10" s="7">
        <v>245071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220">
        <f>+A10/A9</f>
        <v>35.868866080888615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GN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FZ11" s="7">
        <f t="shared" si="17"/>
        <v>38.168424774588956</v>
      </c>
      <c r="GA11" s="7">
        <f t="shared" si="17"/>
        <v>44.330078887760678</v>
      </c>
      <c r="GB11" s="7">
        <f t="shared" si="17"/>
        <v>39.907222009935047</v>
      </c>
      <c r="GC11" s="7">
        <f t="shared" si="17"/>
        <v>33.95836087243886</v>
      </c>
      <c r="GD11" s="7">
        <f t="shared" si="17"/>
        <v>31.505251405105685</v>
      </c>
      <c r="GE11" s="7">
        <f t="shared" si="17"/>
        <v>35.836718065712013</v>
      </c>
      <c r="GF11" s="7" t="str">
        <f t="shared" si="17"/>
        <v/>
      </c>
      <c r="GG11" s="7">
        <f t="shared" si="17"/>
        <v>35.745677769950689</v>
      </c>
      <c r="GH11" s="7">
        <f t="shared" si="17"/>
        <v>35.615445516050087</v>
      </c>
      <c r="GI11" s="7">
        <f t="shared" si="17"/>
        <v>26.453951677139575</v>
      </c>
      <c r="GJ11" s="7">
        <f t="shared" si="17"/>
        <v>28.290335249384125</v>
      </c>
      <c r="GK11" s="7">
        <f t="shared" si="17"/>
        <v>38.83513936160427</v>
      </c>
      <c r="GL11" s="7">
        <f t="shared" si="17"/>
        <v>35.381972132023513</v>
      </c>
      <c r="GM11" s="7">
        <f t="shared" si="17"/>
        <v>36.565724423418104</v>
      </c>
      <c r="GN11" s="7">
        <f t="shared" si="17"/>
        <v>37.814728229105789</v>
      </c>
      <c r="GO11" s="7">
        <f t="shared" ref="GO11:IZ11" si="18">+IFERROR(GO10/GO9,"")</f>
        <v>34.406018938902584</v>
      </c>
      <c r="GP11" s="7">
        <f t="shared" si="18"/>
        <v>38.438261026427355</v>
      </c>
      <c r="GQ11" s="7">
        <f t="shared" si="18"/>
        <v>36.572433669577009</v>
      </c>
      <c r="GR11" s="7">
        <f t="shared" si="18"/>
        <v>36.316648531011971</v>
      </c>
      <c r="GS11" s="7">
        <f t="shared" si="18"/>
        <v>37.051505584091231</v>
      </c>
      <c r="GT11" s="7" t="str">
        <f t="shared" si="18"/>
        <v/>
      </c>
      <c r="GU11" s="7">
        <f t="shared" si="18"/>
        <v>32.361182676972149</v>
      </c>
      <c r="GV11" s="7">
        <f t="shared" si="18"/>
        <v>32.792361011716118</v>
      </c>
      <c r="GW11" s="7">
        <f t="shared" si="18"/>
        <v>36.101599247412977</v>
      </c>
      <c r="GX11" s="7">
        <f t="shared" si="18"/>
        <v>38.052782582154848</v>
      </c>
      <c r="GY11" s="7">
        <f t="shared" si="18"/>
        <v>33.608104867716413</v>
      </c>
      <c r="GZ11" s="7">
        <f t="shared" si="18"/>
        <v>37.320121230359177</v>
      </c>
      <c r="HA11" s="7">
        <f t="shared" si="18"/>
        <v>36.587287744318473</v>
      </c>
      <c r="HB11" s="7">
        <f t="shared" si="18"/>
        <v>34.151684923488588</v>
      </c>
      <c r="HC11" s="7">
        <f t="shared" si="18"/>
        <v>30.945060183529971</v>
      </c>
      <c r="HD11" s="7">
        <f t="shared" si="18"/>
        <v>35.368357390533028</v>
      </c>
      <c r="HE11" s="7">
        <f t="shared" si="18"/>
        <v>31.576167595617907</v>
      </c>
      <c r="HF11" s="7">
        <f t="shared" si="18"/>
        <v>31.58969118982743</v>
      </c>
      <c r="HG11" s="7">
        <f t="shared" si="18"/>
        <v>30.860302768844619</v>
      </c>
      <c r="HH11" s="7" t="str">
        <f t="shared" si="18"/>
        <v/>
      </c>
      <c r="HI11" s="7">
        <f t="shared" si="18"/>
        <v>32.260538852636216</v>
      </c>
      <c r="HJ11" s="7">
        <f t="shared" si="18"/>
        <v>29.808606499929915</v>
      </c>
      <c r="HK11" s="7">
        <f t="shared" si="18"/>
        <v>35.229353477876977</v>
      </c>
      <c r="HL11" s="7">
        <f t="shared" si="18"/>
        <v>36.02867328258985</v>
      </c>
      <c r="HM11" s="7">
        <f t="shared" si="18"/>
        <v>34.768321466113967</v>
      </c>
      <c r="HN11" s="7">
        <f t="shared" si="18"/>
        <v>37.026231130908194</v>
      </c>
      <c r="HO11" s="7">
        <f t="shared" si="18"/>
        <v>38.735223450264293</v>
      </c>
      <c r="HP11" s="7">
        <f t="shared" si="18"/>
        <v>30.962229387379089</v>
      </c>
      <c r="HQ11" s="7">
        <f t="shared" si="18"/>
        <v>31.428550800498172</v>
      </c>
      <c r="HR11" s="7">
        <f t="shared" si="18"/>
        <v>30.267020990312169</v>
      </c>
      <c r="HS11" s="7">
        <f t="shared" si="18"/>
        <v>34.553578336557059</v>
      </c>
      <c r="HT11" s="7">
        <f t="shared" si="18"/>
        <v>30.537895746722096</v>
      </c>
      <c r="HU11" s="7">
        <f t="shared" si="18"/>
        <v>31.560707346790924</v>
      </c>
      <c r="HV11" s="7" t="str">
        <f t="shared" si="18"/>
        <v/>
      </c>
      <c r="HW11" s="7">
        <f t="shared" si="18"/>
        <v>36.158594332871473</v>
      </c>
      <c r="HX11" s="7">
        <f t="shared" si="18"/>
        <v>36.046371750097009</v>
      </c>
      <c r="HY11" s="7">
        <f t="shared" si="18"/>
        <v>32.906977480758883</v>
      </c>
      <c r="HZ11" s="7">
        <f t="shared" si="18"/>
        <v>27.015022485886519</v>
      </c>
      <c r="IA11" s="7">
        <f t="shared" si="18"/>
        <v>35.802243698703315</v>
      </c>
      <c r="IB11" s="7">
        <f t="shared" si="18"/>
        <v>36.623973035601431</v>
      </c>
      <c r="IC11" s="7">
        <f t="shared" si="18"/>
        <v>40.00136054421769</v>
      </c>
      <c r="ID11" s="7">
        <f t="shared" si="18"/>
        <v>29.557481528830067</v>
      </c>
      <c r="IE11" s="7">
        <f t="shared" si="18"/>
        <v>33.250860585197934</v>
      </c>
      <c r="IF11" s="7">
        <f t="shared" si="18"/>
        <v>30.048300068102048</v>
      </c>
      <c r="IG11" s="7">
        <f t="shared" si="18"/>
        <v>26.064767770079552</v>
      </c>
      <c r="IH11" s="7">
        <f t="shared" si="18"/>
        <v>35.731139352089912</v>
      </c>
      <c r="II11" s="7">
        <f t="shared" si="18"/>
        <v>35.623978522016898</v>
      </c>
      <c r="IJ11" s="7" t="str">
        <f t="shared" si="18"/>
        <v/>
      </c>
      <c r="IK11" s="7">
        <f t="shared" si="18"/>
        <v>26.857014691039588</v>
      </c>
      <c r="IL11" s="7">
        <f t="shared" si="18"/>
        <v>32.009013359085785</v>
      </c>
      <c r="IM11" s="7">
        <f t="shared" si="18"/>
        <v>37.024154261368459</v>
      </c>
      <c r="IN11" s="7">
        <f t="shared" si="18"/>
        <v>21.935876768762313</v>
      </c>
      <c r="IO11" s="7">
        <f t="shared" si="18"/>
        <v>24.297318940388866</v>
      </c>
      <c r="IP11" s="7">
        <f t="shared" si="18"/>
        <v>27.791037687845584</v>
      </c>
      <c r="IQ11" s="7">
        <f t="shared" si="18"/>
        <v>34.356457667176421</v>
      </c>
      <c r="IR11" s="7">
        <f t="shared" si="18"/>
        <v>31.550555494959255</v>
      </c>
      <c r="IS11" s="7">
        <f t="shared" si="18"/>
        <v>30.902257688405687</v>
      </c>
      <c r="IT11" s="7">
        <f t="shared" si="18"/>
        <v>29.101364001069811</v>
      </c>
      <c r="IU11" s="7">
        <f t="shared" si="18"/>
        <v>32.723179259764628</v>
      </c>
      <c r="IV11" s="7">
        <f t="shared" si="18"/>
        <v>32.667986160424256</v>
      </c>
      <c r="IW11" s="7">
        <f t="shared" si="18"/>
        <v>36.53434908649632</v>
      </c>
      <c r="IX11" s="7" t="str">
        <f t="shared" si="18"/>
        <v/>
      </c>
      <c r="IY11" s="7">
        <f t="shared" si="18"/>
        <v>30.362458623444816</v>
      </c>
      <c r="IZ11" s="7">
        <f t="shared" si="18"/>
        <v>31.634757500821909</v>
      </c>
      <c r="JA11" s="7">
        <f t="shared" ref="JA11:JS11" si="19">+IFERROR(JA10/JA9,"")</f>
        <v>35.805735430157256</v>
      </c>
      <c r="JB11" s="7">
        <f t="shared" si="19"/>
        <v>28.651741019858083</v>
      </c>
      <c r="JC11" s="7">
        <f t="shared" si="19"/>
        <v>33.405318337242484</v>
      </c>
      <c r="JD11" s="7">
        <f t="shared" si="19"/>
        <v>35.536180635063253</v>
      </c>
      <c r="JE11" s="7" t="str">
        <f t="shared" si="19"/>
        <v/>
      </c>
      <c r="JF11" s="7">
        <f t="shared" si="19"/>
        <v>40.187211906654142</v>
      </c>
      <c r="JG11" s="7">
        <f t="shared" si="19"/>
        <v>28.352942897689868</v>
      </c>
      <c r="JH11" s="7">
        <f t="shared" si="19"/>
        <v>30.419968325730608</v>
      </c>
      <c r="JI11" s="7">
        <f t="shared" si="19"/>
        <v>30.376733120026252</v>
      </c>
      <c r="JJ11" s="7">
        <f t="shared" si="19"/>
        <v>28.7068428923649</v>
      </c>
      <c r="JK11" s="7">
        <f t="shared" si="19"/>
        <v>35.308947191389166</v>
      </c>
      <c r="JL11" s="7" t="str">
        <f t="shared" si="19"/>
        <v/>
      </c>
      <c r="JM11" s="7">
        <f t="shared" si="19"/>
        <v>30.544567260896805</v>
      </c>
      <c r="JN11" s="7">
        <f t="shared" si="19"/>
        <v>29.668145097418023</v>
      </c>
      <c r="JO11" s="7">
        <f t="shared" si="19"/>
        <v>29.231520980376946</v>
      </c>
      <c r="JP11" s="7">
        <f t="shared" si="19"/>
        <v>29.167109026721985</v>
      </c>
      <c r="JQ11" s="7">
        <f t="shared" si="19"/>
        <v>26.661479212944101</v>
      </c>
      <c r="JR11" s="7">
        <f t="shared" si="19"/>
        <v>42.438986377280081</v>
      </c>
      <c r="JS11" s="7" t="str">
        <f t="shared" si="19"/>
        <v/>
      </c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Y12" s="7"/>
      <c r="AB12" s="186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FZ12" s="20"/>
      <c r="GG12" s="20"/>
      <c r="GN12" s="20"/>
      <c r="GU12" s="20"/>
      <c r="GV12" s="20"/>
      <c r="GW12" s="20"/>
      <c r="GX12" s="20"/>
      <c r="GY12" s="20"/>
      <c r="GZ12" s="20"/>
      <c r="HA12" s="20"/>
      <c r="HB12" s="20"/>
      <c r="HI12" s="20"/>
      <c r="HJ12" s="20"/>
      <c r="HP12" s="20"/>
      <c r="HW12" s="20"/>
      <c r="ID12" s="20"/>
      <c r="IE12" s="20"/>
      <c r="IK12" s="20"/>
      <c r="IR12" s="20"/>
      <c r="IY12" s="20"/>
      <c r="JF12" s="20"/>
      <c r="JM12" s="20"/>
      <c r="KD12" s="20"/>
      <c r="KU12" s="20"/>
    </row>
    <row r="13" spans="1:367">
      <c r="G13" s="20"/>
      <c r="N13" s="20"/>
      <c r="U13" s="20"/>
      <c r="Y13" s="21"/>
      <c r="AB13" s="186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FZ13" s="20"/>
      <c r="GG13" s="20"/>
      <c r="GN13" s="20"/>
      <c r="GU13" s="20"/>
      <c r="GV13" s="20"/>
      <c r="GW13" s="20"/>
      <c r="GX13" s="20"/>
      <c r="GY13" s="20"/>
      <c r="GZ13" s="20"/>
      <c r="HA13" s="20"/>
      <c r="HB13" s="20"/>
      <c r="HI13" s="20"/>
      <c r="HJ13" s="20"/>
      <c r="HP13" s="20"/>
      <c r="HW13" s="20"/>
      <c r="ID13" s="20"/>
      <c r="IE13" s="80"/>
      <c r="IK13" s="20"/>
      <c r="IR13" s="20"/>
      <c r="IY13" s="20"/>
      <c r="JF13" s="20"/>
      <c r="JM13" s="20"/>
      <c r="KU13" s="20"/>
    </row>
    <row r="14" spans="1:367">
      <c r="G14" s="20"/>
      <c r="N14" s="20"/>
      <c r="U14" s="20"/>
      <c r="V14" s="20"/>
      <c r="AB14" s="186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  <c r="FZ14" s="20"/>
      <c r="GG14" s="20"/>
      <c r="GN14" s="20"/>
      <c r="GU14" s="20"/>
      <c r="GV14" s="20"/>
      <c r="GW14" s="20"/>
      <c r="GX14" s="20"/>
      <c r="GY14" s="20"/>
      <c r="GZ14" s="20"/>
      <c r="HA14" s="20"/>
      <c r="HB14" s="20"/>
      <c r="HI14" s="20"/>
      <c r="HJ14" s="20"/>
      <c r="HP14" s="20"/>
      <c r="HW14" s="20"/>
      <c r="ID14" s="80"/>
      <c r="IK14" s="20"/>
      <c r="IR14" s="20"/>
      <c r="IY14" s="20"/>
      <c r="JF14" s="20"/>
      <c r="JM14" s="20"/>
    </row>
    <row r="15" spans="1:367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  <c r="FZ15" s="80"/>
      <c r="GM15" s="20"/>
      <c r="GO15" s="20"/>
      <c r="HI15" s="7"/>
      <c r="HJ15" s="7"/>
      <c r="HW15" s="20"/>
      <c r="JM15" s="20"/>
    </row>
    <row r="16" spans="1:367">
      <c r="D16" s="20"/>
      <c r="P16" s="22"/>
      <c r="V16" s="7"/>
      <c r="AF16" s="31"/>
      <c r="AG16" s="7"/>
      <c r="AP16" s="20"/>
      <c r="BZ16" s="20"/>
      <c r="DQ16" s="20"/>
      <c r="FH16" s="20"/>
      <c r="GM16" s="20"/>
      <c r="GO16" s="20"/>
      <c r="HW16" s="80"/>
      <c r="IE16" s="31"/>
      <c r="IF16" s="22"/>
    </row>
    <row r="17" spans="4:271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  <c r="HX17" s="20"/>
    </row>
    <row r="18" spans="4:271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  <c r="GM18" s="20"/>
      <c r="GO18" s="20"/>
      <c r="HX18" s="20"/>
      <c r="IF18" s="31"/>
      <c r="IT18" s="20"/>
    </row>
    <row r="19" spans="4:271">
      <c r="P19" s="22"/>
      <c r="V19" s="7"/>
      <c r="Y19" s="21"/>
      <c r="EK19" s="7"/>
      <c r="GM19" s="31"/>
      <c r="GO19" s="20"/>
      <c r="HX19" s="31"/>
      <c r="IT19" s="20"/>
      <c r="JF19" s="20"/>
      <c r="JG19" s="20"/>
      <c r="JH19" s="20"/>
      <c r="JI19" s="20"/>
      <c r="JJ19" s="20"/>
      <c r="JK19" s="20"/>
    </row>
    <row r="20" spans="4:271">
      <c r="P20" s="22"/>
      <c r="V20" s="7"/>
      <c r="Y20" s="21"/>
      <c r="GO20" s="20"/>
      <c r="HX20" s="20"/>
      <c r="HZ20" s="31"/>
      <c r="IF20" s="80"/>
      <c r="JF20" s="7"/>
      <c r="JG20" s="7"/>
      <c r="JH20" s="7"/>
      <c r="JI20" s="7"/>
      <c r="JJ20" s="7"/>
      <c r="JK20" s="7"/>
    </row>
    <row r="21" spans="4:271">
      <c r="P21" s="22"/>
      <c r="V21" s="7"/>
      <c r="Y21" s="21"/>
      <c r="HX21" s="20"/>
      <c r="HZ21" s="31"/>
      <c r="IT21" s="235"/>
    </row>
    <row r="22" spans="4:271">
      <c r="P22" s="22"/>
      <c r="V22" s="7"/>
      <c r="Y22" s="21"/>
      <c r="GM22" s="31"/>
      <c r="HX22" s="31"/>
      <c r="HZ22" s="31"/>
    </row>
    <row r="23" spans="4:271">
      <c r="P23" s="22"/>
      <c r="V23" s="7"/>
      <c r="Y23" s="21"/>
      <c r="HZ23" s="64"/>
    </row>
    <row r="24" spans="4:271">
      <c r="P24" s="22"/>
      <c r="V24" s="7"/>
      <c r="Y24" s="21"/>
      <c r="HZ24" s="225"/>
    </row>
    <row r="25" spans="4:271">
      <c r="P25" s="22"/>
      <c r="V25" s="7"/>
      <c r="Y25" s="21"/>
    </row>
    <row r="26" spans="4:271">
      <c r="P26" s="22"/>
      <c r="V26" s="7"/>
      <c r="Y26" s="21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opLeftCell="JF1" zoomScaleNormal="100" workbookViewId="0">
      <selection activeCell="JM12" sqref="JM12:JM15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/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1036912.3447145155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GN9" s="7">
        <v>3721.1983176322551</v>
      </c>
      <c r="GO9" s="7">
        <v>3486.7768560531576</v>
      </c>
      <c r="GP9" s="7">
        <v>3687.079122362622</v>
      </c>
      <c r="GQ9" s="7">
        <v>3932.3333333333335</v>
      </c>
      <c r="GR9" s="7">
        <v>3859.5418861423223</v>
      </c>
      <c r="GS9" s="7">
        <v>3536.833333333333</v>
      </c>
      <c r="GU9" s="7">
        <v>3839.2305579527183</v>
      </c>
      <c r="GV9" s="7">
        <v>4075.5833333333335</v>
      </c>
      <c r="GW9" s="7">
        <v>3981.2322780942632</v>
      </c>
      <c r="GX9" s="7">
        <v>3852.415013865223</v>
      </c>
      <c r="GY9" s="7">
        <v>4170.333333333333</v>
      </c>
      <c r="GZ9" s="7">
        <v>3876.916666666667</v>
      </c>
      <c r="HA9" s="7">
        <v>3248.8333333333335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4165.9993272166112</v>
      </c>
      <c r="HL9" s="7">
        <v>4124.1252621424974</v>
      </c>
      <c r="HM9" s="7">
        <v>4067.0077256198283</v>
      </c>
      <c r="HN9" s="7">
        <v>4041</v>
      </c>
      <c r="HO9" s="7">
        <v>3121.5</v>
      </c>
      <c r="HP9" s="7">
        <v>4141.8325515059296</v>
      </c>
      <c r="HQ9" s="7">
        <v>4434.9476920729758</v>
      </c>
      <c r="HR9" s="7">
        <v>4665.9243190307971</v>
      </c>
      <c r="HS9" s="7">
        <v>5142.4686428493314</v>
      </c>
      <c r="HT9" s="7">
        <v>5398.6947271573981</v>
      </c>
      <c r="HU9" s="7">
        <v>5061.166666666667</v>
      </c>
      <c r="HV9" s="20"/>
      <c r="HW9" s="7">
        <v>5123.3928457594884</v>
      </c>
      <c r="HX9" s="7">
        <v>4827.8376601890213</v>
      </c>
      <c r="HY9" s="7">
        <v>4989.2023713339731</v>
      </c>
      <c r="HZ9" s="7">
        <v>5109.2293963700604</v>
      </c>
      <c r="IA9" s="7">
        <v>4982.7755516630014</v>
      </c>
      <c r="IB9" s="7">
        <v>4641.2858159549241</v>
      </c>
      <c r="IC9" s="7">
        <v>3612.2732968266387</v>
      </c>
      <c r="ID9" s="7">
        <v>4401.5747398741078</v>
      </c>
      <c r="IE9" s="7">
        <v>4396.0998871199345</v>
      </c>
      <c r="IF9" s="7">
        <v>4461.2842891631462</v>
      </c>
      <c r="IG9" s="7">
        <v>4822.5922722492141</v>
      </c>
      <c r="IH9" s="7">
        <v>4362.6836216028878</v>
      </c>
      <c r="II9" s="7">
        <v>3780.2047667752013</v>
      </c>
      <c r="IK9" s="7">
        <v>4410.3597071329696</v>
      </c>
      <c r="IL9" s="7">
        <v>4433.3649024464858</v>
      </c>
      <c r="IM9" s="7">
        <v>4549.3029554115556</v>
      </c>
      <c r="IN9" s="7">
        <v>5535.0358630292276</v>
      </c>
      <c r="IO9" s="7">
        <v>5196.9041561872154</v>
      </c>
      <c r="IP9" s="7">
        <v>4580.5009369813743</v>
      </c>
      <c r="IQ9" s="7">
        <v>3145.3913270737539</v>
      </c>
      <c r="IR9" s="7">
        <v>4802.7860159257016</v>
      </c>
      <c r="IS9" s="7">
        <v>4926.1626581801474</v>
      </c>
      <c r="IT9" s="7">
        <v>5238.1375757476599</v>
      </c>
      <c r="IU9" s="7">
        <v>5179.7520836161902</v>
      </c>
      <c r="IV9" s="7">
        <v>5376.6684684010497</v>
      </c>
      <c r="IW9" s="7">
        <v>4681.6141052914263</v>
      </c>
      <c r="IY9" s="7">
        <v>5497.2205516442637</v>
      </c>
      <c r="IZ9" s="7">
        <v>5608.8448032490596</v>
      </c>
      <c r="JA9" s="7">
        <v>5163.0977061904887</v>
      </c>
      <c r="JB9" s="7">
        <v>5747.3681083683996</v>
      </c>
      <c r="JC9" s="7">
        <v>5072.2570257563802</v>
      </c>
      <c r="JD9" s="7">
        <v>4615.9540569156034</v>
      </c>
      <c r="JF9" s="7">
        <v>4908.8640284831208</v>
      </c>
      <c r="JG9" s="7">
        <v>5300.5463477383246</v>
      </c>
      <c r="JH9" s="7">
        <v>5519.8289456459206</v>
      </c>
      <c r="JI9" s="7">
        <v>5236.8318659341767</v>
      </c>
      <c r="JJ9" s="7">
        <v>5116.4269990483463</v>
      </c>
      <c r="JK9" s="7">
        <v>4502.7223824992989</v>
      </c>
      <c r="JM9" s="7">
        <v>5713.1831906764946</v>
      </c>
      <c r="JN9" s="7">
        <v>5971.8423938860087</v>
      </c>
      <c r="JO9" s="7">
        <v>6058.0060125357732</v>
      </c>
      <c r="JP9" s="7">
        <v>5691.1609843188153</v>
      </c>
      <c r="JQ9" s="7">
        <v>5914.2462027066704</v>
      </c>
      <c r="JR9" s="7">
        <v>4948.4052181476654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36432577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GN10" s="7">
        <v>127216</v>
      </c>
      <c r="GO10" s="7">
        <v>118359</v>
      </c>
      <c r="GP10" s="7">
        <v>142055</v>
      </c>
      <c r="GQ10" s="7">
        <v>143815</v>
      </c>
      <c r="GR10" s="7">
        <v>126686</v>
      </c>
      <c r="GS10" s="7">
        <v>131045</v>
      </c>
      <c r="GU10" s="7">
        <v>118754</v>
      </c>
      <c r="GV10" s="7">
        <v>133648</v>
      </c>
      <c r="GW10" s="7">
        <v>147108</v>
      </c>
      <c r="GX10" s="7">
        <v>136204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148576</v>
      </c>
      <c r="HM10" s="7">
        <v>131206</v>
      </c>
      <c r="HN10" s="7">
        <v>149623</v>
      </c>
      <c r="HO10" s="7">
        <v>120912</v>
      </c>
      <c r="HP10" s="7">
        <v>134438</v>
      </c>
      <c r="HQ10" s="7">
        <v>135871</v>
      </c>
      <c r="HR10" s="7">
        <v>140955</v>
      </c>
      <c r="HS10" s="7">
        <v>178642</v>
      </c>
      <c r="HT10" s="7">
        <v>157443</v>
      </c>
      <c r="HU10" s="7">
        <v>159734</v>
      </c>
      <c r="HW10" s="7">
        <v>166668</v>
      </c>
      <c r="HX10" s="7">
        <v>164161</v>
      </c>
      <c r="HY10" s="7">
        <v>156694</v>
      </c>
      <c r="HZ10" s="7">
        <v>140170</v>
      </c>
      <c r="IA10" s="7">
        <v>172935</v>
      </c>
      <c r="IB10" s="7">
        <v>173854</v>
      </c>
      <c r="IC10" s="7">
        <v>137938</v>
      </c>
      <c r="ID10" s="7">
        <v>131016</v>
      </c>
      <c r="IE10" s="7">
        <v>144378</v>
      </c>
      <c r="IF10" s="7">
        <v>143398</v>
      </c>
      <c r="IG10" s="7">
        <v>126956</v>
      </c>
      <c r="IH10" s="7">
        <v>139663</v>
      </c>
      <c r="II10" s="7">
        <v>135259</v>
      </c>
      <c r="IK10" s="7">
        <v>117074</v>
      </c>
      <c r="IL10" s="7">
        <v>140331</v>
      </c>
      <c r="IM10" s="7">
        <v>162264</v>
      </c>
      <c r="IN10" s="7">
        <v>122468</v>
      </c>
      <c r="IO10" s="7">
        <v>126421</v>
      </c>
      <c r="IP10" s="7">
        <v>136455</v>
      </c>
      <c r="IQ10" s="7">
        <v>109569</v>
      </c>
      <c r="IR10" s="7">
        <v>154411</v>
      </c>
      <c r="IS10" s="7">
        <v>160734</v>
      </c>
      <c r="IT10" s="7">
        <v>143808</v>
      </c>
      <c r="IU10" s="7">
        <v>165843</v>
      </c>
      <c r="IV10" s="7">
        <v>173468</v>
      </c>
      <c r="IW10" s="7">
        <v>180638</v>
      </c>
      <c r="IY10" s="7">
        <v>151755</v>
      </c>
      <c r="IZ10" s="7">
        <v>174306</v>
      </c>
      <c r="JA10" s="7">
        <v>167256</v>
      </c>
      <c r="JB10" s="7">
        <v>158802</v>
      </c>
      <c r="JC10" s="7">
        <v>165204</v>
      </c>
      <c r="JD10" s="7">
        <v>154978</v>
      </c>
      <c r="JF10" s="7">
        <v>149993</v>
      </c>
      <c r="JG10" s="7">
        <v>161496</v>
      </c>
      <c r="JH10" s="7">
        <v>167565</v>
      </c>
      <c r="JI10" s="7">
        <v>157557</v>
      </c>
      <c r="JJ10" s="7">
        <v>136662</v>
      </c>
      <c r="JK10" s="7">
        <v>141428</v>
      </c>
      <c r="JM10" s="7">
        <v>151455</v>
      </c>
      <c r="JN10" s="7">
        <v>168029</v>
      </c>
      <c r="JO10" s="7">
        <v>180552</v>
      </c>
      <c r="JP10" s="7">
        <v>178984</v>
      </c>
      <c r="JQ10" s="7">
        <v>169036</v>
      </c>
      <c r="JR10" s="7">
        <v>167590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35.13563821060562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N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GN11" s="7">
        <f t="shared" si="16"/>
        <v>34.186836911434945</v>
      </c>
      <c r="GO11" s="7">
        <f t="shared" ref="GO11:IZ11" si="17">+IFERROR(GO10/GO9,"")</f>
        <v>33.945103138597737</v>
      </c>
      <c r="GP11" s="7">
        <f t="shared" si="17"/>
        <v>38.527787249917601</v>
      </c>
      <c r="GQ11" s="7">
        <f t="shared" si="17"/>
        <v>36.572433669577009</v>
      </c>
      <c r="GR11" s="7">
        <f t="shared" si="17"/>
        <v>32.824102895440994</v>
      </c>
      <c r="GS11" s="7">
        <f t="shared" si="17"/>
        <v>37.051505584091231</v>
      </c>
      <c r="GT11" s="7" t="str">
        <f t="shared" si="17"/>
        <v/>
      </c>
      <c r="GU11" s="7">
        <f t="shared" si="17"/>
        <v>30.931718792977605</v>
      </c>
      <c r="GV11" s="7">
        <f t="shared" si="17"/>
        <v>32.79236101171611</v>
      </c>
      <c r="GW11" s="7">
        <f t="shared" si="17"/>
        <v>36.950368560363849</v>
      </c>
      <c r="GX11" s="7">
        <f t="shared" si="17"/>
        <v>35.35548467903596</v>
      </c>
      <c r="GY11" s="7">
        <f t="shared" si="17"/>
        <v>33.608104867716413</v>
      </c>
      <c r="GZ11" s="7">
        <f t="shared" si="17"/>
        <v>37.320121230359177</v>
      </c>
      <c r="HA11" s="7">
        <f t="shared" si="17"/>
        <v>36.587287744318473</v>
      </c>
      <c r="HB11" s="7">
        <f t="shared" si="17"/>
        <v>34.151684923488588</v>
      </c>
      <c r="HC11" s="7">
        <f t="shared" si="17"/>
        <v>30.945060183529971</v>
      </c>
      <c r="HD11" s="7">
        <f t="shared" si="17"/>
        <v>35.368357390533028</v>
      </c>
      <c r="HE11" s="7">
        <f t="shared" si="17"/>
        <v>31.576167595617907</v>
      </c>
      <c r="HF11" s="7">
        <f t="shared" si="17"/>
        <v>31.58969118982743</v>
      </c>
      <c r="HG11" s="7">
        <f t="shared" si="17"/>
        <v>30.860302768844619</v>
      </c>
      <c r="HH11" s="7" t="str">
        <f t="shared" si="17"/>
        <v/>
      </c>
      <c r="HI11" s="7">
        <f t="shared" si="17"/>
        <v>32.260538852636216</v>
      </c>
      <c r="HJ11" s="7">
        <f t="shared" si="17"/>
        <v>29.808606499929915</v>
      </c>
      <c r="HK11" s="7">
        <f t="shared" si="17"/>
        <v>35.91503220428158</v>
      </c>
      <c r="HL11" s="7">
        <f t="shared" si="17"/>
        <v>36.02606384530965</v>
      </c>
      <c r="HM11" s="7">
        <f t="shared" si="17"/>
        <v>32.261064854506436</v>
      </c>
      <c r="HN11" s="7">
        <f t="shared" si="17"/>
        <v>37.026231130908194</v>
      </c>
      <c r="HO11" s="7">
        <f t="shared" si="17"/>
        <v>38.735223450264293</v>
      </c>
      <c r="HP11" s="7">
        <f t="shared" si="17"/>
        <v>32.458579222648602</v>
      </c>
      <c r="HQ11" s="7">
        <f t="shared" si="17"/>
        <v>30.636437999676026</v>
      </c>
      <c r="HR11" s="7">
        <f t="shared" si="17"/>
        <v>30.209448409844565</v>
      </c>
      <c r="HS11" s="7">
        <f t="shared" si="17"/>
        <v>34.738568653870935</v>
      </c>
      <c r="HT11" s="7">
        <f t="shared" si="17"/>
        <v>29.163160348371697</v>
      </c>
      <c r="HU11" s="7">
        <f t="shared" si="17"/>
        <v>31.560707346790924</v>
      </c>
      <c r="HV11" s="7" t="str">
        <f t="shared" si="17"/>
        <v/>
      </c>
      <c r="HW11" s="7">
        <f t="shared" si="17"/>
        <v>32.530786730115217</v>
      </c>
      <c r="HX11" s="7">
        <f t="shared" si="17"/>
        <v>34.003007465162511</v>
      </c>
      <c r="HY11" s="7">
        <f t="shared" si="17"/>
        <v>31.406623411450116</v>
      </c>
      <c r="HZ11" s="7">
        <f t="shared" si="17"/>
        <v>27.434665607221742</v>
      </c>
      <c r="IA11" s="7">
        <f t="shared" si="17"/>
        <v>34.706560270868103</v>
      </c>
      <c r="IB11" s="7">
        <f t="shared" si="17"/>
        <v>37.458154247333354</v>
      </c>
      <c r="IC11" s="7">
        <f t="shared" si="17"/>
        <v>38.185925777315283</v>
      </c>
      <c r="ID11" s="7">
        <f t="shared" si="17"/>
        <v>29.7657106246814</v>
      </c>
      <c r="IE11" s="7">
        <f t="shared" si="17"/>
        <v>32.842292874875497</v>
      </c>
      <c r="IF11" s="7">
        <f t="shared" si="17"/>
        <v>32.142762197048597</v>
      </c>
      <c r="IG11" s="7">
        <f t="shared" si="17"/>
        <v>26.325260945352291</v>
      </c>
      <c r="IH11" s="7">
        <f t="shared" si="17"/>
        <v>32.013093800436209</v>
      </c>
      <c r="II11" s="7">
        <f t="shared" si="17"/>
        <v>35.78086594377428</v>
      </c>
      <c r="IJ11" s="7" t="str">
        <f t="shared" si="17"/>
        <v/>
      </c>
      <c r="IK11" s="7">
        <f t="shared" si="17"/>
        <v>26.545227095797586</v>
      </c>
      <c r="IL11" s="7">
        <f t="shared" si="17"/>
        <v>31.653383623477609</v>
      </c>
      <c r="IM11" s="7">
        <f t="shared" si="17"/>
        <v>35.667881781093797</v>
      </c>
      <c r="IN11" s="7">
        <f t="shared" si="17"/>
        <v>22.125963233231055</v>
      </c>
      <c r="IO11" s="7">
        <f t="shared" si="17"/>
        <v>24.326213491832146</v>
      </c>
      <c r="IP11" s="7">
        <f t="shared" si="17"/>
        <v>29.790409799572291</v>
      </c>
      <c r="IQ11" s="7">
        <f t="shared" si="17"/>
        <v>34.834775265287938</v>
      </c>
      <c r="IR11" s="7">
        <f t="shared" si="17"/>
        <v>32.150297658064289</v>
      </c>
      <c r="IS11" s="7">
        <f t="shared" si="17"/>
        <v>32.628642445066831</v>
      </c>
      <c r="IT11" s="7">
        <f t="shared" si="17"/>
        <v>27.454032644317046</v>
      </c>
      <c r="IU11" s="7">
        <f t="shared" si="17"/>
        <v>32.017555536020637</v>
      </c>
      <c r="IV11" s="7">
        <f t="shared" si="17"/>
        <v>32.263101401821615</v>
      </c>
      <c r="IW11" s="7">
        <f t="shared" si="17"/>
        <v>38.584555654818423</v>
      </c>
      <c r="IX11" s="7" t="str">
        <f t="shared" si="17"/>
        <v/>
      </c>
      <c r="IY11" s="7">
        <f t="shared" si="17"/>
        <v>27.605768874346662</v>
      </c>
      <c r="IZ11" s="7">
        <f t="shared" si="17"/>
        <v>31.076987528524416</v>
      </c>
      <c r="JA11" s="7">
        <f t="shared" ref="JA11:JS11" si="18">+IFERROR(JA10/JA9,"")</f>
        <v>32.394506073255627</v>
      </c>
      <c r="JB11" s="7">
        <f t="shared" si="18"/>
        <v>27.630386118609298</v>
      </c>
      <c r="JC11" s="7">
        <f t="shared" si="18"/>
        <v>32.570116057035698</v>
      </c>
      <c r="JD11" s="7">
        <f t="shared" si="18"/>
        <v>33.574424287826822</v>
      </c>
      <c r="JE11" s="7" t="str">
        <f t="shared" si="18"/>
        <v/>
      </c>
      <c r="JF11" s="7">
        <f t="shared" si="18"/>
        <v>30.555541797385875</v>
      </c>
      <c r="JG11" s="7">
        <f t="shared" si="18"/>
        <v>30.46780263866729</v>
      </c>
      <c r="JH11" s="7">
        <f t="shared" si="18"/>
        <v>30.356918964341538</v>
      </c>
      <c r="JI11" s="7">
        <f t="shared" si="18"/>
        <v>30.086320132772499</v>
      </c>
      <c r="JJ11" s="7">
        <f t="shared" si="18"/>
        <v>26.710436800020616</v>
      </c>
      <c r="JK11" s="7">
        <f t="shared" si="18"/>
        <v>31.409442551840918</v>
      </c>
      <c r="JL11" s="7" t="str">
        <f t="shared" si="18"/>
        <v/>
      </c>
      <c r="JM11" s="7">
        <f t="shared" si="18"/>
        <v>26.509739832456923</v>
      </c>
      <c r="JN11" s="7">
        <f t="shared" si="18"/>
        <v>28.136877853981648</v>
      </c>
      <c r="JO11" s="7">
        <f t="shared" si="18"/>
        <v>29.803866094947001</v>
      </c>
      <c r="JP11" s="7">
        <f t="shared" si="18"/>
        <v>31.449470590124751</v>
      </c>
      <c r="JQ11" s="7">
        <f t="shared" si="18"/>
        <v>28.581157125761898</v>
      </c>
      <c r="JR11" s="7">
        <f t="shared" si="18"/>
        <v>33.867477017723679</v>
      </c>
      <c r="JS11" s="7" t="str">
        <f t="shared" si="18"/>
        <v/>
      </c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>
      <c r="G12" s="20"/>
      <c r="N12" s="20"/>
      <c r="U12" s="20"/>
      <c r="Y12" s="7"/>
      <c r="AB12" s="186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HW12" s="20"/>
      <c r="ID12" s="20"/>
      <c r="IK12" s="20"/>
      <c r="IR12" s="20"/>
      <c r="IY12" s="20"/>
      <c r="JF12" s="20"/>
      <c r="JM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>
      <c r="G13" s="20"/>
      <c r="N13" s="20"/>
      <c r="U13" s="20"/>
      <c r="Y13" s="21"/>
      <c r="AB13" s="186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K13" s="20"/>
      <c r="IR13" s="20"/>
      <c r="IY13" s="20"/>
      <c r="JF13" s="20"/>
      <c r="JM13" s="20"/>
      <c r="MU13" s="20"/>
      <c r="MV13" s="20"/>
      <c r="MW13" s="20"/>
      <c r="MX13" s="7"/>
    </row>
    <row r="14" spans="1:367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HW14" s="20"/>
      <c r="ID14" s="20"/>
      <c r="IK14" s="20"/>
      <c r="IR14" s="20"/>
      <c r="IY14" s="20"/>
      <c r="JF14" s="20"/>
      <c r="JM14" s="20"/>
      <c r="MU14" s="20"/>
      <c r="MV14" s="20"/>
      <c r="MW14" s="20"/>
      <c r="MX14" s="7"/>
    </row>
    <row r="15" spans="1:367">
      <c r="AG15" s="7"/>
      <c r="AX15" s="20"/>
      <c r="BY15" s="20"/>
      <c r="HP15" s="80"/>
      <c r="HW15" s="20"/>
      <c r="HX15" s="20"/>
      <c r="HY15" s="7"/>
      <c r="MW15" s="20"/>
      <c r="MX15" s="47"/>
    </row>
    <row r="16" spans="1:367">
      <c r="P16" s="22"/>
      <c r="V16" s="7"/>
      <c r="AG16" s="7"/>
      <c r="HW16" s="20"/>
      <c r="HX16" s="20"/>
      <c r="HY16" s="7"/>
      <c r="MV16" s="20"/>
      <c r="MW16" s="20"/>
      <c r="MX16" s="47"/>
    </row>
    <row r="17" spans="16:362">
      <c r="P17" s="22"/>
      <c r="V17" s="7"/>
      <c r="Y17" s="21"/>
      <c r="HW17" s="80"/>
      <c r="HX17" s="80"/>
      <c r="HY17" s="7"/>
      <c r="MW17" s="20"/>
      <c r="MX17" s="47"/>
    </row>
    <row r="18" spans="16:362">
      <c r="P18" s="22"/>
      <c r="V18" s="7"/>
      <c r="Y18" s="21"/>
      <c r="HY18" s="7"/>
      <c r="IA18" s="20"/>
      <c r="IB18" s="20"/>
      <c r="MW18" s="20"/>
      <c r="MX18" s="7"/>
    </row>
    <row r="19" spans="16:362">
      <c r="P19" s="22"/>
      <c r="V19" s="7"/>
      <c r="Y19" s="21"/>
      <c r="EK19" s="7"/>
      <c r="HW19" s="31"/>
      <c r="HX19" s="31"/>
      <c r="HY19" s="7"/>
      <c r="IA19" s="20"/>
      <c r="IB19" s="80"/>
      <c r="MW19" s="20"/>
      <c r="MX19" s="47"/>
    </row>
    <row r="20" spans="16:362">
      <c r="P20" s="22"/>
      <c r="V20" s="7"/>
      <c r="Y20" s="21"/>
      <c r="HY20" s="7"/>
      <c r="IA20" s="80"/>
      <c r="MW20" s="20"/>
      <c r="MX20" s="47"/>
    </row>
    <row r="21" spans="16:362">
      <c r="P21" s="22"/>
      <c r="V21" s="7"/>
      <c r="Y21" s="21"/>
      <c r="HY21" s="7"/>
      <c r="MW21" s="20"/>
      <c r="MX21" s="47"/>
    </row>
    <row r="22" spans="16:362">
      <c r="P22" s="22"/>
      <c r="V22" s="7"/>
      <c r="Y22" s="21"/>
      <c r="IC22" s="20"/>
      <c r="MW22" s="20"/>
      <c r="MX22" s="47"/>
    </row>
    <row r="23" spans="16:362">
      <c r="P23" s="22"/>
      <c r="V23" s="7"/>
      <c r="Y23" s="21"/>
      <c r="IB23" s="103"/>
      <c r="IC23" s="103"/>
      <c r="ID23" s="103"/>
      <c r="IE23" s="103"/>
      <c r="IF23" s="103"/>
      <c r="IG23" s="103"/>
      <c r="IH23" s="103"/>
      <c r="MW23" s="20"/>
      <c r="MX23" s="47"/>
    </row>
    <row r="24" spans="16:362">
      <c r="P24" s="22"/>
      <c r="V24" s="7"/>
      <c r="Y24" s="21"/>
      <c r="MW24" s="20"/>
      <c r="MX24" s="47"/>
    </row>
    <row r="25" spans="16:362">
      <c r="MW25" s="20"/>
      <c r="MX25" s="47"/>
    </row>
    <row r="26" spans="16:362">
      <c r="MW26" s="20"/>
      <c r="MX26" s="47"/>
    </row>
    <row r="27" spans="16:362">
      <c r="MW27" s="20"/>
      <c r="MX27" s="47"/>
    </row>
    <row r="28" spans="16:362">
      <c r="MW28" s="20"/>
      <c r="MX28" s="47"/>
    </row>
    <row r="29" spans="16:362">
      <c r="MW29" s="20"/>
      <c r="MX29" s="47"/>
    </row>
    <row r="30" spans="16:362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73A9C-D52D-46AF-9E5F-56AD9590611C}">
  <dimension ref="A1:NC30"/>
  <sheetViews>
    <sheetView showGridLines="0" topLeftCell="HU1" zoomScaleNormal="100" workbookViewId="0">
      <selection activeCell="IC19" sqref="IC19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/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852045.11755856115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GN9" s="7">
        <v>3721.1983176322551</v>
      </c>
      <c r="GO9" s="7">
        <v>3486.7768560531576</v>
      </c>
      <c r="GP9" s="7">
        <v>3687.079122362622</v>
      </c>
      <c r="GQ9" s="7">
        <v>3932.3333333333335</v>
      </c>
      <c r="GR9" s="7">
        <v>3859.5418861423223</v>
      </c>
      <c r="GS9" s="7">
        <v>3536.833333333333</v>
      </c>
      <c r="GU9" s="7">
        <v>3839.2305579527183</v>
      </c>
      <c r="GV9" s="7">
        <v>4075.5833333333335</v>
      </c>
      <c r="GW9" s="7">
        <v>3981.2322780942632</v>
      </c>
      <c r="GX9" s="7">
        <v>3852.415013865223</v>
      </c>
      <c r="GY9" s="7">
        <v>4170.333333333333</v>
      </c>
      <c r="GZ9" s="7">
        <v>3876.916666666667</v>
      </c>
      <c r="HA9" s="7">
        <v>3248.8333333333335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4165.9993272166112</v>
      </c>
      <c r="HL9" s="7">
        <v>4124.1252621424974</v>
      </c>
      <c r="HM9" s="7">
        <v>4067.0077256198283</v>
      </c>
      <c r="HN9" s="7">
        <v>4041</v>
      </c>
      <c r="HO9" s="7">
        <v>3121.5</v>
      </c>
      <c r="HP9" s="7">
        <v>4141.8325515059296</v>
      </c>
      <c r="HQ9" s="7">
        <v>4434.9476920729758</v>
      </c>
      <c r="HR9" s="7">
        <v>4665.9243190307971</v>
      </c>
      <c r="HS9" s="7">
        <v>5142.4686428493314</v>
      </c>
      <c r="HT9" s="7">
        <v>5398.6947271573981</v>
      </c>
      <c r="HU9" s="7">
        <v>5061.166666666667</v>
      </c>
      <c r="HV9" s="20"/>
      <c r="HW9" s="7">
        <v>5123.3928457594884</v>
      </c>
      <c r="HX9" s="7">
        <v>4827.8376601890213</v>
      </c>
      <c r="HY9" s="7">
        <v>4989.2023713339731</v>
      </c>
      <c r="HZ9" s="7">
        <v>5109.2293963700604</v>
      </c>
      <c r="IA9" s="7">
        <v>4982.7755516630014</v>
      </c>
      <c r="IB9" s="7">
        <v>4641.2858159549241</v>
      </c>
      <c r="IC9" s="7">
        <v>3612.2732968266387</v>
      </c>
      <c r="KU9" s="36"/>
      <c r="LE9" s="20"/>
      <c r="LF9" s="20"/>
      <c r="LY9" s="20"/>
      <c r="LZ9" s="190"/>
      <c r="MA9" s="190"/>
      <c r="MB9" s="190"/>
      <c r="MC9" s="190"/>
      <c r="MF9"/>
      <c r="MG9"/>
      <c r="MH9"/>
      <c r="MI9"/>
      <c r="MJ9"/>
      <c r="MK9"/>
      <c r="ML9"/>
      <c r="MM9" s="190"/>
      <c r="MN9" s="190"/>
      <c r="MO9" s="190"/>
      <c r="MP9" s="34"/>
      <c r="MQ9" s="190"/>
      <c r="MR9" s="190"/>
      <c r="MS9" s="190"/>
    </row>
    <row r="10" spans="1:367">
      <c r="A10" s="15">
        <f>+SUM(C10:NC10)</f>
        <v>30815775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GN10" s="7">
        <v>127216</v>
      </c>
      <c r="GO10" s="7">
        <v>118359</v>
      </c>
      <c r="GP10" s="7">
        <v>142055</v>
      </c>
      <c r="GQ10" s="7">
        <v>143815</v>
      </c>
      <c r="GR10" s="7">
        <v>126686</v>
      </c>
      <c r="GS10" s="7">
        <v>131045</v>
      </c>
      <c r="GU10" s="7">
        <v>118754</v>
      </c>
      <c r="GV10" s="7">
        <v>133648</v>
      </c>
      <c r="GW10" s="7">
        <v>147108</v>
      </c>
      <c r="GX10" s="7">
        <v>136204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148576</v>
      </c>
      <c r="HM10" s="7">
        <v>131206</v>
      </c>
      <c r="HN10" s="7">
        <v>149623</v>
      </c>
      <c r="HO10" s="7">
        <v>120912</v>
      </c>
      <c r="HP10" s="7">
        <v>134438</v>
      </c>
      <c r="HQ10" s="7">
        <v>135871</v>
      </c>
      <c r="HR10" s="7">
        <v>140955</v>
      </c>
      <c r="HS10" s="7">
        <v>178642</v>
      </c>
      <c r="HT10" s="7">
        <v>157443</v>
      </c>
      <c r="HU10" s="7">
        <v>159734</v>
      </c>
      <c r="HW10" s="7">
        <v>166668</v>
      </c>
      <c r="HX10" s="7">
        <v>164161</v>
      </c>
      <c r="HY10" s="7">
        <v>156694</v>
      </c>
      <c r="HZ10" s="7">
        <v>140170</v>
      </c>
      <c r="IA10" s="7">
        <v>172935</v>
      </c>
      <c r="IB10" s="7">
        <v>173854</v>
      </c>
      <c r="IC10" s="7">
        <v>137938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36.166834789569734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N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GN11" s="7">
        <f t="shared" si="16"/>
        <v>34.186836911434945</v>
      </c>
      <c r="GO11" s="7">
        <f t="shared" ref="GO11:IC11" si="17">+IFERROR(GO10/GO9,"")</f>
        <v>33.945103138597737</v>
      </c>
      <c r="GP11" s="7">
        <f t="shared" si="17"/>
        <v>38.527787249917601</v>
      </c>
      <c r="GQ11" s="7">
        <f t="shared" si="17"/>
        <v>36.572433669577009</v>
      </c>
      <c r="GR11" s="7">
        <f t="shared" si="17"/>
        <v>32.824102895440994</v>
      </c>
      <c r="GS11" s="7">
        <f t="shared" si="17"/>
        <v>37.051505584091231</v>
      </c>
      <c r="GT11" s="7" t="str">
        <f t="shared" si="17"/>
        <v/>
      </c>
      <c r="GU11" s="7">
        <f t="shared" si="17"/>
        <v>30.931718792977605</v>
      </c>
      <c r="GV11" s="7">
        <f t="shared" si="17"/>
        <v>32.79236101171611</v>
      </c>
      <c r="GW11" s="7">
        <f t="shared" si="17"/>
        <v>36.950368560363849</v>
      </c>
      <c r="GX11" s="7">
        <f t="shared" si="17"/>
        <v>35.35548467903596</v>
      </c>
      <c r="GY11" s="7">
        <f t="shared" si="17"/>
        <v>33.608104867716413</v>
      </c>
      <c r="GZ11" s="7">
        <f t="shared" si="17"/>
        <v>37.320121230359177</v>
      </c>
      <c r="HA11" s="7">
        <f t="shared" si="17"/>
        <v>36.587287744318473</v>
      </c>
      <c r="HB11" s="7">
        <f t="shared" si="17"/>
        <v>34.151684923488588</v>
      </c>
      <c r="HC11" s="7">
        <f t="shared" si="17"/>
        <v>30.945060183529971</v>
      </c>
      <c r="HD11" s="7">
        <f t="shared" si="17"/>
        <v>35.368357390533028</v>
      </c>
      <c r="HE11" s="7">
        <f t="shared" si="17"/>
        <v>31.576167595617907</v>
      </c>
      <c r="HF11" s="7">
        <f t="shared" si="17"/>
        <v>31.58969118982743</v>
      </c>
      <c r="HG11" s="7">
        <f t="shared" si="17"/>
        <v>30.860302768844619</v>
      </c>
      <c r="HH11" s="7" t="str">
        <f t="shared" si="17"/>
        <v/>
      </c>
      <c r="HI11" s="7">
        <f t="shared" si="17"/>
        <v>32.260538852636216</v>
      </c>
      <c r="HJ11" s="7">
        <f t="shared" si="17"/>
        <v>29.808606499929915</v>
      </c>
      <c r="HK11" s="7">
        <f t="shared" si="17"/>
        <v>35.91503220428158</v>
      </c>
      <c r="HL11" s="7">
        <f t="shared" si="17"/>
        <v>36.02606384530965</v>
      </c>
      <c r="HM11" s="7">
        <f t="shared" si="17"/>
        <v>32.261064854506436</v>
      </c>
      <c r="HN11" s="7">
        <f t="shared" si="17"/>
        <v>37.026231130908194</v>
      </c>
      <c r="HO11" s="7">
        <f t="shared" si="17"/>
        <v>38.735223450264293</v>
      </c>
      <c r="HP11" s="7">
        <f t="shared" si="17"/>
        <v>32.458579222648602</v>
      </c>
      <c r="HQ11" s="7">
        <f t="shared" si="17"/>
        <v>30.636437999676026</v>
      </c>
      <c r="HR11" s="7">
        <f t="shared" si="17"/>
        <v>30.209448409844565</v>
      </c>
      <c r="HS11" s="7">
        <f t="shared" si="17"/>
        <v>34.738568653870935</v>
      </c>
      <c r="HT11" s="7">
        <f t="shared" si="17"/>
        <v>29.163160348371697</v>
      </c>
      <c r="HU11" s="7">
        <f t="shared" si="17"/>
        <v>31.560707346790924</v>
      </c>
      <c r="HV11" s="7" t="str">
        <f t="shared" si="17"/>
        <v/>
      </c>
      <c r="HW11" s="7">
        <f t="shared" si="17"/>
        <v>32.530786730115217</v>
      </c>
      <c r="HX11" s="7">
        <f t="shared" si="17"/>
        <v>34.003007465162511</v>
      </c>
      <c r="HY11" s="7">
        <f t="shared" si="17"/>
        <v>31.406623411450116</v>
      </c>
      <c r="HZ11" s="7">
        <f t="shared" si="17"/>
        <v>27.434665607221742</v>
      </c>
      <c r="IA11" s="7">
        <f t="shared" si="17"/>
        <v>34.706560270868103</v>
      </c>
      <c r="IB11" s="7">
        <f t="shared" si="17"/>
        <v>37.458154247333354</v>
      </c>
      <c r="IC11" s="7">
        <f t="shared" si="17"/>
        <v>38.185925777315283</v>
      </c>
      <c r="JI11" s="71"/>
      <c r="JJ11" s="231"/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>
      <c r="G12" s="20"/>
      <c r="N12" s="20"/>
      <c r="U12" s="20"/>
      <c r="Y12" s="7"/>
      <c r="AB12" s="186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HW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>
      <c r="G13" s="20"/>
      <c r="N13" s="20"/>
      <c r="U13" s="20"/>
      <c r="Y13" s="21"/>
      <c r="AB13" s="186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HW13" s="20"/>
      <c r="MU13" s="20"/>
      <c r="MV13" s="20"/>
      <c r="MW13" s="20"/>
      <c r="MX13" s="7"/>
    </row>
    <row r="14" spans="1:367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HW14" s="20"/>
      <c r="MU14" s="20"/>
      <c r="MV14" s="20"/>
      <c r="MW14" s="20"/>
      <c r="MX14" s="7"/>
    </row>
    <row r="15" spans="1:367">
      <c r="AG15" s="7"/>
      <c r="AX15" s="20"/>
      <c r="BY15" s="20"/>
      <c r="HP15" s="80"/>
      <c r="HW15" s="20">
        <v>23027.85409233762</v>
      </c>
      <c r="HX15" s="20">
        <f>+SUM(HY16:HY21)-1052</f>
        <v>21975.85409233762</v>
      </c>
      <c r="HY15" s="7">
        <v>4382.8928457594884</v>
      </c>
      <c r="HZ15" s="8">
        <f>1052+71</f>
        <v>1123</v>
      </c>
      <c r="MW15" s="20"/>
      <c r="MX15" s="47"/>
    </row>
    <row r="16" spans="1:367">
      <c r="P16" s="22"/>
      <c r="V16" s="7"/>
      <c r="AG16" s="7"/>
      <c r="HW16" s="20">
        <f>+SUM(HW10:IC10)</f>
        <v>1112420</v>
      </c>
      <c r="HX16" s="20">
        <f>+SUM(HW10:IC10)-44617</f>
        <v>1067803</v>
      </c>
      <c r="HY16" s="7">
        <v>4010.8376601890213</v>
      </c>
      <c r="HZ16" s="8">
        <v>44617</v>
      </c>
      <c r="MV16" s="20"/>
      <c r="MW16" s="20"/>
      <c r="MX16" s="47"/>
    </row>
    <row r="17" spans="16:362">
      <c r="P17" s="22"/>
      <c r="V17" s="7"/>
      <c r="Y17" s="21"/>
      <c r="HW17" s="80">
        <f>+HW16/HW15</f>
        <v>48.307584177813212</v>
      </c>
      <c r="HX17" s="80">
        <f>+HX16/HX15</f>
        <v>48.58982934239237</v>
      </c>
      <c r="HY17" s="7">
        <v>4077.3690380006396</v>
      </c>
      <c r="HZ17" s="8">
        <f>+HZ16/HZ15</f>
        <v>39.730186999109527</v>
      </c>
      <c r="MW17" s="20"/>
      <c r="MX17" s="47"/>
    </row>
    <row r="18" spans="16:362">
      <c r="P18" s="22"/>
      <c r="V18" s="7"/>
      <c r="Y18" s="21"/>
      <c r="HY18" s="7">
        <v>4098.4793963700604</v>
      </c>
      <c r="IA18" s="20"/>
      <c r="IB18" s="20"/>
      <c r="IC18" s="8" t="s">
        <v>2594</v>
      </c>
      <c r="ID18" s="8" t="s">
        <v>2595</v>
      </c>
      <c r="MW18" s="20"/>
      <c r="MX18" s="7"/>
    </row>
    <row r="19" spans="16:362">
      <c r="P19" s="22"/>
      <c r="V19" s="7"/>
      <c r="Y19" s="21"/>
      <c r="EK19" s="7"/>
      <c r="HW19" s="31">
        <f>+HW17/HX17-1</f>
        <v>-5.8087292834534399E-3</v>
      </c>
      <c r="HX19" s="31"/>
      <c r="HY19" s="7">
        <v>4066.7755516630018</v>
      </c>
      <c r="IA19" s="20"/>
      <c r="IB19" s="80" t="s">
        <v>9</v>
      </c>
      <c r="IC19" s="8">
        <v>48.58982934239237</v>
      </c>
      <c r="ID19" s="8">
        <v>42.411596958174904</v>
      </c>
      <c r="MW19" s="20"/>
      <c r="MX19" s="47"/>
    </row>
    <row r="20" spans="16:362">
      <c r="P20" s="22"/>
      <c r="V20" s="7"/>
      <c r="Y20" s="21"/>
      <c r="HY20" s="7">
        <v>3737.2858159549237</v>
      </c>
      <c r="IA20" s="80"/>
      <c r="MW20" s="20"/>
      <c r="MX20" s="47"/>
    </row>
    <row r="21" spans="16:362">
      <c r="P21" s="22"/>
      <c r="V21" s="7"/>
      <c r="Y21" s="21"/>
      <c r="HY21" s="7">
        <v>3037.1066301599722</v>
      </c>
      <c r="MW21" s="20"/>
      <c r="MX21" s="47"/>
    </row>
    <row r="22" spans="16:362">
      <c r="P22" s="22"/>
      <c r="V22" s="7"/>
      <c r="Y22" s="21"/>
      <c r="IC22" s="20"/>
      <c r="MW22" s="20"/>
      <c r="MX22" s="47"/>
    </row>
    <row r="23" spans="16:362">
      <c r="P23" s="22"/>
      <c r="V23" s="7"/>
      <c r="Y23" s="21"/>
      <c r="IB23" s="103">
        <v>791</v>
      </c>
      <c r="IC23" s="103">
        <v>13553</v>
      </c>
      <c r="ID23" s="103">
        <v>9386</v>
      </c>
      <c r="IE23" s="103">
        <v>8696</v>
      </c>
      <c r="IF23" s="103">
        <v>6991</v>
      </c>
      <c r="IG23" s="103">
        <v>3194</v>
      </c>
      <c r="IH23" s="103">
        <v>2006</v>
      </c>
      <c r="MW23" s="20"/>
      <c r="MX23" s="47"/>
    </row>
    <row r="24" spans="16:362">
      <c r="P24" s="22"/>
      <c r="V24" s="7"/>
      <c r="Y24" s="21"/>
      <c r="IB24" s="8">
        <f>+IB23/625</f>
        <v>1.2656000000000001</v>
      </c>
      <c r="IC24" s="8">
        <f t="shared" ref="IC24:IH24" si="18">+IC23/625</f>
        <v>21.684799999999999</v>
      </c>
      <c r="ID24" s="8">
        <f t="shared" si="18"/>
        <v>15.0176</v>
      </c>
      <c r="IE24" s="8">
        <f t="shared" si="18"/>
        <v>13.913600000000001</v>
      </c>
      <c r="IF24" s="8">
        <f t="shared" si="18"/>
        <v>11.185600000000001</v>
      </c>
      <c r="IG24" s="8">
        <f t="shared" si="18"/>
        <v>5.1104000000000003</v>
      </c>
      <c r="IH24" s="8">
        <f t="shared" si="18"/>
        <v>3.2096</v>
      </c>
      <c r="MW24" s="20"/>
      <c r="MX24" s="47"/>
    </row>
    <row r="25" spans="16:362">
      <c r="MW25" s="20"/>
      <c r="MX25" s="47"/>
    </row>
    <row r="26" spans="16:362">
      <c r="MW26" s="20"/>
      <c r="MX26" s="47"/>
    </row>
    <row r="27" spans="16:362">
      <c r="MW27" s="20"/>
      <c r="MX27" s="47"/>
    </row>
    <row r="28" spans="16:362">
      <c r="MW28" s="20"/>
      <c r="MX28" s="47"/>
    </row>
    <row r="29" spans="16:362">
      <c r="MW29" s="20"/>
      <c r="MX29" s="47"/>
    </row>
    <row r="30" spans="16:362">
      <c r="MW30" s="20"/>
      <c r="MX30" s="47"/>
    </row>
  </sheetData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F683"/>
  <sheetViews>
    <sheetView zoomScale="60" zoomScaleNormal="60" workbookViewId="0">
      <pane ySplit="1" topLeftCell="A625" activePane="bottomLeft" state="frozen"/>
      <selection activeCell="EH29" sqref="EH29"/>
      <selection pane="bottomLeft" activeCell="B678" sqref="B678"/>
    </sheetView>
  </sheetViews>
  <sheetFormatPr defaultColWidth="8.88671875" defaultRowHeight="14.4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5" width="19.77734375" style="8" customWidth="1"/>
    <col min="26" max="30" width="31.5546875" style="7" customWidth="1"/>
    <col min="31" max="31" width="25.88671875" style="8" bestFit="1" customWidth="1"/>
    <col min="32" max="32" width="21.77734375" style="8" bestFit="1" customWidth="1"/>
    <col min="33" max="34" width="13.21875" style="8" bestFit="1" customWidth="1"/>
    <col min="35" max="35" width="9.88671875" style="8" bestFit="1" customWidth="1"/>
    <col min="36" max="36" width="8.88671875" style="8"/>
    <col min="37" max="37" width="11.44140625" style="8" bestFit="1" customWidth="1"/>
    <col min="38" max="38" width="11.109375" style="8" bestFit="1" customWidth="1"/>
    <col min="39" max="39" width="16.5546875" style="8" bestFit="1" customWidth="1"/>
    <col min="40" max="40" width="19.21875" style="8" bestFit="1" customWidth="1"/>
    <col min="41" max="41" width="6.77734375" style="8" bestFit="1" customWidth="1"/>
    <col min="42" max="42" width="23" style="8" bestFit="1" customWidth="1"/>
    <col min="43" max="16384" width="8.88671875" style="8"/>
  </cols>
  <sheetData>
    <row r="1" spans="1:44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1845</v>
      </c>
      <c r="N1" s="108" t="s">
        <v>1870</v>
      </c>
      <c r="O1" s="39" t="s">
        <v>1847</v>
      </c>
      <c r="P1" s="39" t="s">
        <v>1848</v>
      </c>
      <c r="Q1" s="39" t="s">
        <v>456</v>
      </c>
      <c r="R1" s="39" t="s">
        <v>1871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8" t="s">
        <v>1872</v>
      </c>
      <c r="Y1" s="108" t="s">
        <v>2394</v>
      </c>
      <c r="Z1" s="39" t="s">
        <v>1862</v>
      </c>
      <c r="AA1" s="39" t="s">
        <v>2393</v>
      </c>
      <c r="AB1" s="39" t="s">
        <v>1863</v>
      </c>
      <c r="AC1" s="104" t="s">
        <v>1864</v>
      </c>
      <c r="AD1" s="104" t="s">
        <v>1865</v>
      </c>
      <c r="AE1" s="104" t="s">
        <v>1866</v>
      </c>
      <c r="AF1" s="104" t="s">
        <v>1867</v>
      </c>
      <c r="AG1" s="104" t="s">
        <v>1868</v>
      </c>
      <c r="AH1" s="104" t="s">
        <v>1869</v>
      </c>
      <c r="AI1" s="104"/>
      <c r="AM1" s="8" t="s">
        <v>1873</v>
      </c>
      <c r="AN1" s="8" t="s">
        <v>1874</v>
      </c>
      <c r="AP1" s="8" t="s">
        <v>1875</v>
      </c>
      <c r="AQ1" s="63" t="s">
        <v>1876</v>
      </c>
    </row>
    <row r="2" spans="1:44">
      <c r="A2" s="28">
        <v>45658</v>
      </c>
      <c r="B2" s="103"/>
      <c r="C2" s="103">
        <v>0</v>
      </c>
      <c r="D2" s="103">
        <v>0</v>
      </c>
      <c r="E2" s="6">
        <v>0</v>
      </c>
      <c r="F2" s="103">
        <v>0</v>
      </c>
      <c r="G2" s="103"/>
      <c r="H2" s="103">
        <v>0</v>
      </c>
      <c r="I2" s="103">
        <v>0</v>
      </c>
      <c r="J2" s="103">
        <v>0</v>
      </c>
      <c r="K2" s="103">
        <v>0</v>
      </c>
      <c r="L2" s="103">
        <v>0</v>
      </c>
      <c r="M2" s="103">
        <v>0</v>
      </c>
      <c r="N2" s="107">
        <f>+AH2+AG2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+I2-AH2</f>
        <v>0</v>
      </c>
      <c r="R2" s="7">
        <f t="shared" ref="R2:R65" si="3">+K2-AG2</f>
        <v>0</v>
      </c>
      <c r="S2" s="39"/>
      <c r="T2" s="39"/>
      <c r="U2" s="39"/>
      <c r="V2" s="39"/>
      <c r="W2" s="7">
        <f t="shared" ref="W2" si="4">+V2-U2-S2+AA2</f>
        <v>0</v>
      </c>
      <c r="X2" s="103">
        <f t="shared" ref="X2" si="5">+V2+AB2+AA2</f>
        <v>0</v>
      </c>
      <c r="Y2" s="103"/>
      <c r="Z2" s="7">
        <v>0</v>
      </c>
      <c r="AB2" s="106">
        <v>0</v>
      </c>
      <c r="AC2" s="103">
        <v>0</v>
      </c>
      <c r="AD2" s="103">
        <v>0</v>
      </c>
      <c r="AE2" s="64" t="e">
        <f>+(Z2/AC2*0.92)</f>
        <v>#DIV/0!</v>
      </c>
      <c r="AF2" s="64"/>
      <c r="AG2" s="20"/>
      <c r="AH2" s="20"/>
      <c r="AI2" s="22"/>
      <c r="AM2" s="8">
        <v>18.57</v>
      </c>
      <c r="AN2" s="8">
        <v>19.559999999999999</v>
      </c>
      <c r="AO2" s="64">
        <f>+AM2/AN2-1</f>
        <v>-5.0613496932515267E-2</v>
      </c>
      <c r="AP2" s="8">
        <v>13.76</v>
      </c>
      <c r="AQ2" s="63">
        <v>22.95</v>
      </c>
      <c r="AR2" s="64">
        <f>+AP2/AQ2-1</f>
        <v>-0.40043572984749454</v>
      </c>
    </row>
    <row r="3" spans="1:44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7">
        <f t="shared" ref="N3:N66" si="6">+AH3+AG3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7">
        <f t="shared" ref="W3:W66" si="7">+V3-U3-S3+AA3</f>
        <v>110643</v>
      </c>
      <c r="X3" s="103">
        <f t="shared" ref="X3:X66" si="8">+V3+AB3+AA3</f>
        <v>112272</v>
      </c>
      <c r="Y3" s="103"/>
      <c r="Z3" s="7">
        <v>3418</v>
      </c>
      <c r="AB3" s="2">
        <v>1629</v>
      </c>
      <c r="AC3" s="103">
        <v>118544</v>
      </c>
      <c r="AD3" s="103">
        <v>112272</v>
      </c>
      <c r="AE3" s="64">
        <f t="shared" ref="AE3:AE66" si="9">+(Z3/AC3*0.92)</f>
        <v>2.6526521797813472E-2</v>
      </c>
      <c r="AF3" s="64">
        <f t="shared" ref="AF3:AF66" si="10">+(AB3/AD3*0.65)</f>
        <v>9.4311137238135955E-3</v>
      </c>
      <c r="AG3" s="20">
        <f t="shared" ref="AG3:AG34" si="11">+AE3*K3</f>
        <v>25.363775925675981</v>
      </c>
      <c r="AH3" s="20">
        <f t="shared" ref="AH3:AH34" si="12">+AF3*I3</f>
        <v>13.864523100149636</v>
      </c>
      <c r="AI3" s="20"/>
      <c r="AJ3" s="20"/>
      <c r="AK3" s="20"/>
    </row>
    <row r="4" spans="1:44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7">
        <f t="shared" si="6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7">
        <f t="shared" si="7"/>
        <v>87275</v>
      </c>
      <c r="X4" s="103">
        <f t="shared" si="8"/>
        <v>100571</v>
      </c>
      <c r="Y4" s="103"/>
      <c r="Z4" s="7">
        <v>18193</v>
      </c>
      <c r="AB4" s="2">
        <v>13296</v>
      </c>
      <c r="AC4" s="103">
        <v>100823</v>
      </c>
      <c r="AD4" s="103">
        <v>100571</v>
      </c>
      <c r="AE4" s="64">
        <f t="shared" si="9"/>
        <v>0.16600934310623569</v>
      </c>
      <c r="AF4" s="64">
        <f t="shared" si="10"/>
        <v>8.5933320738582702E-2</v>
      </c>
      <c r="AG4" s="20">
        <f t="shared" si="11"/>
        <v>152.9776096723962</v>
      </c>
      <c r="AH4" s="20">
        <f t="shared" si="12"/>
        <v>123.62940410257433</v>
      </c>
      <c r="AI4" s="22"/>
      <c r="AK4" s="31"/>
    </row>
    <row r="5" spans="1:44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7">
        <f t="shared" si="6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7">
        <f t="shared" si="7"/>
        <v>63212</v>
      </c>
      <c r="X5" s="103">
        <f t="shared" si="8"/>
        <v>64283</v>
      </c>
      <c r="Y5" s="103"/>
      <c r="Z5" s="7">
        <v>4640</v>
      </c>
      <c r="AB5" s="2">
        <v>1071</v>
      </c>
      <c r="AC5" s="103">
        <v>55585</v>
      </c>
      <c r="AD5" s="103">
        <v>64283</v>
      </c>
      <c r="AE5" s="64">
        <f t="shared" si="9"/>
        <v>7.6797697220473152E-2</v>
      </c>
      <c r="AF5" s="64">
        <f t="shared" si="10"/>
        <v>1.0829457243750291E-2</v>
      </c>
      <c r="AG5" s="20">
        <f t="shared" si="11"/>
        <v>37.355679889658489</v>
      </c>
      <c r="AH5" s="20">
        <f t="shared" si="12"/>
        <v>9.0110108815705559</v>
      </c>
      <c r="AI5" s="22"/>
      <c r="AK5" s="103"/>
      <c r="AL5" s="20"/>
    </row>
    <row r="6" spans="1:44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7">
        <f t="shared" si="6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7">
        <f t="shared" si="7"/>
        <v>52114</v>
      </c>
      <c r="X6" s="103">
        <f t="shared" si="8"/>
        <v>53705</v>
      </c>
      <c r="Y6" s="103"/>
      <c r="Z6" s="7">
        <v>0</v>
      </c>
      <c r="AB6" s="2">
        <v>1591</v>
      </c>
      <c r="AC6" s="103">
        <v>52974</v>
      </c>
      <c r="AD6" s="103">
        <v>53705</v>
      </c>
      <c r="AE6" s="64">
        <f t="shared" si="9"/>
        <v>0</v>
      </c>
      <c r="AF6" s="64">
        <f t="shared" si="10"/>
        <v>1.9256121403966112E-2</v>
      </c>
      <c r="AG6" s="20">
        <f t="shared" si="11"/>
        <v>0</v>
      </c>
      <c r="AH6" s="20">
        <f t="shared" si="12"/>
        <v>14.321740294199795</v>
      </c>
      <c r="AI6" s="22"/>
      <c r="AK6" s="7"/>
      <c r="AL6" s="20"/>
      <c r="AM6" s="31"/>
    </row>
    <row r="7" spans="1:44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7">
        <f t="shared" si="6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7">
        <f t="shared" si="7"/>
        <v>77341</v>
      </c>
      <c r="X7" s="103">
        <f t="shared" si="8"/>
        <v>78875</v>
      </c>
      <c r="Y7" s="103"/>
      <c r="Z7" s="7">
        <v>1226</v>
      </c>
      <c r="AB7" s="2">
        <v>1534</v>
      </c>
      <c r="AC7" s="103">
        <v>107553</v>
      </c>
      <c r="AD7" s="103">
        <v>78875</v>
      </c>
      <c r="AE7" s="64">
        <f t="shared" si="9"/>
        <v>1.0487108681301312E-2</v>
      </c>
      <c r="AF7" s="64">
        <f t="shared" si="10"/>
        <v>1.2641521394611726E-2</v>
      </c>
      <c r="AG7" s="20">
        <f t="shared" si="11"/>
        <v>10.268627250440868</v>
      </c>
      <c r="AH7" s="20">
        <f t="shared" si="12"/>
        <v>16.545644585314317</v>
      </c>
      <c r="AI7" s="22"/>
    </row>
    <row r="8" spans="1:44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7">
        <f t="shared" si="6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7">
        <f t="shared" si="7"/>
        <v>84247</v>
      </c>
      <c r="X8" s="103">
        <f t="shared" si="8"/>
        <v>85934</v>
      </c>
      <c r="Y8" s="103"/>
      <c r="Z8" s="7">
        <v>21112</v>
      </c>
      <c r="AB8" s="2">
        <v>1687</v>
      </c>
      <c r="AC8" s="103">
        <v>85978</v>
      </c>
      <c r="AD8" s="103">
        <v>85934</v>
      </c>
      <c r="AE8" s="64">
        <f t="shared" si="9"/>
        <v>0.22590709251203797</v>
      </c>
      <c r="AF8" s="64">
        <f t="shared" si="10"/>
        <v>1.276037424069635E-2</v>
      </c>
      <c r="AG8" s="20">
        <f t="shared" si="11"/>
        <v>186.74986314328473</v>
      </c>
      <c r="AH8" s="20">
        <f t="shared" si="12"/>
        <v>16.752244648994193</v>
      </c>
      <c r="AI8" s="22"/>
    </row>
    <row r="9" spans="1:44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7">
        <f t="shared" si="6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7">
        <f t="shared" si="7"/>
        <v>48078</v>
      </c>
      <c r="X9" s="103">
        <f t="shared" si="8"/>
        <v>98481</v>
      </c>
      <c r="Y9" s="103"/>
      <c r="Z9" s="7">
        <v>76983</v>
      </c>
      <c r="AB9" s="2">
        <v>50403</v>
      </c>
      <c r="AC9" s="103">
        <v>209900</v>
      </c>
      <c r="AD9" s="103">
        <v>98481</v>
      </c>
      <c r="AE9" s="64">
        <f t="shared" si="9"/>
        <v>0.33741953311100525</v>
      </c>
      <c r="AF9" s="64">
        <f t="shared" si="10"/>
        <v>0.33267279982940878</v>
      </c>
      <c r="AG9" s="20">
        <f t="shared" si="11"/>
        <v>340.51254549785614</v>
      </c>
      <c r="AH9" s="20">
        <f t="shared" si="12"/>
        <v>442.45482377311373</v>
      </c>
      <c r="AI9" s="22"/>
    </row>
    <row r="10" spans="1:44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7">
        <f t="shared" si="6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7">
        <f t="shared" si="7"/>
        <v>59064</v>
      </c>
      <c r="X10" s="103">
        <f t="shared" si="8"/>
        <v>109676</v>
      </c>
      <c r="Y10" s="103"/>
      <c r="Z10" s="7">
        <v>44244</v>
      </c>
      <c r="AB10" s="2">
        <v>50612</v>
      </c>
      <c r="AC10" s="103">
        <v>146642</v>
      </c>
      <c r="AD10" s="103">
        <v>109676</v>
      </c>
      <c r="AE10" s="64">
        <f t="shared" si="9"/>
        <v>0.27757722889758735</v>
      </c>
      <c r="AF10" s="64">
        <f t="shared" si="10"/>
        <v>0.29995441117473287</v>
      </c>
      <c r="AG10" s="20">
        <f t="shared" si="11"/>
        <v>285.60383709987593</v>
      </c>
      <c r="AH10" s="20">
        <f t="shared" si="12"/>
        <v>418.51139219154607</v>
      </c>
      <c r="AI10" s="22"/>
    </row>
    <row r="11" spans="1:44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7">
        <f t="shared" si="6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7">
        <f t="shared" si="7"/>
        <v>55304</v>
      </c>
      <c r="X11" s="103">
        <f t="shared" si="8"/>
        <v>97587</v>
      </c>
      <c r="Y11" s="103"/>
      <c r="Z11" s="7">
        <v>6698</v>
      </c>
      <c r="AB11" s="2">
        <v>42283</v>
      </c>
      <c r="AC11" s="103">
        <v>66056</v>
      </c>
      <c r="AD11" s="103">
        <v>97587</v>
      </c>
      <c r="AE11" s="64">
        <f t="shared" si="9"/>
        <v>9.3286908077994432E-2</v>
      </c>
      <c r="AF11" s="64">
        <f t="shared" si="10"/>
        <v>0.28163536126738192</v>
      </c>
      <c r="AG11" s="20">
        <f t="shared" si="11"/>
        <v>75.748969359331468</v>
      </c>
      <c r="AH11" s="20">
        <f t="shared" si="12"/>
        <v>353.78095297870954</v>
      </c>
      <c r="AI11" s="22"/>
    </row>
    <row r="12" spans="1:44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7">
        <f t="shared" si="6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7">
        <f t="shared" si="7"/>
        <v>62212</v>
      </c>
      <c r="X12" s="103">
        <f t="shared" si="8"/>
        <v>62782</v>
      </c>
      <c r="Y12" s="103"/>
      <c r="Z12" s="7">
        <v>107</v>
      </c>
      <c r="AB12" s="2">
        <v>570</v>
      </c>
      <c r="AC12" s="103">
        <v>54708</v>
      </c>
      <c r="AD12" s="103">
        <v>62782</v>
      </c>
      <c r="AE12" s="64">
        <f t="shared" si="9"/>
        <v>1.7993712071360682E-3</v>
      </c>
      <c r="AF12" s="64">
        <f t="shared" si="10"/>
        <v>5.9013730050014339E-3</v>
      </c>
      <c r="AG12" s="20">
        <f t="shared" si="11"/>
        <v>0.81826405644512701</v>
      </c>
      <c r="AH12" s="20">
        <f t="shared" si="12"/>
        <v>4.2986584530597947</v>
      </c>
      <c r="AI12" s="22"/>
    </row>
    <row r="13" spans="1:44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7">
        <f t="shared" si="6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7">
        <f t="shared" si="7"/>
        <v>64795</v>
      </c>
      <c r="X13" s="103">
        <f t="shared" si="8"/>
        <v>65347</v>
      </c>
      <c r="Y13" s="103"/>
      <c r="Z13" s="7">
        <v>0</v>
      </c>
      <c r="AB13" s="2">
        <v>552</v>
      </c>
      <c r="AC13" s="103">
        <v>65466</v>
      </c>
      <c r="AD13" s="103">
        <v>65347</v>
      </c>
      <c r="AE13" s="64">
        <f t="shared" si="9"/>
        <v>0</v>
      </c>
      <c r="AF13" s="64">
        <f t="shared" si="10"/>
        <v>5.4906881723721058E-3</v>
      </c>
      <c r="AG13" s="20">
        <f t="shared" si="11"/>
        <v>0</v>
      </c>
      <c r="AH13" s="20">
        <f t="shared" si="12"/>
        <v>3.9221815844644738</v>
      </c>
      <c r="AI13" s="22"/>
    </row>
    <row r="14" spans="1:44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7">
        <f t="shared" si="6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7">
        <f t="shared" si="7"/>
        <v>76231</v>
      </c>
      <c r="X14" s="103">
        <f t="shared" si="8"/>
        <v>83397</v>
      </c>
      <c r="Y14" s="103"/>
      <c r="Z14" s="7">
        <v>9481</v>
      </c>
      <c r="AB14" s="2">
        <v>7166</v>
      </c>
      <c r="AC14" s="103">
        <v>96305</v>
      </c>
      <c r="AD14" s="103">
        <v>83429</v>
      </c>
      <c r="AE14" s="64">
        <f t="shared" si="9"/>
        <v>9.0571829084678881E-2</v>
      </c>
      <c r="AF14" s="64">
        <f t="shared" si="10"/>
        <v>5.583070634911122E-2</v>
      </c>
      <c r="AG14" s="20">
        <f t="shared" si="11"/>
        <v>76.404885485350377</v>
      </c>
      <c r="AH14" s="20">
        <f t="shared" si="12"/>
        <v>61.641752368281196</v>
      </c>
      <c r="AI14" s="22"/>
    </row>
    <row r="15" spans="1:44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7">
        <f t="shared" si="6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7">
        <f t="shared" si="7"/>
        <v>71610</v>
      </c>
      <c r="X15" s="103">
        <f t="shared" si="8"/>
        <v>76464</v>
      </c>
      <c r="Y15" s="103"/>
      <c r="Z15" s="7">
        <v>0</v>
      </c>
      <c r="AB15" s="2">
        <v>4854</v>
      </c>
      <c r="AC15" s="103">
        <v>92969</v>
      </c>
      <c r="AD15" s="103">
        <v>73044</v>
      </c>
      <c r="AE15" s="64">
        <f t="shared" si="9"/>
        <v>0</v>
      </c>
      <c r="AF15" s="64">
        <f t="shared" si="10"/>
        <v>4.3194512896336461E-2</v>
      </c>
      <c r="AG15" s="20">
        <f t="shared" si="11"/>
        <v>0</v>
      </c>
      <c r="AH15" s="20">
        <f t="shared" si="12"/>
        <v>47.945909314933473</v>
      </c>
      <c r="AI15" s="22"/>
    </row>
    <row r="16" spans="1:44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7">
        <f t="shared" si="6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7">
        <f t="shared" si="7"/>
        <v>90966</v>
      </c>
      <c r="X16" s="103">
        <f t="shared" si="8"/>
        <v>95772</v>
      </c>
      <c r="Y16" s="103"/>
      <c r="Z16" s="7">
        <v>76476</v>
      </c>
      <c r="AB16" s="2">
        <v>4806</v>
      </c>
      <c r="AC16" s="103">
        <v>216051</v>
      </c>
      <c r="AD16" s="103">
        <v>92428</v>
      </c>
      <c r="AE16" s="64">
        <f t="shared" si="9"/>
        <v>0.32565422053126342</v>
      </c>
      <c r="AF16" s="64">
        <f t="shared" si="10"/>
        <v>3.3798199679750722E-2</v>
      </c>
      <c r="AG16" s="20">
        <f t="shared" si="11"/>
        <v>342.96816992284221</v>
      </c>
      <c r="AH16" s="20">
        <f t="shared" si="12"/>
        <v>48.759536071320369</v>
      </c>
      <c r="AI16" s="22"/>
    </row>
    <row r="17" spans="1:35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7">
        <f t="shared" si="6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7">
        <f t="shared" si="7"/>
        <v>102665</v>
      </c>
      <c r="X17" s="103">
        <f t="shared" si="8"/>
        <v>163666</v>
      </c>
      <c r="Y17" s="103"/>
      <c r="Z17" s="7">
        <v>55627</v>
      </c>
      <c r="AB17" s="2">
        <v>61001</v>
      </c>
      <c r="AC17" s="103">
        <v>195041</v>
      </c>
      <c r="AD17" s="103">
        <v>219709</v>
      </c>
      <c r="AE17" s="64">
        <f t="shared" si="9"/>
        <v>0.26239016411933902</v>
      </c>
      <c r="AF17" s="64">
        <f t="shared" si="10"/>
        <v>0.18046893845950782</v>
      </c>
      <c r="AG17" s="20">
        <f t="shared" si="11"/>
        <v>307.12768710168632</v>
      </c>
      <c r="AH17" s="20">
        <f t="shared" si="12"/>
        <v>306.96262524141787</v>
      </c>
      <c r="AI17" s="22"/>
    </row>
    <row r="18" spans="1:35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7">
        <f t="shared" si="6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7">
        <f t="shared" si="7"/>
        <v>121547</v>
      </c>
      <c r="X18" s="103">
        <f t="shared" si="8"/>
        <v>136593</v>
      </c>
      <c r="Y18" s="103"/>
      <c r="Z18" s="7">
        <v>53435</v>
      </c>
      <c r="AB18" s="2">
        <v>15046</v>
      </c>
      <c r="AC18" s="103">
        <v>134234</v>
      </c>
      <c r="AD18" s="103">
        <v>139022</v>
      </c>
      <c r="AE18" s="64">
        <f t="shared" si="9"/>
        <v>0.36622763234351952</v>
      </c>
      <c r="AF18" s="64">
        <f t="shared" si="10"/>
        <v>7.0347858612305969E-2</v>
      </c>
      <c r="AG18" s="20">
        <f t="shared" si="11"/>
        <v>284.04004785176136</v>
      </c>
      <c r="AH18" s="20">
        <f t="shared" si="12"/>
        <v>100.84365532074061</v>
      </c>
      <c r="AI18" s="22"/>
    </row>
    <row r="19" spans="1:35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7">
        <f t="shared" si="6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7">
        <f t="shared" si="7"/>
        <v>66659</v>
      </c>
      <c r="X19" s="103">
        <f t="shared" si="8"/>
        <v>71777</v>
      </c>
      <c r="Y19" s="103"/>
      <c r="Z19" s="7">
        <v>0</v>
      </c>
      <c r="AB19" s="2">
        <v>5118</v>
      </c>
      <c r="AC19" s="103">
        <v>62881</v>
      </c>
      <c r="AD19" s="103">
        <v>70002</v>
      </c>
      <c r="AE19" s="64">
        <f t="shared" si="9"/>
        <v>0</v>
      </c>
      <c r="AF19" s="64">
        <f t="shared" si="10"/>
        <v>4.7522927916345249E-2</v>
      </c>
      <c r="AG19" s="20">
        <f t="shared" si="11"/>
        <v>0</v>
      </c>
      <c r="AH19" s="20">
        <f t="shared" si="12"/>
        <v>36.450085711836813</v>
      </c>
      <c r="AI19" s="22"/>
    </row>
    <row r="20" spans="1:35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7">
        <f t="shared" si="6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7">
        <f t="shared" si="7"/>
        <v>72913</v>
      </c>
      <c r="X20" s="103">
        <f t="shared" si="8"/>
        <v>73898</v>
      </c>
      <c r="Y20" s="103"/>
      <c r="Z20" s="7">
        <v>0</v>
      </c>
      <c r="AB20" s="2">
        <v>985</v>
      </c>
      <c r="AC20" s="103">
        <v>63104</v>
      </c>
      <c r="AD20" s="103">
        <v>69610</v>
      </c>
      <c r="AE20" s="64">
        <f t="shared" si="9"/>
        <v>0</v>
      </c>
      <c r="AF20" s="64">
        <f t="shared" si="10"/>
        <v>9.1976727481683663E-3</v>
      </c>
      <c r="AG20" s="20">
        <f t="shared" si="11"/>
        <v>0</v>
      </c>
      <c r="AH20" s="20">
        <f t="shared" si="12"/>
        <v>6.3142023416175839</v>
      </c>
      <c r="AI20" s="22"/>
    </row>
    <row r="21" spans="1:35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7">
        <f t="shared" si="6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7">
        <f t="shared" si="7"/>
        <v>82607</v>
      </c>
      <c r="X21" s="103">
        <f t="shared" si="8"/>
        <v>84392</v>
      </c>
      <c r="Y21" s="103"/>
      <c r="Z21" s="7">
        <v>0</v>
      </c>
      <c r="AB21" s="2">
        <v>1785</v>
      </c>
      <c r="AC21" s="103">
        <v>90936</v>
      </c>
      <c r="AD21" s="103">
        <v>76968</v>
      </c>
      <c r="AE21" s="64">
        <f t="shared" si="9"/>
        <v>0</v>
      </c>
      <c r="AF21" s="64">
        <f t="shared" si="10"/>
        <v>1.5074446523230433E-2</v>
      </c>
      <c r="AG21" s="20">
        <f t="shared" si="11"/>
        <v>0</v>
      </c>
      <c r="AH21" s="20">
        <f t="shared" si="12"/>
        <v>20.119361293004882</v>
      </c>
      <c r="AI21" s="22"/>
    </row>
    <row r="22" spans="1:35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7">
        <f t="shared" si="6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7">
        <f t="shared" si="7"/>
        <v>112240</v>
      </c>
      <c r="X22" s="103">
        <f t="shared" si="8"/>
        <v>115558</v>
      </c>
      <c r="Y22" s="103"/>
      <c r="Z22" s="7">
        <v>66581</v>
      </c>
      <c r="AB22" s="2">
        <v>3318</v>
      </c>
      <c r="AC22" s="103">
        <v>164897</v>
      </c>
      <c r="AD22" s="103">
        <v>112802</v>
      </c>
      <c r="AE22" s="64">
        <f t="shared" si="9"/>
        <v>0.37147140336088591</v>
      </c>
      <c r="AF22" s="64">
        <f t="shared" si="10"/>
        <v>1.9119341855640858E-2</v>
      </c>
      <c r="AG22" s="20">
        <f t="shared" si="11"/>
        <v>321.60136745968697</v>
      </c>
      <c r="AH22" s="20">
        <f t="shared" si="12"/>
        <v>27.81226928600557</v>
      </c>
      <c r="AI22" s="22"/>
    </row>
    <row r="23" spans="1:35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7">
        <f t="shared" si="6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7">
        <f t="shared" si="7"/>
        <v>67455</v>
      </c>
      <c r="X23" s="103">
        <f t="shared" si="8"/>
        <v>94829</v>
      </c>
      <c r="Y23" s="103"/>
      <c r="Z23" s="7">
        <v>0</v>
      </c>
      <c r="AB23" s="2">
        <v>27374</v>
      </c>
      <c r="AC23" s="103">
        <v>90384</v>
      </c>
      <c r="AD23" s="103">
        <v>117836</v>
      </c>
      <c r="AE23" s="64">
        <f t="shared" si="9"/>
        <v>0</v>
      </c>
      <c r="AF23" s="64">
        <f t="shared" si="10"/>
        <v>0.15099884585355919</v>
      </c>
      <c r="AG23" s="20">
        <f t="shared" si="11"/>
        <v>0</v>
      </c>
      <c r="AH23" s="20">
        <f t="shared" si="12"/>
        <v>208.49165641230184</v>
      </c>
      <c r="AI23" s="22"/>
    </row>
    <row r="24" spans="1:35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7">
        <f t="shared" si="6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7">
        <f t="shared" si="7"/>
        <v>77349</v>
      </c>
      <c r="X24" s="103">
        <f t="shared" si="8"/>
        <v>91123</v>
      </c>
      <c r="Y24" s="103"/>
      <c r="Z24" s="7">
        <v>0</v>
      </c>
      <c r="AB24" s="2">
        <v>13774</v>
      </c>
      <c r="AC24" s="103">
        <v>55790</v>
      </c>
      <c r="AD24" s="103">
        <v>99543</v>
      </c>
      <c r="AE24" s="64">
        <f t="shared" si="9"/>
        <v>0</v>
      </c>
      <c r="AF24" s="64">
        <f t="shared" si="10"/>
        <v>8.9942035100408865E-2</v>
      </c>
      <c r="AG24" s="20">
        <f t="shared" si="11"/>
        <v>0</v>
      </c>
      <c r="AH24" s="20">
        <f t="shared" si="12"/>
        <v>87.820902105957529</v>
      </c>
      <c r="AI24" s="22"/>
    </row>
    <row r="25" spans="1:35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7">
        <f t="shared" si="6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7">
        <f t="shared" si="7"/>
        <v>83403</v>
      </c>
      <c r="X25" s="103">
        <f t="shared" si="8"/>
        <v>84949</v>
      </c>
      <c r="Y25" s="103"/>
      <c r="Z25" s="7">
        <v>0</v>
      </c>
      <c r="AB25" s="2">
        <v>1546</v>
      </c>
      <c r="AC25" s="103">
        <v>71415</v>
      </c>
      <c r="AD25" s="103">
        <v>80892</v>
      </c>
      <c r="AE25" s="64">
        <f t="shared" si="9"/>
        <v>0</v>
      </c>
      <c r="AF25" s="64">
        <f t="shared" si="10"/>
        <v>1.242273648815705E-2</v>
      </c>
      <c r="AG25" s="20">
        <f t="shared" si="11"/>
        <v>0</v>
      </c>
      <c r="AH25" s="20">
        <f t="shared" si="12"/>
        <v>12.561457045608137</v>
      </c>
      <c r="AI25" s="22"/>
    </row>
    <row r="26" spans="1:35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7">
        <f t="shared" si="6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7">
        <f t="shared" si="7"/>
        <v>65075</v>
      </c>
      <c r="X26" s="103">
        <f t="shared" si="8"/>
        <v>66709</v>
      </c>
      <c r="Y26" s="103"/>
      <c r="Z26" s="7">
        <v>0</v>
      </c>
      <c r="AB26" s="2">
        <v>1634</v>
      </c>
      <c r="AC26" s="103">
        <v>57757</v>
      </c>
      <c r="AD26" s="103">
        <v>65714</v>
      </c>
      <c r="AE26" s="64">
        <f t="shared" si="9"/>
        <v>0</v>
      </c>
      <c r="AF26" s="64">
        <f t="shared" si="10"/>
        <v>1.6162461575919895E-2</v>
      </c>
      <c r="AG26" s="20">
        <f t="shared" si="11"/>
        <v>0</v>
      </c>
      <c r="AH26" s="20">
        <f t="shared" si="12"/>
        <v>12.68483859350113</v>
      </c>
      <c r="AI26" s="22"/>
    </row>
    <row r="27" spans="1:35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7">
        <f t="shared" si="6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7">
        <f t="shared" si="7"/>
        <v>67819</v>
      </c>
      <c r="X27" s="103">
        <f t="shared" si="8"/>
        <v>68922</v>
      </c>
      <c r="Y27" s="103"/>
      <c r="Z27" s="7">
        <v>0</v>
      </c>
      <c r="AB27" s="2">
        <v>1103</v>
      </c>
      <c r="AC27" s="103">
        <v>63970</v>
      </c>
      <c r="AD27" s="103">
        <v>65741</v>
      </c>
      <c r="AE27" s="64">
        <f t="shared" si="9"/>
        <v>0</v>
      </c>
      <c r="AF27" s="64">
        <f t="shared" si="10"/>
        <v>1.090567530156219E-2</v>
      </c>
      <c r="AG27" s="20">
        <f t="shared" si="11"/>
        <v>0</v>
      </c>
      <c r="AH27" s="20">
        <f t="shared" si="12"/>
        <v>7.8702623426273801</v>
      </c>
      <c r="AI27" s="22"/>
    </row>
    <row r="28" spans="1:35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7">
        <f t="shared" si="6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7">
        <f t="shared" si="7"/>
        <v>61208</v>
      </c>
      <c r="X28" s="103">
        <f t="shared" si="8"/>
        <v>63112</v>
      </c>
      <c r="Y28" s="103"/>
      <c r="Z28" s="7">
        <v>2062</v>
      </c>
      <c r="AB28" s="2">
        <v>1904</v>
      </c>
      <c r="AC28" s="103">
        <v>68490</v>
      </c>
      <c r="AD28" s="103">
        <v>61902</v>
      </c>
      <c r="AE28" s="64">
        <f t="shared" si="9"/>
        <v>2.7698058110673093E-2</v>
      </c>
      <c r="AF28" s="64">
        <f t="shared" si="10"/>
        <v>1.9992891990565732E-2</v>
      </c>
      <c r="AG28" s="20">
        <f t="shared" si="11"/>
        <v>19.289389302574584</v>
      </c>
      <c r="AH28" s="20">
        <f t="shared" si="12"/>
        <v>19.506398285461962</v>
      </c>
      <c r="AI28" s="22"/>
    </row>
    <row r="29" spans="1:35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7">
        <f t="shared" si="6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7">
        <f t="shared" si="7"/>
        <v>73830</v>
      </c>
      <c r="X29" s="103">
        <f t="shared" si="8"/>
        <v>76940</v>
      </c>
      <c r="Y29" s="103"/>
      <c r="Z29" s="7">
        <v>16287</v>
      </c>
      <c r="AB29" s="2">
        <v>3110</v>
      </c>
      <c r="AC29" s="103">
        <v>79474</v>
      </c>
      <c r="AD29" s="103">
        <v>75005</v>
      </c>
      <c r="AE29" s="64">
        <f t="shared" si="9"/>
        <v>0.18854015149608677</v>
      </c>
      <c r="AF29" s="64">
        <f t="shared" si="10"/>
        <v>2.6951536564229054E-2</v>
      </c>
      <c r="AG29" s="20">
        <f t="shared" si="11"/>
        <v>119.77013123788912</v>
      </c>
      <c r="AH29" s="20">
        <f t="shared" si="12"/>
        <v>27.562438059684919</v>
      </c>
      <c r="AI29" s="22"/>
    </row>
    <row r="30" spans="1:35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7">
        <f t="shared" si="6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7">
        <f t="shared" si="7"/>
        <v>70622</v>
      </c>
      <c r="X30" s="103">
        <f t="shared" si="8"/>
        <v>89449</v>
      </c>
      <c r="Y30" s="103"/>
      <c r="Z30" s="7">
        <v>17532</v>
      </c>
      <c r="AB30" s="2">
        <v>18827</v>
      </c>
      <c r="AC30" s="103">
        <v>106268</v>
      </c>
      <c r="AD30" s="103">
        <v>101359</v>
      </c>
      <c r="AE30" s="64">
        <f t="shared" si="9"/>
        <v>0.1517807806677457</v>
      </c>
      <c r="AF30" s="64">
        <f t="shared" si="10"/>
        <v>0.12073471522015805</v>
      </c>
      <c r="AG30" s="20">
        <f t="shared" si="11"/>
        <v>109.62366883727933</v>
      </c>
      <c r="AH30" s="20">
        <f t="shared" si="12"/>
        <v>147.67867916679</v>
      </c>
      <c r="AI30" s="22"/>
    </row>
    <row r="31" spans="1:35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7">
        <f t="shared" si="6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7">
        <f t="shared" si="7"/>
        <v>91810</v>
      </c>
      <c r="X31" s="103">
        <f t="shared" si="8"/>
        <v>111380</v>
      </c>
      <c r="Y31" s="103"/>
      <c r="Z31" s="7">
        <v>0</v>
      </c>
      <c r="AB31" s="2">
        <v>19570</v>
      </c>
      <c r="AC31" s="103">
        <v>63895</v>
      </c>
      <c r="AD31" s="103">
        <v>127917</v>
      </c>
      <c r="AE31" s="64">
        <f t="shared" si="9"/>
        <v>0</v>
      </c>
      <c r="AF31" s="64">
        <f t="shared" si="10"/>
        <v>9.9443389072601765E-2</v>
      </c>
      <c r="AG31" s="20">
        <f t="shared" si="11"/>
        <v>0</v>
      </c>
      <c r="AH31" s="20">
        <f t="shared" si="12"/>
        <v>124.36224498437788</v>
      </c>
      <c r="AI31" s="22"/>
    </row>
    <row r="32" spans="1:35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7">
        <f t="shared" si="6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7">
        <f t="shared" si="7"/>
        <v>79330</v>
      </c>
      <c r="X32" s="103">
        <f t="shared" si="8"/>
        <v>80937</v>
      </c>
      <c r="Y32" s="103"/>
      <c r="Z32" s="7">
        <v>0</v>
      </c>
      <c r="AB32" s="2">
        <v>1607</v>
      </c>
      <c r="AC32" s="103">
        <v>75454</v>
      </c>
      <c r="AD32" s="103">
        <v>79765</v>
      </c>
      <c r="AE32" s="64">
        <f t="shared" si="9"/>
        <v>0</v>
      </c>
      <c r="AF32" s="64">
        <f t="shared" si="10"/>
        <v>1.3095342568795838E-2</v>
      </c>
      <c r="AG32" s="20">
        <f t="shared" si="11"/>
        <v>0</v>
      </c>
      <c r="AH32" s="20">
        <f t="shared" si="12"/>
        <v>13.218657044651998</v>
      </c>
      <c r="AI32" s="22"/>
    </row>
    <row r="33" spans="1:35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7">
        <f t="shared" si="6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7">
        <f t="shared" si="7"/>
        <v>68062</v>
      </c>
      <c r="X33" s="103">
        <f t="shared" si="8"/>
        <v>68663</v>
      </c>
      <c r="Y33" s="103"/>
      <c r="Z33" s="7">
        <v>0</v>
      </c>
      <c r="AB33" s="2">
        <v>601</v>
      </c>
      <c r="AC33" s="103">
        <v>64142</v>
      </c>
      <c r="AD33" s="103">
        <v>63621</v>
      </c>
      <c r="AE33" s="64">
        <f t="shared" si="9"/>
        <v>0</v>
      </c>
      <c r="AF33" s="64">
        <f t="shared" si="10"/>
        <v>6.1402681504534673E-3</v>
      </c>
      <c r="AG33" s="20">
        <f t="shared" si="11"/>
        <v>0</v>
      </c>
      <c r="AH33" s="20">
        <f t="shared" si="12"/>
        <v>4.0402964429983816</v>
      </c>
      <c r="AI33" s="22"/>
    </row>
    <row r="34" spans="1:35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7">
        <f t="shared" si="6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7">
        <f t="shared" si="7"/>
        <v>66284</v>
      </c>
      <c r="X34" s="103">
        <f t="shared" si="8"/>
        <v>68499</v>
      </c>
      <c r="Y34" s="103"/>
      <c r="Z34" s="7">
        <v>0</v>
      </c>
      <c r="AB34" s="2">
        <v>2215</v>
      </c>
      <c r="AC34" s="103">
        <v>70854</v>
      </c>
      <c r="AD34" s="103">
        <v>65493</v>
      </c>
      <c r="AE34" s="64">
        <f t="shared" si="9"/>
        <v>0</v>
      </c>
      <c r="AF34" s="64">
        <f t="shared" si="10"/>
        <v>2.198326538714061E-2</v>
      </c>
      <c r="AG34" s="20">
        <f t="shared" si="11"/>
        <v>0</v>
      </c>
      <c r="AH34" s="20">
        <f t="shared" si="12"/>
        <v>15.318672097272479</v>
      </c>
      <c r="AI34" s="22"/>
    </row>
    <row r="35" spans="1:35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7">
        <f t="shared" si="6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7">
        <f t="shared" si="7"/>
        <v>63491</v>
      </c>
      <c r="X35" s="103">
        <f t="shared" si="8"/>
        <v>65276</v>
      </c>
      <c r="Y35" s="103"/>
      <c r="Z35" s="7">
        <v>0</v>
      </c>
      <c r="AB35" s="2">
        <v>1785</v>
      </c>
      <c r="AC35" s="103">
        <v>70876</v>
      </c>
      <c r="AD35" s="103">
        <v>62185</v>
      </c>
      <c r="AE35" s="64">
        <f t="shared" si="9"/>
        <v>0</v>
      </c>
      <c r="AF35" s="64">
        <f t="shared" si="10"/>
        <v>1.8658036503980062E-2</v>
      </c>
      <c r="AG35" s="20">
        <f t="shared" ref="AG35:AG66" si="13">+AE35*K35</f>
        <v>0</v>
      </c>
      <c r="AH35" s="20">
        <f t="shared" ref="AH35:AH66" si="14">+AF35*I35</f>
        <v>18.012779408217419</v>
      </c>
      <c r="AI35" s="22"/>
    </row>
    <row r="36" spans="1:35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7">
        <f t="shared" si="6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7">
        <f t="shared" si="7"/>
        <v>94199</v>
      </c>
      <c r="X36" s="103">
        <f t="shared" si="8"/>
        <v>95962</v>
      </c>
      <c r="Y36" s="103"/>
      <c r="Z36" s="7">
        <v>13578</v>
      </c>
      <c r="AB36" s="2">
        <v>1763</v>
      </c>
      <c r="AC36" s="103">
        <v>88349</v>
      </c>
      <c r="AD36" s="103">
        <v>92396</v>
      </c>
      <c r="AE36" s="64">
        <f t="shared" si="9"/>
        <v>0.14139107403592571</v>
      </c>
      <c r="AF36" s="64">
        <f t="shared" si="10"/>
        <v>1.2402593185852202E-2</v>
      </c>
      <c r="AG36" s="20">
        <f t="shared" si="13"/>
        <v>81.712258203262081</v>
      </c>
      <c r="AH36" s="20">
        <f t="shared" si="14"/>
        <v>14.662965793973765</v>
      </c>
      <c r="AI36" s="22"/>
    </row>
    <row r="37" spans="1:35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7">
        <f t="shared" si="6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7">
        <f t="shared" si="7"/>
        <v>101409</v>
      </c>
      <c r="X37" s="103">
        <f t="shared" si="8"/>
        <v>102488</v>
      </c>
      <c r="Y37" s="103"/>
      <c r="Z37" s="7">
        <v>3072</v>
      </c>
      <c r="AB37" s="2">
        <v>1079</v>
      </c>
      <c r="AC37" s="103">
        <v>123547</v>
      </c>
      <c r="AD37" s="103">
        <v>99429</v>
      </c>
      <c r="AE37" s="64">
        <f t="shared" si="9"/>
        <v>2.2875828632018584E-2</v>
      </c>
      <c r="AF37" s="64">
        <f t="shared" si="10"/>
        <v>7.0537770670528726E-3</v>
      </c>
      <c r="AG37" s="20">
        <f t="shared" si="13"/>
        <v>19.042221017102804</v>
      </c>
      <c r="AH37" s="20">
        <f t="shared" si="14"/>
        <v>10.081023058329732</v>
      </c>
      <c r="AI37" s="22"/>
    </row>
    <row r="38" spans="1:35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7">
        <f t="shared" si="6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7">
        <f t="shared" si="7"/>
        <v>119888</v>
      </c>
      <c r="X38" s="103">
        <f t="shared" si="8"/>
        <v>122309</v>
      </c>
      <c r="Y38" s="103"/>
      <c r="Z38" s="7">
        <v>18345</v>
      </c>
      <c r="AB38" s="2">
        <v>2421</v>
      </c>
      <c r="AC38" s="103">
        <v>143401</v>
      </c>
      <c r="AD38" s="103">
        <v>117246</v>
      </c>
      <c r="AE38" s="64">
        <f t="shared" si="9"/>
        <v>0.11769373993207859</v>
      </c>
      <c r="AF38" s="64">
        <f t="shared" si="10"/>
        <v>1.3421779847500127E-2</v>
      </c>
      <c r="AG38" s="20">
        <f t="shared" si="13"/>
        <v>99.137360269454192</v>
      </c>
      <c r="AH38" s="20">
        <f t="shared" si="14"/>
        <v>18.490738703239344</v>
      </c>
      <c r="AI38" s="22"/>
    </row>
    <row r="39" spans="1:35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7">
        <f t="shared" si="6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7">
        <f t="shared" si="7"/>
        <v>121421</v>
      </c>
      <c r="X39" s="103">
        <f t="shared" si="8"/>
        <v>136825</v>
      </c>
      <c r="Y39" s="103"/>
      <c r="Z39" s="7">
        <v>19763</v>
      </c>
      <c r="AB39" s="2">
        <v>15404</v>
      </c>
      <c r="AC39" s="103">
        <v>137235</v>
      </c>
      <c r="AD39" s="103">
        <v>144560</v>
      </c>
      <c r="AE39" s="64">
        <f t="shared" si="9"/>
        <v>0.13248777644186979</v>
      </c>
      <c r="AF39" s="64">
        <f t="shared" si="10"/>
        <v>6.9262589928057561E-2</v>
      </c>
      <c r="AG39" s="20">
        <f t="shared" si="13"/>
        <v>106.76306651607342</v>
      </c>
      <c r="AH39" s="20">
        <f t="shared" si="14"/>
        <v>98.768453237410085</v>
      </c>
      <c r="AI39" s="22"/>
    </row>
    <row r="40" spans="1:35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7">
        <f t="shared" si="6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7">
        <f t="shared" si="7"/>
        <v>63936</v>
      </c>
      <c r="X40" s="103">
        <f t="shared" si="8"/>
        <v>91682</v>
      </c>
      <c r="Y40" s="103"/>
      <c r="Z40" s="7">
        <v>1141</v>
      </c>
      <c r="AB40" s="2">
        <v>27746</v>
      </c>
      <c r="AC40" s="103">
        <v>68676</v>
      </c>
      <c r="AD40" s="103">
        <v>111544</v>
      </c>
      <c r="AE40" s="64">
        <f t="shared" si="9"/>
        <v>1.5285106878676683E-2</v>
      </c>
      <c r="AF40" s="64">
        <f t="shared" si="10"/>
        <v>0.16168417844079466</v>
      </c>
      <c r="AG40" s="20">
        <f t="shared" si="13"/>
        <v>6.8528229172733806</v>
      </c>
      <c r="AH40" s="20">
        <f t="shared" si="14"/>
        <v>123.40544919493652</v>
      </c>
      <c r="AI40" s="22"/>
    </row>
    <row r="41" spans="1:35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7">
        <f t="shared" si="6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7">
        <f t="shared" si="7"/>
        <v>72118</v>
      </c>
      <c r="X41" s="103">
        <f t="shared" si="8"/>
        <v>77478</v>
      </c>
      <c r="Y41" s="103"/>
      <c r="Z41" s="7">
        <v>0</v>
      </c>
      <c r="AB41" s="2">
        <v>5360</v>
      </c>
      <c r="AC41" s="103">
        <v>76840</v>
      </c>
      <c r="AD41" s="103">
        <v>76746</v>
      </c>
      <c r="AE41" s="64">
        <f t="shared" si="9"/>
        <v>0</v>
      </c>
      <c r="AF41" s="64">
        <f t="shared" si="10"/>
        <v>4.5396502749328958E-2</v>
      </c>
      <c r="AG41" s="20">
        <f t="shared" si="13"/>
        <v>0</v>
      </c>
      <c r="AH41" s="20">
        <f t="shared" si="14"/>
        <v>30.237853872948865</v>
      </c>
      <c r="AI41" s="22"/>
    </row>
    <row r="42" spans="1:35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7">
        <f t="shared" si="6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7">
        <f t="shared" si="7"/>
        <v>116466</v>
      </c>
      <c r="X42" s="103">
        <f t="shared" si="8"/>
        <v>121851</v>
      </c>
      <c r="Y42" s="103"/>
      <c r="Z42" s="7">
        <v>2356</v>
      </c>
      <c r="AB42" s="2">
        <v>5385</v>
      </c>
      <c r="AC42" s="103">
        <v>109807</v>
      </c>
      <c r="AD42" s="103">
        <v>120191</v>
      </c>
      <c r="AE42" s="64">
        <f t="shared" si="9"/>
        <v>1.9739360878632511E-2</v>
      </c>
      <c r="AF42" s="64">
        <f t="shared" si="10"/>
        <v>2.9122396851677747E-2</v>
      </c>
      <c r="AG42" s="20">
        <f t="shared" si="13"/>
        <v>14.490335831656148</v>
      </c>
      <c r="AH42" s="20">
        <f t="shared" si="14"/>
        <v>40.756794393923009</v>
      </c>
      <c r="AI42" s="22"/>
    </row>
    <row r="43" spans="1:35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7">
        <f t="shared" si="6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7">
        <f t="shared" si="7"/>
        <v>144028</v>
      </c>
      <c r="X43" s="103">
        <f t="shared" si="8"/>
        <v>146953</v>
      </c>
      <c r="Y43" s="103"/>
      <c r="Z43" s="7">
        <v>0</v>
      </c>
      <c r="AB43" s="2">
        <v>2925</v>
      </c>
      <c r="AC43" s="103">
        <v>85363</v>
      </c>
      <c r="AD43" s="103">
        <v>147382</v>
      </c>
      <c r="AE43" s="64">
        <f t="shared" si="9"/>
        <v>0</v>
      </c>
      <c r="AF43" s="64">
        <f t="shared" si="10"/>
        <v>1.290015062897776E-2</v>
      </c>
      <c r="AG43" s="20">
        <f t="shared" si="13"/>
        <v>0</v>
      </c>
      <c r="AH43" s="20">
        <f t="shared" si="14"/>
        <v>27.561171818810983</v>
      </c>
      <c r="AI43" s="22"/>
    </row>
    <row r="44" spans="1:35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7">
        <f t="shared" si="6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7">
        <f t="shared" si="7"/>
        <v>125887</v>
      </c>
      <c r="X44" s="103">
        <f t="shared" si="8"/>
        <v>128380</v>
      </c>
      <c r="Y44" s="103"/>
      <c r="Z44" s="7">
        <v>3684</v>
      </c>
      <c r="AB44" s="2">
        <v>2493</v>
      </c>
      <c r="AC44" s="103">
        <v>99704</v>
      </c>
      <c r="AD44" s="103">
        <v>120267</v>
      </c>
      <c r="AE44" s="64">
        <f t="shared" si="9"/>
        <v>3.3993420524753272E-2</v>
      </c>
      <c r="AF44" s="64">
        <f t="shared" si="10"/>
        <v>1.3473770859836864E-2</v>
      </c>
      <c r="AG44" s="20">
        <f t="shared" si="13"/>
        <v>24.815196983069889</v>
      </c>
      <c r="AH44" s="20">
        <f t="shared" si="14"/>
        <v>18.826226333907059</v>
      </c>
      <c r="AI44" s="22"/>
    </row>
    <row r="45" spans="1:35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7">
        <f t="shared" si="6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7">
        <f t="shared" si="7"/>
        <v>113816</v>
      </c>
      <c r="X45" s="103">
        <f t="shared" si="8"/>
        <v>118994</v>
      </c>
      <c r="Y45" s="103"/>
      <c r="Z45" s="7">
        <v>0</v>
      </c>
      <c r="AB45" s="2">
        <v>5178</v>
      </c>
      <c r="AC45" s="103">
        <v>94242</v>
      </c>
      <c r="AD45" s="103">
        <v>116176</v>
      </c>
      <c r="AE45" s="64">
        <f t="shared" si="9"/>
        <v>0</v>
      </c>
      <c r="AF45" s="64">
        <f t="shared" si="10"/>
        <v>2.8970699628150392E-2</v>
      </c>
      <c r="AG45" s="20">
        <f t="shared" si="13"/>
        <v>0</v>
      </c>
      <c r="AH45" s="20">
        <f t="shared" si="14"/>
        <v>39.933695212436298</v>
      </c>
      <c r="AI45" s="22"/>
    </row>
    <row r="46" spans="1:35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7">
        <f t="shared" si="6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7">
        <f t="shared" si="7"/>
        <v>81952</v>
      </c>
      <c r="X46" s="103">
        <f t="shared" si="8"/>
        <v>86037</v>
      </c>
      <c r="Y46" s="103"/>
      <c r="Z46" s="7">
        <v>2248</v>
      </c>
      <c r="AB46" s="2">
        <v>4085</v>
      </c>
      <c r="AC46" s="103">
        <v>58619</v>
      </c>
      <c r="AD46" s="103">
        <v>82510</v>
      </c>
      <c r="AE46" s="64">
        <f t="shared" si="9"/>
        <v>3.528139340486873E-2</v>
      </c>
      <c r="AF46" s="64">
        <f t="shared" si="10"/>
        <v>3.2180947763907404E-2</v>
      </c>
      <c r="AG46" s="20">
        <f t="shared" si="13"/>
        <v>19.616454733107012</v>
      </c>
      <c r="AH46" s="20">
        <f t="shared" si="14"/>
        <v>31.035842372641689</v>
      </c>
      <c r="AI46" s="22"/>
    </row>
    <row r="47" spans="1:35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7">
        <f t="shared" si="6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7">
        <f t="shared" si="7"/>
        <v>45981</v>
      </c>
      <c r="X47" s="103">
        <f t="shared" si="8"/>
        <v>47577</v>
      </c>
      <c r="Y47" s="103"/>
      <c r="Z47" s="7">
        <v>0</v>
      </c>
      <c r="AB47" s="2">
        <v>1596</v>
      </c>
      <c r="AC47" s="103">
        <v>44228</v>
      </c>
      <c r="AD47" s="103">
        <v>45284</v>
      </c>
      <c r="AE47" s="64">
        <f t="shared" si="9"/>
        <v>0</v>
      </c>
      <c r="AF47" s="64">
        <f t="shared" si="10"/>
        <v>2.2908753643671054E-2</v>
      </c>
      <c r="AG47" s="20">
        <f t="shared" si="13"/>
        <v>0</v>
      </c>
      <c r="AH47" s="20">
        <f t="shared" si="14"/>
        <v>12.647541074110059</v>
      </c>
      <c r="AI47" s="22"/>
    </row>
    <row r="48" spans="1:35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7">
        <f t="shared" si="6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7">
        <f t="shared" si="7"/>
        <v>59650</v>
      </c>
      <c r="X48" s="103">
        <f t="shared" si="8"/>
        <v>62152</v>
      </c>
      <c r="Y48" s="103"/>
      <c r="Z48" s="7">
        <v>0</v>
      </c>
      <c r="AB48" s="2">
        <v>2502</v>
      </c>
      <c r="AC48" s="103">
        <v>58600</v>
      </c>
      <c r="AD48" s="103">
        <v>60435</v>
      </c>
      <c r="AE48" s="64">
        <f t="shared" si="9"/>
        <v>0</v>
      </c>
      <c r="AF48" s="64">
        <f t="shared" si="10"/>
        <v>2.6909903201787044E-2</v>
      </c>
      <c r="AG48" s="20">
        <f t="shared" si="13"/>
        <v>0</v>
      </c>
      <c r="AH48" s="20">
        <f t="shared" si="14"/>
        <v>18.433283693224126</v>
      </c>
      <c r="AI48" s="22"/>
    </row>
    <row r="49" spans="1:35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7">
        <f t="shared" si="6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7">
        <f t="shared" si="7"/>
        <v>78510</v>
      </c>
      <c r="X49" s="103">
        <f t="shared" si="8"/>
        <v>87656</v>
      </c>
      <c r="Y49" s="103"/>
      <c r="Z49" s="7">
        <v>0</v>
      </c>
      <c r="AB49" s="2">
        <v>3412</v>
      </c>
      <c r="AC49" s="103">
        <v>103518</v>
      </c>
      <c r="AD49" s="103">
        <v>85558</v>
      </c>
      <c r="AE49" s="64">
        <f t="shared" si="9"/>
        <v>0</v>
      </c>
      <c r="AF49" s="64">
        <f t="shared" si="10"/>
        <v>2.5921597045279226E-2</v>
      </c>
      <c r="AG49" s="20">
        <f t="shared" si="13"/>
        <v>0</v>
      </c>
      <c r="AH49" s="20">
        <f t="shared" si="14"/>
        <v>29.745032609457912</v>
      </c>
      <c r="AI49" s="22"/>
    </row>
    <row r="50" spans="1:35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7">
        <f t="shared" si="6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7">
        <f t="shared" si="7"/>
        <v>116888</v>
      </c>
      <c r="X50" s="103">
        <f t="shared" si="8"/>
        <v>124963</v>
      </c>
      <c r="Y50" s="103"/>
      <c r="Z50" s="7">
        <v>9878</v>
      </c>
      <c r="AB50" s="2">
        <v>3253</v>
      </c>
      <c r="AC50" s="103">
        <v>120268</v>
      </c>
      <c r="AD50" s="103">
        <v>123736</v>
      </c>
      <c r="AE50" s="64">
        <f t="shared" si="9"/>
        <v>7.5562576911564178E-2</v>
      </c>
      <c r="AF50" s="64">
        <f t="shared" si="10"/>
        <v>1.7088397879356048E-2</v>
      </c>
      <c r="AG50" s="20">
        <f t="shared" si="13"/>
        <v>59.203279010210537</v>
      </c>
      <c r="AH50" s="20">
        <f t="shared" si="14"/>
        <v>22.904149290963559</v>
      </c>
      <c r="AI50" s="22"/>
    </row>
    <row r="51" spans="1:35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7">
        <f t="shared" si="6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7">
        <f t="shared" si="7"/>
        <v>106342</v>
      </c>
      <c r="X51" s="103">
        <f t="shared" si="8"/>
        <v>134000</v>
      </c>
      <c r="Y51" s="103"/>
      <c r="Z51" s="7">
        <v>12680</v>
      </c>
      <c r="AB51" s="2">
        <v>24792</v>
      </c>
      <c r="AC51" s="103">
        <v>114833</v>
      </c>
      <c r="AD51" s="103">
        <v>156223</v>
      </c>
      <c r="AE51" s="64">
        <f t="shared" si="9"/>
        <v>0.10158752275042889</v>
      </c>
      <c r="AF51" s="64">
        <f t="shared" si="10"/>
        <v>0.10315254475973448</v>
      </c>
      <c r="AG51" s="20">
        <f t="shared" si="13"/>
        <v>76.774770318636627</v>
      </c>
      <c r="AH51" s="20">
        <f t="shared" si="14"/>
        <v>139.98659928435634</v>
      </c>
      <c r="AI51" s="22"/>
    </row>
    <row r="52" spans="1:35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7">
        <f t="shared" si="6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7">
        <f t="shared" si="7"/>
        <v>107226</v>
      </c>
      <c r="X52" s="103">
        <f t="shared" si="8"/>
        <v>121443</v>
      </c>
      <c r="Y52" s="103"/>
      <c r="Z52" s="7">
        <v>6199</v>
      </c>
      <c r="AB52" s="2">
        <v>8535</v>
      </c>
      <c r="AC52" s="103">
        <v>88734</v>
      </c>
      <c r="AD52" s="103">
        <v>123250</v>
      </c>
      <c r="AE52" s="64">
        <f t="shared" si="9"/>
        <v>6.427164333851737E-2</v>
      </c>
      <c r="AF52" s="64">
        <f t="shared" si="10"/>
        <v>4.5012170385395539E-2</v>
      </c>
      <c r="AG52" s="20">
        <f t="shared" si="13"/>
        <v>37.759590461378956</v>
      </c>
      <c r="AH52" s="20">
        <f t="shared" si="14"/>
        <v>58.219491379310348</v>
      </c>
      <c r="AI52" s="22"/>
    </row>
    <row r="53" spans="1:35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7">
        <f t="shared" si="6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7">
        <f t="shared" si="7"/>
        <v>76782</v>
      </c>
      <c r="X53" s="103">
        <f t="shared" si="8"/>
        <v>83957</v>
      </c>
      <c r="Y53" s="103"/>
      <c r="Z53" s="7">
        <v>0</v>
      </c>
      <c r="AB53" s="2">
        <v>2016</v>
      </c>
      <c r="AC53" s="103">
        <v>67985</v>
      </c>
      <c r="AD53" s="103">
        <v>81229</v>
      </c>
      <c r="AE53" s="64">
        <f t="shared" si="9"/>
        <v>0</v>
      </c>
      <c r="AF53" s="64">
        <f t="shared" si="10"/>
        <v>1.6132169545359416E-2</v>
      </c>
      <c r="AG53" s="20">
        <f t="shared" si="13"/>
        <v>0</v>
      </c>
      <c r="AH53" s="20">
        <f t="shared" si="14"/>
        <v>14.4813108618843</v>
      </c>
      <c r="AI53" s="22"/>
    </row>
    <row r="54" spans="1:35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7">
        <f t="shared" si="6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7">
        <f t="shared" si="7"/>
        <v>32401</v>
      </c>
      <c r="X54" s="103">
        <f t="shared" si="8"/>
        <v>35647</v>
      </c>
      <c r="Y54" s="103"/>
      <c r="Z54" s="7">
        <v>0</v>
      </c>
      <c r="AB54" s="2">
        <v>1093</v>
      </c>
      <c r="AC54" s="103">
        <v>32951</v>
      </c>
      <c r="AD54" s="103">
        <v>34587</v>
      </c>
      <c r="AE54" s="64">
        <f t="shared" si="9"/>
        <v>0</v>
      </c>
      <c r="AF54" s="64">
        <f t="shared" si="10"/>
        <v>2.0540954693960157E-2</v>
      </c>
      <c r="AG54" s="20">
        <f t="shared" si="13"/>
        <v>0</v>
      </c>
      <c r="AH54" s="20">
        <f t="shared" si="14"/>
        <v>6.9240134780890692</v>
      </c>
      <c r="AI54" s="22"/>
    </row>
    <row r="55" spans="1:35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7">
        <f t="shared" si="6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7">
        <f t="shared" si="7"/>
        <v>38891</v>
      </c>
      <c r="X55" s="103">
        <f t="shared" si="8"/>
        <v>46036</v>
      </c>
      <c r="Y55" s="103"/>
      <c r="Z55" s="7">
        <v>0</v>
      </c>
      <c r="AB55" s="2">
        <v>3327</v>
      </c>
      <c r="AC55" s="103">
        <v>53688</v>
      </c>
      <c r="AD55" s="103">
        <v>45545</v>
      </c>
      <c r="AE55" s="64">
        <f t="shared" si="9"/>
        <v>0</v>
      </c>
      <c r="AF55" s="64">
        <f t="shared" si="10"/>
        <v>4.7481611592930066E-2</v>
      </c>
      <c r="AG55" s="20">
        <f t="shared" si="13"/>
        <v>0</v>
      </c>
      <c r="AH55" s="20">
        <f t="shared" si="14"/>
        <v>22.332184652541439</v>
      </c>
      <c r="AI55" s="22"/>
    </row>
    <row r="56" spans="1:35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7">
        <f t="shared" si="6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7">
        <f t="shared" si="7"/>
        <v>129906</v>
      </c>
      <c r="X56" s="103">
        <f t="shared" si="8"/>
        <v>137132</v>
      </c>
      <c r="Y56" s="103"/>
      <c r="Z56" s="7">
        <v>0</v>
      </c>
      <c r="AB56" s="2">
        <v>1884</v>
      </c>
      <c r="AC56" s="103">
        <v>109438</v>
      </c>
      <c r="AD56" s="103">
        <v>135049</v>
      </c>
      <c r="AE56" s="64">
        <f t="shared" si="9"/>
        <v>0</v>
      </c>
      <c r="AF56" s="64">
        <f t="shared" si="10"/>
        <v>9.0678198283585965E-3</v>
      </c>
      <c r="AG56" s="20">
        <f t="shared" si="13"/>
        <v>0</v>
      </c>
      <c r="AH56" s="20">
        <f t="shared" si="14"/>
        <v>14.454104806403603</v>
      </c>
      <c r="AI56" s="22"/>
    </row>
    <row r="57" spans="1:35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7">
        <f t="shared" si="6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7">
        <f t="shared" si="7"/>
        <v>117681</v>
      </c>
      <c r="X57" s="103">
        <f t="shared" si="8"/>
        <v>121965</v>
      </c>
      <c r="Y57" s="103"/>
      <c r="Z57" s="7">
        <v>0</v>
      </c>
      <c r="AB57" s="2">
        <v>1698</v>
      </c>
      <c r="AC57" s="103">
        <v>123377</v>
      </c>
      <c r="AD57" s="103">
        <v>121472</v>
      </c>
      <c r="AE57" s="64">
        <f t="shared" si="9"/>
        <v>0</v>
      </c>
      <c r="AF57" s="64">
        <f t="shared" si="10"/>
        <v>9.0860445205479447E-3</v>
      </c>
      <c r="AG57" s="20">
        <f t="shared" si="13"/>
        <v>0</v>
      </c>
      <c r="AH57" s="20">
        <f t="shared" si="14"/>
        <v>12.210886665239723</v>
      </c>
      <c r="AI57" s="22"/>
    </row>
    <row r="58" spans="1:35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7">
        <f t="shared" si="6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7">
        <f t="shared" si="7"/>
        <v>118930</v>
      </c>
      <c r="X58" s="103">
        <f t="shared" si="8"/>
        <v>125239</v>
      </c>
      <c r="Y58" s="103"/>
      <c r="Z58" s="7">
        <v>16725</v>
      </c>
      <c r="AB58" s="2">
        <v>2144</v>
      </c>
      <c r="AC58" s="103">
        <v>121034</v>
      </c>
      <c r="AD58" s="103">
        <v>123524</v>
      </c>
      <c r="AE58" s="64">
        <f t="shared" si="9"/>
        <v>0.12712956689855742</v>
      </c>
      <c r="AF58" s="64">
        <f t="shared" si="10"/>
        <v>1.1282018069363039E-2</v>
      </c>
      <c r="AG58" s="20">
        <f t="shared" si="13"/>
        <v>97.285901069121067</v>
      </c>
      <c r="AH58" s="20">
        <f t="shared" si="14"/>
        <v>15.004143864080394</v>
      </c>
      <c r="AI58" s="22"/>
    </row>
    <row r="59" spans="1:35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7">
        <f t="shared" si="6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7">
        <f t="shared" si="7"/>
        <v>87580</v>
      </c>
      <c r="X59" s="103">
        <f t="shared" si="8"/>
        <v>113913</v>
      </c>
      <c r="Y59" s="103"/>
      <c r="Z59" s="7">
        <v>4175</v>
      </c>
      <c r="AB59" s="2">
        <v>19953</v>
      </c>
      <c r="AC59" s="103">
        <v>81200</v>
      </c>
      <c r="AD59" s="103">
        <v>127732</v>
      </c>
      <c r="AE59" s="64">
        <f t="shared" si="9"/>
        <v>4.7302955665024633E-2</v>
      </c>
      <c r="AF59" s="64">
        <f t="shared" si="10"/>
        <v>0.10153642000438419</v>
      </c>
      <c r="AG59" s="20">
        <f t="shared" si="13"/>
        <v>28.740487479474552</v>
      </c>
      <c r="AH59" s="20">
        <f t="shared" si="14"/>
        <v>116.54688742836565</v>
      </c>
      <c r="AI59" s="22"/>
    </row>
    <row r="60" spans="1:35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7">
        <f t="shared" si="6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7">
        <f t="shared" si="7"/>
        <v>77909</v>
      </c>
      <c r="X60" s="103">
        <f t="shared" si="8"/>
        <v>86359</v>
      </c>
      <c r="Y60" s="103"/>
      <c r="Z60" s="7">
        <v>0</v>
      </c>
      <c r="AB60" s="2">
        <v>4008</v>
      </c>
      <c r="AC60" s="103">
        <v>83156</v>
      </c>
      <c r="AD60" s="103">
        <v>86236</v>
      </c>
      <c r="AE60" s="64">
        <f t="shared" si="9"/>
        <v>0</v>
      </c>
      <c r="AF60" s="64">
        <f t="shared" si="10"/>
        <v>3.0210121063129088E-2</v>
      </c>
      <c r="AG60" s="20">
        <f t="shared" si="13"/>
        <v>0</v>
      </c>
      <c r="AH60" s="20">
        <f t="shared" si="14"/>
        <v>27.821003989053299</v>
      </c>
      <c r="AI60" s="22"/>
    </row>
    <row r="61" spans="1:35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7">
        <f t="shared" si="6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7">
        <f t="shared" si="7"/>
        <v>59479</v>
      </c>
      <c r="X61" s="103">
        <f t="shared" si="8"/>
        <v>65051</v>
      </c>
      <c r="Y61" s="103"/>
      <c r="Z61" s="7">
        <v>0</v>
      </c>
      <c r="AB61" s="2">
        <v>876</v>
      </c>
      <c r="AC61" s="103">
        <v>52769</v>
      </c>
      <c r="AD61" s="103">
        <v>61759</v>
      </c>
      <c r="AE61" s="64">
        <f t="shared" si="9"/>
        <v>0</v>
      </c>
      <c r="AF61" s="64">
        <f t="shared" si="10"/>
        <v>9.2197088683430763E-3</v>
      </c>
      <c r="AG61" s="20">
        <f t="shared" si="13"/>
        <v>0</v>
      </c>
      <c r="AH61" s="20">
        <f t="shared" si="14"/>
        <v>4.873384445991678</v>
      </c>
      <c r="AI61" s="22"/>
    </row>
    <row r="62" spans="1:35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7">
        <f t="shared" si="6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7">
        <f t="shared" si="7"/>
        <v>22728</v>
      </c>
      <c r="X62" s="103">
        <f t="shared" si="8"/>
        <v>24869</v>
      </c>
      <c r="Y62" s="103"/>
      <c r="Z62" s="7">
        <v>0</v>
      </c>
      <c r="AB62" s="2">
        <v>344</v>
      </c>
      <c r="AC62" s="103">
        <v>32841</v>
      </c>
      <c r="AD62" s="103">
        <v>24186</v>
      </c>
      <c r="AE62" s="64">
        <f t="shared" si="9"/>
        <v>0</v>
      </c>
      <c r="AF62" s="64">
        <f t="shared" si="10"/>
        <v>9.2450177788803451E-3</v>
      </c>
      <c r="AG62" s="20">
        <f t="shared" si="13"/>
        <v>0</v>
      </c>
      <c r="AH62" s="20">
        <f t="shared" si="14"/>
        <v>2.6348300669808982</v>
      </c>
      <c r="AI62" s="22"/>
    </row>
    <row r="63" spans="1:35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7">
        <f t="shared" si="6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7">
        <f t="shared" si="7"/>
        <v>112127</v>
      </c>
      <c r="X63" s="103">
        <f t="shared" si="8"/>
        <v>118917</v>
      </c>
      <c r="Y63" s="103"/>
      <c r="Z63" s="7">
        <v>0</v>
      </c>
      <c r="AB63" s="2">
        <v>1799</v>
      </c>
      <c r="AC63" s="103">
        <v>109558</v>
      </c>
      <c r="AD63" s="103">
        <v>116552</v>
      </c>
      <c r="AE63" s="64">
        <f t="shared" si="9"/>
        <v>0</v>
      </c>
      <c r="AF63" s="64">
        <f t="shared" si="10"/>
        <v>1.0032860868968357E-2</v>
      </c>
      <c r="AG63" s="20">
        <f t="shared" si="13"/>
        <v>0</v>
      </c>
      <c r="AH63" s="20">
        <f t="shared" si="14"/>
        <v>13.184015253563503</v>
      </c>
      <c r="AI63" s="22"/>
    </row>
    <row r="64" spans="1:35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7">
        <f t="shared" si="6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7">
        <f t="shared" si="7"/>
        <v>103596</v>
      </c>
      <c r="X64" s="103">
        <f t="shared" si="8"/>
        <v>112453</v>
      </c>
      <c r="Y64" s="103"/>
      <c r="Z64" s="7">
        <v>2111</v>
      </c>
      <c r="AB64" s="2">
        <v>2623</v>
      </c>
      <c r="AC64" s="103">
        <v>111265</v>
      </c>
      <c r="AD64" s="103">
        <v>109733</v>
      </c>
      <c r="AE64" s="64">
        <f t="shared" si="9"/>
        <v>1.745490495663506E-2</v>
      </c>
      <c r="AF64" s="64">
        <f t="shared" si="10"/>
        <v>1.553725861864708E-2</v>
      </c>
      <c r="AG64" s="20">
        <f t="shared" si="13"/>
        <v>13.194453571803054</v>
      </c>
      <c r="AH64" s="20">
        <f t="shared" si="14"/>
        <v>19.765982506022194</v>
      </c>
      <c r="AI64" s="22"/>
    </row>
    <row r="65" spans="1:35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7">
        <f t="shared" si="6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7">
        <f t="shared" si="7"/>
        <v>120229</v>
      </c>
      <c r="X65" s="103">
        <f t="shared" si="8"/>
        <v>126662</v>
      </c>
      <c r="Y65" s="103"/>
      <c r="Z65" s="7">
        <v>27210</v>
      </c>
      <c r="AB65" s="2">
        <v>1856</v>
      </c>
      <c r="AC65" s="103">
        <v>144188</v>
      </c>
      <c r="AD65" s="103">
        <v>125209</v>
      </c>
      <c r="AE65" s="64">
        <f t="shared" si="9"/>
        <v>0.17361500263544818</v>
      </c>
      <c r="AF65" s="64">
        <f t="shared" si="10"/>
        <v>9.6350901293038044E-3</v>
      </c>
      <c r="AG65" s="20">
        <f t="shared" si="13"/>
        <v>125.49471107165647</v>
      </c>
      <c r="AH65" s="20">
        <f t="shared" si="14"/>
        <v>12.327294896266775</v>
      </c>
      <c r="AI65" s="22"/>
    </row>
    <row r="66" spans="1:35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7">
        <f t="shared" si="6"/>
        <v>87.215455225475552</v>
      </c>
      <c r="O66" s="7">
        <f t="shared" ref="O66:O129" si="15">+B66+C66+D66+F66+I66+K66+J66</f>
        <v>2822.0000000000005</v>
      </c>
      <c r="P66" s="7">
        <f t="shared" ref="P66:P129" si="16">+B66+C66+D66+F66+J66+Q66+R66</f>
        <v>2734.7845447745249</v>
      </c>
      <c r="Q66" s="7">
        <f t="shared" ref="Q66:Q129" si="17">+I66-AH66</f>
        <v>1259.7012114411912</v>
      </c>
      <c r="R66" s="7">
        <f t="shared" ref="R66:R129" si="18">+K66-AG66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7">
        <f t="shared" si="7"/>
        <v>131137</v>
      </c>
      <c r="X66" s="103">
        <f t="shared" si="8"/>
        <v>149701</v>
      </c>
      <c r="Y66" s="103"/>
      <c r="Z66" s="7">
        <v>0</v>
      </c>
      <c r="AB66" s="2">
        <v>16314</v>
      </c>
      <c r="AC66" s="103">
        <v>125027</v>
      </c>
      <c r="AD66" s="103">
        <v>163765</v>
      </c>
      <c r="AE66" s="64">
        <f t="shared" si="9"/>
        <v>0</v>
      </c>
      <c r="AF66" s="64">
        <f t="shared" si="10"/>
        <v>6.4751931120813372E-2</v>
      </c>
      <c r="AG66" s="20">
        <f t="shared" si="13"/>
        <v>0</v>
      </c>
      <c r="AH66" s="20">
        <f t="shared" si="14"/>
        <v>87.215455225475552</v>
      </c>
      <c r="AI66" s="22"/>
    </row>
    <row r="67" spans="1:35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7">
        <f t="shared" ref="N67:N130" si="19">+AH67+AG67</f>
        <v>106.87654997376815</v>
      </c>
      <c r="O67" s="7">
        <f t="shared" si="15"/>
        <v>3153.3333333333335</v>
      </c>
      <c r="P67" s="7">
        <f t="shared" si="16"/>
        <v>3046.4567833595656</v>
      </c>
      <c r="Q67" s="7">
        <f t="shared" si="17"/>
        <v>1232.1172599463787</v>
      </c>
      <c r="R67" s="7">
        <f t="shared" si="18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7">
        <f t="shared" ref="W67:W130" si="20">+V67-U67-S67+AA67</f>
        <v>107751</v>
      </c>
      <c r="X67" s="103">
        <f t="shared" ref="X67:X130" si="21">+V67+AB67+AA67</f>
        <v>127933</v>
      </c>
      <c r="Y67" s="103"/>
      <c r="Z67" s="7">
        <v>2324</v>
      </c>
      <c r="AB67" s="2">
        <v>14669</v>
      </c>
      <c r="AC67" s="103">
        <v>110536</v>
      </c>
      <c r="AD67" s="103">
        <v>140118</v>
      </c>
      <c r="AE67" s="64">
        <f t="shared" ref="AE67:AE130" si="22">+(Z67/AC67*0.92)</f>
        <v>1.934283853224289E-2</v>
      </c>
      <c r="AF67" s="64">
        <f t="shared" ref="AF67:AF130" si="23">+(AB67/AD67*0.65)</f>
        <v>6.8048716082159316E-2</v>
      </c>
      <c r="AG67" s="20">
        <f t="shared" ref="AG67:AG89" si="24">+AE67*K67</f>
        <v>16.910476586813349</v>
      </c>
      <c r="AH67" s="20">
        <f t="shared" ref="AH67:AH89" si="25">+AF67*I67</f>
        <v>89.966073386954804</v>
      </c>
      <c r="AI67" s="22"/>
    </row>
    <row r="68" spans="1:35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7">
        <f t="shared" si="19"/>
        <v>16.630331009476432</v>
      </c>
      <c r="O68" s="7">
        <f t="shared" si="15"/>
        <v>2671.5033333333336</v>
      </c>
      <c r="P68" s="7">
        <f t="shared" si="16"/>
        <v>2654.8730023238572</v>
      </c>
      <c r="Q68" s="7">
        <f t="shared" si="17"/>
        <v>1420.2896689905238</v>
      </c>
      <c r="R68" s="7">
        <f t="shared" si="18"/>
        <v>652.5</v>
      </c>
      <c r="S68" s="7">
        <v>5608</v>
      </c>
      <c r="T68" s="7">
        <v>7221</v>
      </c>
      <c r="U68" s="7">
        <v>166</v>
      </c>
      <c r="V68" s="7">
        <v>114516</v>
      </c>
      <c r="W68" s="7">
        <f t="shared" si="20"/>
        <v>108742</v>
      </c>
      <c r="X68" s="103">
        <f t="shared" si="21"/>
        <v>116549</v>
      </c>
      <c r="Y68" s="103"/>
      <c r="Z68" s="7">
        <v>0</v>
      </c>
      <c r="AB68" s="2">
        <v>2033</v>
      </c>
      <c r="AC68" s="103">
        <v>81448</v>
      </c>
      <c r="AD68" s="103">
        <v>114178</v>
      </c>
      <c r="AE68" s="64">
        <f t="shared" si="22"/>
        <v>0</v>
      </c>
      <c r="AF68" s="64">
        <f t="shared" si="23"/>
        <v>1.1573595613866068E-2</v>
      </c>
      <c r="AG68" s="20">
        <f t="shared" si="24"/>
        <v>0</v>
      </c>
      <c r="AH68" s="20">
        <f t="shared" si="25"/>
        <v>16.630331009476432</v>
      </c>
      <c r="AI68" s="22"/>
    </row>
    <row r="69" spans="1:35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7">
        <f t="shared" si="19"/>
        <v>14.465409957335536</v>
      </c>
      <c r="O69" s="7">
        <f t="shared" si="15"/>
        <v>1503.3333333333333</v>
      </c>
      <c r="P69" s="7">
        <f t="shared" si="16"/>
        <v>1488.8679233759976</v>
      </c>
      <c r="Q69" s="7">
        <f t="shared" si="17"/>
        <v>606.45125670933112</v>
      </c>
      <c r="R69" s="7">
        <f t="shared" si="18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7">
        <f t="shared" si="20"/>
        <v>58458</v>
      </c>
      <c r="X69" s="103">
        <f t="shared" si="21"/>
        <v>65109</v>
      </c>
      <c r="Y69" s="103"/>
      <c r="Z69" s="7">
        <v>0</v>
      </c>
      <c r="AB69" s="2">
        <v>2257</v>
      </c>
      <c r="AC69" s="103">
        <v>70293</v>
      </c>
      <c r="AD69" s="103">
        <v>62972</v>
      </c>
      <c r="AE69" s="64">
        <f t="shared" si="22"/>
        <v>0</v>
      </c>
      <c r="AF69" s="64">
        <f t="shared" si="23"/>
        <v>2.3296862097440134E-2</v>
      </c>
      <c r="AG69" s="20">
        <f t="shared" si="24"/>
        <v>0</v>
      </c>
      <c r="AH69" s="20">
        <f t="shared" si="25"/>
        <v>14.465409957335536</v>
      </c>
      <c r="AI69" s="22"/>
    </row>
    <row r="70" spans="1:35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7">
        <f t="shared" si="19"/>
        <v>61.525231501673858</v>
      </c>
      <c r="O70" s="7">
        <f t="shared" si="15"/>
        <v>4413.1666666666661</v>
      </c>
      <c r="P70" s="7">
        <f t="shared" si="16"/>
        <v>4351.6414351649928</v>
      </c>
      <c r="Q70" s="7">
        <f t="shared" si="17"/>
        <v>2113.3081018316593</v>
      </c>
      <c r="R70" s="7">
        <f t="shared" si="18"/>
        <v>1274</v>
      </c>
      <c r="S70" s="7">
        <v>11255</v>
      </c>
      <c r="T70" s="7">
        <v>13936</v>
      </c>
      <c r="U70" s="7">
        <v>340</v>
      </c>
      <c r="V70" s="7">
        <v>176068</v>
      </c>
      <c r="W70" s="7">
        <f t="shared" si="20"/>
        <v>164473</v>
      </c>
      <c r="X70" s="103">
        <f t="shared" si="21"/>
        <v>183552</v>
      </c>
      <c r="Y70" s="103"/>
      <c r="Z70" s="7">
        <v>0</v>
      </c>
      <c r="AB70" s="2">
        <v>7484</v>
      </c>
      <c r="AC70" s="103">
        <v>154478</v>
      </c>
      <c r="AD70" s="103">
        <v>171957</v>
      </c>
      <c r="AE70" s="64">
        <f t="shared" si="22"/>
        <v>0</v>
      </c>
      <c r="AF70" s="64">
        <f t="shared" si="23"/>
        <v>2.8289630547171676E-2</v>
      </c>
      <c r="AG70" s="20">
        <f t="shared" si="24"/>
        <v>0</v>
      </c>
      <c r="AH70" s="20">
        <f t="shared" si="25"/>
        <v>61.525231501673858</v>
      </c>
      <c r="AI70" s="22"/>
    </row>
    <row r="71" spans="1:35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7">
        <f t="shared" si="19"/>
        <v>22.292499697415419</v>
      </c>
      <c r="O71" s="7">
        <f t="shared" si="15"/>
        <v>3918.5</v>
      </c>
      <c r="P71" s="7">
        <f t="shared" si="16"/>
        <v>3896.2075003025848</v>
      </c>
      <c r="Q71" s="7">
        <f t="shared" si="17"/>
        <v>1852.790833635918</v>
      </c>
      <c r="R71" s="7">
        <f t="shared" si="18"/>
        <v>1099.5</v>
      </c>
      <c r="S71" s="7">
        <v>7367</v>
      </c>
      <c r="T71" s="7">
        <v>10911</v>
      </c>
      <c r="U71" s="7">
        <v>514</v>
      </c>
      <c r="V71" s="7">
        <v>167398</v>
      </c>
      <c r="W71" s="7">
        <f t="shared" si="20"/>
        <v>159517</v>
      </c>
      <c r="X71" s="103">
        <f t="shared" si="21"/>
        <v>170370</v>
      </c>
      <c r="Y71" s="103"/>
      <c r="Z71" s="7">
        <v>0</v>
      </c>
      <c r="AB71" s="2">
        <v>2972</v>
      </c>
      <c r="AC71" s="103">
        <v>135916</v>
      </c>
      <c r="AD71" s="103">
        <v>162489</v>
      </c>
      <c r="AE71" s="64">
        <f t="shared" si="22"/>
        <v>0</v>
      </c>
      <c r="AF71" s="64">
        <f t="shared" si="23"/>
        <v>1.1888804780631305E-2</v>
      </c>
      <c r="AG71" s="20">
        <f t="shared" si="24"/>
        <v>0</v>
      </c>
      <c r="AH71" s="20">
        <f t="shared" si="25"/>
        <v>22.292499697415419</v>
      </c>
      <c r="AI71" s="22"/>
    </row>
    <row r="72" spans="1:35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7">
        <f t="shared" si="19"/>
        <v>26.590597106752973</v>
      </c>
      <c r="O72" s="7">
        <f t="shared" si="15"/>
        <v>3807.666666666667</v>
      </c>
      <c r="P72" s="7">
        <f t="shared" si="16"/>
        <v>3781.0760695599138</v>
      </c>
      <c r="Q72" s="7">
        <f t="shared" si="17"/>
        <v>1755.377622107367</v>
      </c>
      <c r="R72" s="7">
        <f t="shared" si="18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7">
        <f t="shared" si="20"/>
        <v>157760</v>
      </c>
      <c r="X72" s="103">
        <f t="shared" si="21"/>
        <v>165829</v>
      </c>
      <c r="Y72" s="103"/>
      <c r="Z72" s="7">
        <v>1253</v>
      </c>
      <c r="AB72" s="2">
        <v>2345</v>
      </c>
      <c r="AC72" s="103">
        <v>125439</v>
      </c>
      <c r="AD72" s="103">
        <v>160105</v>
      </c>
      <c r="AE72" s="64">
        <f t="shared" si="22"/>
        <v>9.1898054034231774E-3</v>
      </c>
      <c r="AF72" s="64">
        <f t="shared" si="23"/>
        <v>9.5203147934168203E-3</v>
      </c>
      <c r="AG72" s="20">
        <f t="shared" si="24"/>
        <v>9.7182192141200119</v>
      </c>
      <c r="AH72" s="20">
        <f t="shared" si="25"/>
        <v>16.872377892632962</v>
      </c>
      <c r="AI72" s="22"/>
    </row>
    <row r="73" spans="1:35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7">
        <f t="shared" si="19"/>
        <v>50.597760238706769</v>
      </c>
      <c r="O73" s="7">
        <f t="shared" si="15"/>
        <v>3990.583333333333</v>
      </c>
      <c r="P73" s="7">
        <f t="shared" si="16"/>
        <v>3939.985573094626</v>
      </c>
      <c r="Q73" s="7">
        <f t="shared" si="17"/>
        <v>1888.1998977864112</v>
      </c>
      <c r="R73" s="7">
        <f t="shared" si="18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7">
        <f t="shared" si="20"/>
        <v>149924</v>
      </c>
      <c r="X73" s="103">
        <f t="shared" si="21"/>
        <v>157981</v>
      </c>
      <c r="Y73" s="103"/>
      <c r="Z73" s="7">
        <v>4197</v>
      </c>
      <c r="AB73" s="2">
        <v>2453</v>
      </c>
      <c r="AC73" s="103">
        <v>144650</v>
      </c>
      <c r="AD73" s="103">
        <v>152377</v>
      </c>
      <c r="AE73" s="64">
        <f t="shared" si="22"/>
        <v>2.6693674386450053E-2</v>
      </c>
      <c r="AF73" s="64">
        <f t="shared" si="23"/>
        <v>1.0463849531097214E-2</v>
      </c>
      <c r="AG73" s="20">
        <f t="shared" si="24"/>
        <v>30.630991358451436</v>
      </c>
      <c r="AH73" s="20">
        <f t="shared" si="25"/>
        <v>19.966768880255334</v>
      </c>
      <c r="AI73" s="22"/>
    </row>
    <row r="74" spans="1:35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7">
        <f t="shared" si="19"/>
        <v>222.93834283967141</v>
      </c>
      <c r="O74" s="7">
        <f t="shared" si="15"/>
        <v>3888.5833333333335</v>
      </c>
      <c r="P74" s="7">
        <f t="shared" si="16"/>
        <v>3665.6449904936621</v>
      </c>
      <c r="Q74" s="7">
        <f t="shared" si="17"/>
        <v>1721.5519862760855</v>
      </c>
      <c r="R74" s="7">
        <f t="shared" si="18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7">
        <f t="shared" si="20"/>
        <v>131110</v>
      </c>
      <c r="X74" s="103">
        <f t="shared" si="21"/>
        <v>153950</v>
      </c>
      <c r="Y74" s="103"/>
      <c r="Z74" s="7">
        <v>12203</v>
      </c>
      <c r="AB74" s="2">
        <v>16977</v>
      </c>
      <c r="AC74" s="103">
        <v>142736</v>
      </c>
      <c r="AD74" s="103">
        <v>148087</v>
      </c>
      <c r="AE74" s="64">
        <f t="shared" si="22"/>
        <v>7.8654018607779402E-2</v>
      </c>
      <c r="AF74" s="64">
        <f t="shared" si="23"/>
        <v>7.4517344533956392E-2</v>
      </c>
      <c r="AG74" s="20">
        <f t="shared" si="24"/>
        <v>84.323662449090179</v>
      </c>
      <c r="AH74" s="20">
        <f t="shared" si="25"/>
        <v>138.61468039058121</v>
      </c>
      <c r="AI74" s="22"/>
    </row>
    <row r="75" spans="1:35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7">
        <f t="shared" si="19"/>
        <v>15.826506338982751</v>
      </c>
      <c r="O75" s="7">
        <f t="shared" si="15"/>
        <v>2560</v>
      </c>
      <c r="P75" s="7">
        <f t="shared" si="16"/>
        <v>2544.1734936610173</v>
      </c>
      <c r="Q75" s="7">
        <f t="shared" si="17"/>
        <v>1161.6734936610173</v>
      </c>
      <c r="R75" s="7">
        <f t="shared" si="18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7">
        <f t="shared" si="20"/>
        <v>110539</v>
      </c>
      <c r="X75" s="103">
        <f t="shared" si="21"/>
        <v>118516</v>
      </c>
      <c r="Y75" s="103"/>
      <c r="Z75" s="7">
        <v>0</v>
      </c>
      <c r="AB75" s="2">
        <v>2334</v>
      </c>
      <c r="AC75" s="103">
        <v>101039</v>
      </c>
      <c r="AD75" s="103">
        <v>112873</v>
      </c>
      <c r="AE75" s="64">
        <f t="shared" si="22"/>
        <v>0</v>
      </c>
      <c r="AF75" s="64">
        <f t="shared" si="23"/>
        <v>1.3440769714635033E-2</v>
      </c>
      <c r="AG75" s="20">
        <f t="shared" si="24"/>
        <v>0</v>
      </c>
      <c r="AH75" s="20">
        <f t="shared" si="25"/>
        <v>15.826506338982751</v>
      </c>
      <c r="AI75" s="22"/>
    </row>
    <row r="76" spans="1:35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7">
        <f t="shared" si="19"/>
        <v>3.5720972046964001</v>
      </c>
      <c r="O76" s="7">
        <f t="shared" si="15"/>
        <v>1412.0833333333333</v>
      </c>
      <c r="P76" s="7">
        <f t="shared" si="16"/>
        <v>1408.5112361286367</v>
      </c>
      <c r="Q76" s="7">
        <f t="shared" si="17"/>
        <v>603.5945694619702</v>
      </c>
      <c r="R76" s="7">
        <f t="shared" si="18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7">
        <f t="shared" si="20"/>
        <v>63610</v>
      </c>
      <c r="X76" s="103">
        <f t="shared" si="21"/>
        <v>66734</v>
      </c>
      <c r="Y76" s="103"/>
      <c r="Z76" s="7">
        <v>0</v>
      </c>
      <c r="AB76" s="2">
        <v>581</v>
      </c>
      <c r="AC76" s="103">
        <v>57796</v>
      </c>
      <c r="AD76" s="103">
        <v>64191</v>
      </c>
      <c r="AE76" s="64">
        <f t="shared" si="22"/>
        <v>0</v>
      </c>
      <c r="AF76" s="64">
        <f t="shared" si="23"/>
        <v>5.8832235048527047E-3</v>
      </c>
      <c r="AG76" s="20">
        <f t="shared" si="24"/>
        <v>0</v>
      </c>
      <c r="AH76" s="20">
        <f t="shared" si="25"/>
        <v>3.5720972046964001</v>
      </c>
      <c r="AI76" s="22"/>
    </row>
    <row r="77" spans="1:35" s="45" customFormat="1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7">
        <f t="shared" si="19"/>
        <v>28.539345800656882</v>
      </c>
      <c r="O77" s="7">
        <f t="shared" si="15"/>
        <v>4755.083333333333</v>
      </c>
      <c r="P77" s="7">
        <f t="shared" si="16"/>
        <v>4726.5439875326765</v>
      </c>
      <c r="Q77" s="7">
        <f t="shared" si="17"/>
        <v>2062.710654199343</v>
      </c>
      <c r="R77" s="7">
        <f t="shared" si="18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7">
        <f t="shared" si="20"/>
        <v>182683</v>
      </c>
      <c r="X77" s="103">
        <f t="shared" si="21"/>
        <v>195308</v>
      </c>
      <c r="Y77" s="103"/>
      <c r="Z77" s="7">
        <v>0</v>
      </c>
      <c r="AA77" s="7"/>
      <c r="AB77" s="2">
        <v>4072</v>
      </c>
      <c r="AC77" s="103">
        <v>177836</v>
      </c>
      <c r="AD77" s="103">
        <v>193947</v>
      </c>
      <c r="AE77" s="64">
        <f t="shared" si="22"/>
        <v>0</v>
      </c>
      <c r="AF77" s="64">
        <f t="shared" si="23"/>
        <v>1.3647027280648838E-2</v>
      </c>
      <c r="AG77" s="20">
        <f t="shared" si="24"/>
        <v>0</v>
      </c>
      <c r="AH77" s="20">
        <f t="shared" si="25"/>
        <v>28.539345800656882</v>
      </c>
      <c r="AI77" s="22"/>
    </row>
    <row r="78" spans="1:35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7">
        <f t="shared" si="19"/>
        <v>73.649794280340913</v>
      </c>
      <c r="O78" s="7">
        <f t="shared" si="15"/>
        <v>5294.333333333333</v>
      </c>
      <c r="P78" s="7">
        <f t="shared" si="16"/>
        <v>5220.6835390529923</v>
      </c>
      <c r="Q78" s="7">
        <f t="shared" si="17"/>
        <v>2239.9147558075497</v>
      </c>
      <c r="R78" s="7">
        <f t="shared" si="18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7">
        <f t="shared" si="20"/>
        <v>192737</v>
      </c>
      <c r="X78" s="103">
        <f t="shared" si="21"/>
        <v>207982</v>
      </c>
      <c r="Y78" s="103"/>
      <c r="Z78" s="7">
        <v>6135</v>
      </c>
      <c r="AB78" s="2">
        <v>2933</v>
      </c>
      <c r="AC78" s="103">
        <v>203662</v>
      </c>
      <c r="AD78" s="103">
        <v>199740</v>
      </c>
      <c r="AE78" s="64">
        <f t="shared" si="22"/>
        <v>2.7713564631595487E-2</v>
      </c>
      <c r="AF78" s="64">
        <f t="shared" si="23"/>
        <v>9.544658055472114E-3</v>
      </c>
      <c r="AG78" s="20">
        <f t="shared" si="24"/>
        <v>52.064550087890723</v>
      </c>
      <c r="AH78" s="20">
        <f t="shared" si="25"/>
        <v>21.585244192450187</v>
      </c>
      <c r="AI78" s="22"/>
    </row>
    <row r="79" spans="1:35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7">
        <f t="shared" si="19"/>
        <v>36.184467206528652</v>
      </c>
      <c r="O79" s="7">
        <f t="shared" si="15"/>
        <v>5054.25</v>
      </c>
      <c r="P79" s="7">
        <f t="shared" si="16"/>
        <v>5018.065532793471</v>
      </c>
      <c r="Q79" s="7">
        <f t="shared" si="17"/>
        <v>2102.1488661268049</v>
      </c>
      <c r="R79" s="7">
        <f t="shared" si="18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7">
        <f t="shared" si="20"/>
        <v>134139</v>
      </c>
      <c r="X79" s="103">
        <f t="shared" si="21"/>
        <v>148771</v>
      </c>
      <c r="Y79" s="103"/>
      <c r="Z79" s="7">
        <v>0</v>
      </c>
      <c r="AB79" s="2">
        <v>3726</v>
      </c>
      <c r="AC79" s="103">
        <v>193563</v>
      </c>
      <c r="AD79" s="103">
        <v>143123</v>
      </c>
      <c r="AE79" s="64">
        <f t="shared" si="22"/>
        <v>0</v>
      </c>
      <c r="AF79" s="64">
        <f t="shared" si="23"/>
        <v>1.6921808514354784E-2</v>
      </c>
      <c r="AG79" s="20">
        <f t="shared" si="24"/>
        <v>0</v>
      </c>
      <c r="AH79" s="20">
        <f t="shared" si="25"/>
        <v>36.184467206528652</v>
      </c>
      <c r="AI79" s="22"/>
    </row>
    <row r="80" spans="1:35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7">
        <f t="shared" si="19"/>
        <v>62.801462903805877</v>
      </c>
      <c r="O80" s="7">
        <f t="shared" si="15"/>
        <v>5221.833333333333</v>
      </c>
      <c r="P80" s="7">
        <f t="shared" si="16"/>
        <v>5159.0318704295278</v>
      </c>
      <c r="Q80" s="7">
        <f t="shared" si="17"/>
        <v>2338.3652037628608</v>
      </c>
      <c r="R80" s="7">
        <f t="shared" si="18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7">
        <f t="shared" si="20"/>
        <v>215897</v>
      </c>
      <c r="X80" s="103">
        <f t="shared" si="21"/>
        <v>234873</v>
      </c>
      <c r="Y80" s="103"/>
      <c r="Z80" s="7">
        <v>0</v>
      </c>
      <c r="AB80" s="2">
        <v>9510</v>
      </c>
      <c r="AC80" s="103">
        <v>183430</v>
      </c>
      <c r="AD80" s="103">
        <v>236345</v>
      </c>
      <c r="AE80" s="64">
        <f t="shared" si="22"/>
        <v>0</v>
      </c>
      <c r="AF80" s="64">
        <f t="shared" si="23"/>
        <v>2.6154562186633947E-2</v>
      </c>
      <c r="AG80" s="20">
        <f t="shared" si="24"/>
        <v>0</v>
      </c>
      <c r="AH80" s="20">
        <f t="shared" si="25"/>
        <v>62.801462903805877</v>
      </c>
      <c r="AI80" s="22"/>
    </row>
    <row r="81" spans="1:35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7">
        <f t="shared" si="19"/>
        <v>23.686809260027598</v>
      </c>
      <c r="O81" s="7">
        <f t="shared" si="15"/>
        <v>5182.5</v>
      </c>
      <c r="P81" s="7">
        <f t="shared" si="16"/>
        <v>5158.8131907399729</v>
      </c>
      <c r="Q81" s="7">
        <f t="shared" si="17"/>
        <v>2378.7298574066394</v>
      </c>
      <c r="R81" s="7">
        <f t="shared" si="18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7">
        <f t="shared" si="20"/>
        <v>194964</v>
      </c>
      <c r="X81" s="103">
        <f t="shared" si="21"/>
        <v>206330</v>
      </c>
      <c r="Y81" s="103"/>
      <c r="Z81" s="7">
        <v>0</v>
      </c>
      <c r="AB81" s="2">
        <v>3071</v>
      </c>
      <c r="AC81" s="103">
        <v>170675</v>
      </c>
      <c r="AD81" s="103">
        <v>202458</v>
      </c>
      <c r="AE81" s="64">
        <f t="shared" si="22"/>
        <v>0</v>
      </c>
      <c r="AF81" s="64">
        <f t="shared" si="23"/>
        <v>9.8595758132550958E-3</v>
      </c>
      <c r="AG81" s="20">
        <f t="shared" si="24"/>
        <v>0</v>
      </c>
      <c r="AH81" s="20">
        <f t="shared" si="25"/>
        <v>23.686809260027598</v>
      </c>
      <c r="AI81" s="22"/>
    </row>
    <row r="82" spans="1:35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7">
        <f t="shared" si="19"/>
        <v>17.012291285066119</v>
      </c>
      <c r="O82" s="7">
        <f t="shared" si="15"/>
        <v>4482.833333333333</v>
      </c>
      <c r="P82" s="7">
        <f t="shared" si="16"/>
        <v>4465.8210420482665</v>
      </c>
      <c r="Q82" s="7">
        <f t="shared" si="17"/>
        <v>2064.3210420482669</v>
      </c>
      <c r="R82" s="7">
        <f t="shared" si="18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7">
        <f t="shared" si="20"/>
        <v>176985</v>
      </c>
      <c r="X82" s="103">
        <f t="shared" si="21"/>
        <v>185973</v>
      </c>
      <c r="Y82" s="103"/>
      <c r="Z82" s="7">
        <v>0</v>
      </c>
      <c r="AB82" s="2">
        <v>2293</v>
      </c>
      <c r="AC82" s="103">
        <v>160613</v>
      </c>
      <c r="AD82" s="103">
        <v>182346</v>
      </c>
      <c r="AE82" s="64">
        <f t="shared" si="22"/>
        <v>0</v>
      </c>
      <c r="AF82" s="64">
        <f t="shared" si="23"/>
        <v>8.1737466135807756E-3</v>
      </c>
      <c r="AG82" s="20">
        <f t="shared" si="24"/>
        <v>0</v>
      </c>
      <c r="AH82" s="20">
        <f t="shared" si="25"/>
        <v>17.012291285066119</v>
      </c>
      <c r="AI82" s="22"/>
    </row>
    <row r="83" spans="1:35" s="45" customFormat="1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7">
        <f t="shared" si="19"/>
        <v>16.071483192649005</v>
      </c>
      <c r="O83" s="7">
        <f t="shared" si="15"/>
        <v>4408</v>
      </c>
      <c r="P83" s="7">
        <f t="shared" si="16"/>
        <v>4391.9285168073511</v>
      </c>
      <c r="Q83" s="7">
        <f t="shared" si="17"/>
        <v>2151.6785168073507</v>
      </c>
      <c r="R83" s="7">
        <f t="shared" si="18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7">
        <f t="shared" si="20"/>
        <v>188732</v>
      </c>
      <c r="X83" s="103">
        <f t="shared" si="21"/>
        <v>200735</v>
      </c>
      <c r="Y83" s="103"/>
      <c r="Z83" s="7">
        <v>0</v>
      </c>
      <c r="AA83" s="7"/>
      <c r="AB83" s="2">
        <v>2212</v>
      </c>
      <c r="AC83" s="103">
        <v>149608</v>
      </c>
      <c r="AD83" s="103">
        <v>193933</v>
      </c>
      <c r="AE83" s="64">
        <f t="shared" si="22"/>
        <v>0</v>
      </c>
      <c r="AF83" s="64">
        <f t="shared" si="23"/>
        <v>7.4139006770379458E-3</v>
      </c>
      <c r="AG83" s="20">
        <f t="shared" si="24"/>
        <v>0</v>
      </c>
      <c r="AH83" s="20">
        <f t="shared" si="25"/>
        <v>16.071483192649005</v>
      </c>
      <c r="AI83" s="22"/>
    </row>
    <row r="84" spans="1:35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7">
        <f t="shared" si="19"/>
        <v>11.041254384197659</v>
      </c>
      <c r="O84" s="7">
        <f t="shared" si="15"/>
        <v>5251.666666666667</v>
      </c>
      <c r="P84" s="7">
        <f t="shared" si="16"/>
        <v>5240.6254122824694</v>
      </c>
      <c r="Q84" s="7">
        <f t="shared" si="17"/>
        <v>2620.0420789491359</v>
      </c>
      <c r="R84" s="7">
        <f t="shared" si="18"/>
        <v>1627</v>
      </c>
      <c r="S84" s="7">
        <v>11430</v>
      </c>
      <c r="T84" s="7">
        <v>15442</v>
      </c>
      <c r="U84" s="7">
        <v>2114</v>
      </c>
      <c r="V84" s="7">
        <v>228130</v>
      </c>
      <c r="W84" s="7">
        <f t="shared" si="20"/>
        <v>214586</v>
      </c>
      <c r="X84" s="103">
        <f t="shared" si="21"/>
        <v>229540</v>
      </c>
      <c r="Y84" s="103"/>
      <c r="Z84" s="7">
        <v>0</v>
      </c>
      <c r="AB84" s="2">
        <v>1410</v>
      </c>
      <c r="AC84" s="103">
        <v>172650</v>
      </c>
      <c r="AD84" s="103">
        <v>218398</v>
      </c>
      <c r="AE84" s="64">
        <f t="shared" si="22"/>
        <v>0</v>
      </c>
      <c r="AF84" s="64">
        <f t="shared" si="23"/>
        <v>4.1964670006135593E-3</v>
      </c>
      <c r="AG84" s="20">
        <f t="shared" si="24"/>
        <v>0</v>
      </c>
      <c r="AH84" s="20">
        <f t="shared" si="25"/>
        <v>11.041254384197659</v>
      </c>
      <c r="AI84" s="22"/>
    </row>
    <row r="85" spans="1:35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7">
        <f t="shared" si="19"/>
        <v>74.786124438838385</v>
      </c>
      <c r="O85" s="7">
        <f t="shared" si="15"/>
        <v>5286.0833333333339</v>
      </c>
      <c r="P85" s="7">
        <f t="shared" si="16"/>
        <v>5211.2972088944953</v>
      </c>
      <c r="Q85" s="7">
        <f t="shared" si="17"/>
        <v>2665.4638754855159</v>
      </c>
      <c r="R85" s="7">
        <f t="shared" si="18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7">
        <f t="shared" si="20"/>
        <v>205580</v>
      </c>
      <c r="X85" s="103">
        <f t="shared" si="21"/>
        <v>223857</v>
      </c>
      <c r="Y85" s="103"/>
      <c r="Z85" s="7">
        <v>5468</v>
      </c>
      <c r="AB85" s="2">
        <v>4026</v>
      </c>
      <c r="AC85" s="103">
        <v>176260</v>
      </c>
      <c r="AD85" s="103">
        <v>214291</v>
      </c>
      <c r="AE85" s="64">
        <f t="shared" si="22"/>
        <v>2.8540565074322025E-2</v>
      </c>
      <c r="AF85" s="64">
        <f t="shared" si="23"/>
        <v>1.2211898773163596E-2</v>
      </c>
      <c r="AG85" s="20">
        <f t="shared" si="24"/>
        <v>41.833333257687507</v>
      </c>
      <c r="AH85" s="20">
        <f t="shared" si="25"/>
        <v>32.952791181150872</v>
      </c>
      <c r="AI85" s="22"/>
    </row>
    <row r="86" spans="1:35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7">
        <f t="shared" si="19"/>
        <v>80.625784270042303</v>
      </c>
      <c r="O86" s="7">
        <f t="shared" si="15"/>
        <v>4191.4166666666661</v>
      </c>
      <c r="P86" s="7">
        <f t="shared" si="16"/>
        <v>4110.7908823966245</v>
      </c>
      <c r="Q86" s="7">
        <f t="shared" si="17"/>
        <v>2054.9506960700273</v>
      </c>
      <c r="R86" s="7">
        <f t="shared" si="18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7">
        <f t="shared" si="20"/>
        <v>166310</v>
      </c>
      <c r="X86" s="103">
        <f t="shared" si="21"/>
        <v>188537</v>
      </c>
      <c r="Y86" s="103"/>
      <c r="Z86" s="7">
        <v>3154</v>
      </c>
      <c r="AB86" s="2">
        <v>7466</v>
      </c>
      <c r="AC86" s="103">
        <v>119897</v>
      </c>
      <c r="AD86" s="103">
        <v>181986</v>
      </c>
      <c r="AE86" s="64">
        <f t="shared" si="22"/>
        <v>2.4201439568963361E-2</v>
      </c>
      <c r="AF86" s="64">
        <f t="shared" si="23"/>
        <v>2.6666336970975788E-2</v>
      </c>
      <c r="AG86" s="20">
        <f t="shared" si="24"/>
        <v>24.326480340069669</v>
      </c>
      <c r="AH86" s="20">
        <f t="shared" si="25"/>
        <v>56.299303929972631</v>
      </c>
      <c r="AI86" s="22"/>
    </row>
    <row r="87" spans="1:35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7">
        <f t="shared" si="19"/>
        <v>64.510522184091329</v>
      </c>
      <c r="O87" s="7">
        <f t="shared" si="15"/>
        <v>3247.5833333333339</v>
      </c>
      <c r="P87" s="7">
        <f t="shared" si="16"/>
        <v>3183.0728111492426</v>
      </c>
      <c r="Q87" s="7">
        <f t="shared" si="17"/>
        <v>1292.2427417040687</v>
      </c>
      <c r="R87" s="7">
        <f t="shared" si="18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7">
        <f t="shared" si="20"/>
        <v>109142</v>
      </c>
      <c r="X87" s="103">
        <f t="shared" si="21"/>
        <v>125341</v>
      </c>
      <c r="Y87" s="103"/>
      <c r="Z87" s="7">
        <v>4107</v>
      </c>
      <c r="AB87" s="2">
        <v>4641</v>
      </c>
      <c r="AC87" s="103">
        <v>95231</v>
      </c>
      <c r="AD87" s="103">
        <v>119647</v>
      </c>
      <c r="AE87" s="64">
        <f t="shared" si="22"/>
        <v>3.967657590490492E-2</v>
      </c>
      <c r="AF87" s="64">
        <f t="shared" si="23"/>
        <v>2.5212918000451327E-2</v>
      </c>
      <c r="AG87" s="20">
        <f t="shared" si="24"/>
        <v>31.086597221493005</v>
      </c>
      <c r="AH87" s="20">
        <f t="shared" si="25"/>
        <v>33.423924962598321</v>
      </c>
      <c r="AI87" s="22"/>
    </row>
    <row r="88" spans="1:35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7">
        <f t="shared" si="19"/>
        <v>46.904084053732461</v>
      </c>
      <c r="O88" s="7">
        <f t="shared" si="15"/>
        <v>3195.9166666666665</v>
      </c>
      <c r="P88" s="7">
        <f t="shared" si="16"/>
        <v>3149.0125826129342</v>
      </c>
      <c r="Q88" s="7">
        <f t="shared" si="17"/>
        <v>1230.9292492796008</v>
      </c>
      <c r="R88" s="7">
        <f t="shared" si="18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7">
        <f t="shared" si="20"/>
        <v>81560</v>
      </c>
      <c r="X88" s="103">
        <f t="shared" si="21"/>
        <v>95520</v>
      </c>
      <c r="Y88" s="103"/>
      <c r="Z88" s="7">
        <v>0</v>
      </c>
      <c r="AB88" s="2">
        <v>5252</v>
      </c>
      <c r="AC88" s="103">
        <v>63408</v>
      </c>
      <c r="AD88" s="103">
        <v>93004</v>
      </c>
      <c r="AE88" s="64">
        <f t="shared" si="22"/>
        <v>0</v>
      </c>
      <c r="AF88" s="64">
        <f t="shared" si="23"/>
        <v>3.6705948131263176E-2</v>
      </c>
      <c r="AG88" s="20">
        <f t="shared" si="24"/>
        <v>0</v>
      </c>
      <c r="AH88" s="20">
        <f t="shared" si="25"/>
        <v>46.904084053732461</v>
      </c>
      <c r="AI88" s="22"/>
    </row>
    <row r="89" spans="1:35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7">
        <f t="shared" si="19"/>
        <v>3.3634524247722464</v>
      </c>
      <c r="O89" s="7">
        <f t="shared" si="15"/>
        <v>869.75</v>
      </c>
      <c r="P89" s="7">
        <f t="shared" si="16"/>
        <v>866.38654757522784</v>
      </c>
      <c r="Q89" s="7">
        <f t="shared" si="17"/>
        <v>425.88654757522772</v>
      </c>
      <c r="R89" s="7">
        <f t="shared" si="18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7">
        <f t="shared" si="20"/>
        <v>31815</v>
      </c>
      <c r="X89" s="103">
        <f t="shared" si="21"/>
        <v>34156</v>
      </c>
      <c r="Y89" s="103"/>
      <c r="Z89" s="7">
        <v>0</v>
      </c>
      <c r="AB89" s="2">
        <v>393</v>
      </c>
      <c r="AC89" s="103">
        <v>27247</v>
      </c>
      <c r="AD89" s="103">
        <v>32601</v>
      </c>
      <c r="AE89" s="64">
        <f t="shared" si="22"/>
        <v>0</v>
      </c>
      <c r="AF89" s="64">
        <f t="shared" si="23"/>
        <v>7.8356492132143196E-3</v>
      </c>
      <c r="AG89" s="20">
        <f t="shared" si="24"/>
        <v>0</v>
      </c>
      <c r="AH89" s="20">
        <f t="shared" si="25"/>
        <v>3.3634524247722464</v>
      </c>
      <c r="AI89" s="22"/>
    </row>
    <row r="90" spans="1:35">
      <c r="A90" s="28">
        <v>45746</v>
      </c>
      <c r="B90" s="102"/>
      <c r="C90" s="102">
        <v>0</v>
      </c>
      <c r="D90" s="102">
        <v>0</v>
      </c>
      <c r="E90" s="6">
        <v>0</v>
      </c>
      <c r="F90" s="102">
        <v>0</v>
      </c>
      <c r="G90" s="102">
        <v>0</v>
      </c>
      <c r="H90" s="102">
        <v>0</v>
      </c>
      <c r="I90" s="102">
        <v>0</v>
      </c>
      <c r="J90" s="102">
        <v>0</v>
      </c>
      <c r="K90" s="102">
        <v>0</v>
      </c>
      <c r="L90" s="102">
        <v>0</v>
      </c>
      <c r="M90" s="3">
        <v>0</v>
      </c>
      <c r="N90" s="107">
        <f t="shared" si="19"/>
        <v>0</v>
      </c>
      <c r="O90" s="7">
        <f t="shared" si="15"/>
        <v>0</v>
      </c>
      <c r="P90" s="7">
        <f t="shared" si="16"/>
        <v>0</v>
      </c>
      <c r="Q90" s="7">
        <f t="shared" si="17"/>
        <v>0</v>
      </c>
      <c r="R90" s="7">
        <f t="shared" si="18"/>
        <v>0</v>
      </c>
      <c r="T90" s="7"/>
      <c r="U90" s="7"/>
      <c r="V90" s="7"/>
      <c r="W90" s="7">
        <f t="shared" si="20"/>
        <v>0</v>
      </c>
      <c r="X90" s="103">
        <f t="shared" si="21"/>
        <v>0</v>
      </c>
      <c r="Y90" s="103"/>
      <c r="Z90" s="7">
        <v>0</v>
      </c>
      <c r="AB90" s="2">
        <v>0</v>
      </c>
      <c r="AC90" s="103">
        <v>0</v>
      </c>
      <c r="AD90" s="103">
        <v>0</v>
      </c>
      <c r="AE90" s="64" t="e">
        <f t="shared" si="22"/>
        <v>#DIV/0!</v>
      </c>
      <c r="AF90" s="64"/>
      <c r="AG90" s="20"/>
      <c r="AH90" s="20"/>
      <c r="AI90" s="22"/>
    </row>
    <row r="91" spans="1:35">
      <c r="A91" s="28">
        <v>45747</v>
      </c>
      <c r="B91" s="102"/>
      <c r="C91" s="102">
        <v>0</v>
      </c>
      <c r="D91" s="102">
        <v>0</v>
      </c>
      <c r="E91" s="6">
        <v>0</v>
      </c>
      <c r="F91" s="102">
        <v>0</v>
      </c>
      <c r="G91" s="102">
        <v>0</v>
      </c>
      <c r="H91" s="102">
        <v>0</v>
      </c>
      <c r="I91" s="102">
        <v>0</v>
      </c>
      <c r="J91" s="102">
        <v>0</v>
      </c>
      <c r="K91" s="102">
        <v>0</v>
      </c>
      <c r="L91" s="102">
        <v>0</v>
      </c>
      <c r="M91" s="3">
        <v>0</v>
      </c>
      <c r="N91" s="107">
        <f t="shared" si="19"/>
        <v>0</v>
      </c>
      <c r="O91" s="7">
        <f t="shared" si="15"/>
        <v>0</v>
      </c>
      <c r="P91" s="7">
        <f t="shared" si="16"/>
        <v>0</v>
      </c>
      <c r="Q91" s="7">
        <f t="shared" si="17"/>
        <v>0</v>
      </c>
      <c r="R91" s="7">
        <f t="shared" si="18"/>
        <v>0</v>
      </c>
      <c r="T91" s="7"/>
      <c r="U91" s="7"/>
      <c r="V91" s="7"/>
      <c r="W91" s="7">
        <f t="shared" si="20"/>
        <v>0</v>
      </c>
      <c r="X91" s="103">
        <f t="shared" si="21"/>
        <v>0</v>
      </c>
      <c r="Y91" s="103"/>
      <c r="Z91" s="7">
        <v>0</v>
      </c>
      <c r="AB91" s="2">
        <v>0</v>
      </c>
      <c r="AC91" s="103">
        <v>0</v>
      </c>
      <c r="AD91" s="103">
        <v>0</v>
      </c>
      <c r="AE91" s="64" t="e">
        <f t="shared" si="22"/>
        <v>#DIV/0!</v>
      </c>
      <c r="AF91" s="64"/>
      <c r="AG91" s="20"/>
      <c r="AH91" s="20"/>
      <c r="AI91" s="22"/>
    </row>
    <row r="92" spans="1:35">
      <c r="A92" s="28">
        <v>45748</v>
      </c>
      <c r="B92" s="102"/>
      <c r="C92" s="102">
        <v>0</v>
      </c>
      <c r="D92" s="102">
        <v>0</v>
      </c>
      <c r="E92" s="6">
        <v>0</v>
      </c>
      <c r="F92" s="102">
        <v>0</v>
      </c>
      <c r="G92" s="102">
        <v>0</v>
      </c>
      <c r="H92" s="102">
        <v>0</v>
      </c>
      <c r="I92" s="102">
        <v>0</v>
      </c>
      <c r="J92" s="102">
        <v>0</v>
      </c>
      <c r="K92" s="102">
        <v>0</v>
      </c>
      <c r="L92" s="102">
        <v>0</v>
      </c>
      <c r="M92" s="3">
        <v>0</v>
      </c>
      <c r="N92" s="107">
        <f t="shared" si="19"/>
        <v>0</v>
      </c>
      <c r="O92" s="7">
        <f t="shared" si="15"/>
        <v>0</v>
      </c>
      <c r="P92" s="7">
        <f t="shared" si="16"/>
        <v>0</v>
      </c>
      <c r="Q92" s="7">
        <f t="shared" si="17"/>
        <v>0</v>
      </c>
      <c r="R92" s="7">
        <f t="shared" si="18"/>
        <v>0</v>
      </c>
      <c r="T92" s="7"/>
      <c r="U92" s="7"/>
      <c r="W92" s="7">
        <f t="shared" si="20"/>
        <v>0</v>
      </c>
      <c r="X92" s="103">
        <f t="shared" si="21"/>
        <v>0</v>
      </c>
      <c r="Y92" s="103"/>
      <c r="Z92" s="7">
        <v>0</v>
      </c>
      <c r="AB92" s="2">
        <v>0</v>
      </c>
      <c r="AC92" s="103">
        <v>0</v>
      </c>
      <c r="AD92" s="103">
        <v>0</v>
      </c>
      <c r="AE92" s="64" t="e">
        <f t="shared" si="22"/>
        <v>#DIV/0!</v>
      </c>
      <c r="AF92" s="64"/>
      <c r="AG92" s="20"/>
      <c r="AH92" s="20"/>
      <c r="AI92" s="22"/>
    </row>
    <row r="93" spans="1:35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7">
        <f t="shared" si="19"/>
        <v>38.716496967922119</v>
      </c>
      <c r="O93" s="7">
        <f t="shared" si="15"/>
        <v>2833.083333333333</v>
      </c>
      <c r="P93" s="7">
        <f t="shared" si="16"/>
        <v>2794.3668363654115</v>
      </c>
      <c r="Q93" s="7">
        <f t="shared" si="17"/>
        <v>1041.2001696987447</v>
      </c>
      <c r="R93" s="7">
        <f t="shared" si="18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si="20"/>
        <v>132281</v>
      </c>
      <c r="X93" s="103">
        <f t="shared" si="21"/>
        <v>151135</v>
      </c>
      <c r="Y93" s="103"/>
      <c r="Z93" s="7">
        <v>0</v>
      </c>
      <c r="AB93" s="2">
        <v>7722</v>
      </c>
      <c r="AC93" s="103">
        <v>182899</v>
      </c>
      <c r="AD93" s="103">
        <v>140003</v>
      </c>
      <c r="AE93" s="64">
        <f t="shared" si="22"/>
        <v>0</v>
      </c>
      <c r="AF93" s="64">
        <f t="shared" si="23"/>
        <v>3.5851374613401141E-2</v>
      </c>
      <c r="AG93" s="20">
        <f t="shared" ref="AG93:AG114" si="26">+AE93*K93</f>
        <v>0</v>
      </c>
      <c r="AH93" s="20">
        <f t="shared" ref="AH93:AH114" si="27">+AF93*I93</f>
        <v>38.716496967922119</v>
      </c>
      <c r="AI93" s="22"/>
    </row>
    <row r="94" spans="1:35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7">
        <f t="shared" si="19"/>
        <v>87.192158998192326</v>
      </c>
      <c r="O94" s="7">
        <f t="shared" si="15"/>
        <v>3679.4166666666665</v>
      </c>
      <c r="P94" s="7">
        <f t="shared" si="16"/>
        <v>3592.2245076684744</v>
      </c>
      <c r="Q94" s="7">
        <f t="shared" si="17"/>
        <v>1601.3989680685359</v>
      </c>
      <c r="R94" s="7">
        <f t="shared" si="18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0"/>
        <v>163506</v>
      </c>
      <c r="X94" s="103">
        <f t="shared" si="21"/>
        <v>181697</v>
      </c>
      <c r="Y94" s="103"/>
      <c r="Z94" s="7">
        <v>6090</v>
      </c>
      <c r="AB94" s="2">
        <v>5982</v>
      </c>
      <c r="AC94" s="103">
        <v>106267</v>
      </c>
      <c r="AD94" s="103">
        <v>169488</v>
      </c>
      <c r="AE94" s="64">
        <f t="shared" si="22"/>
        <v>5.272379948619986E-2</v>
      </c>
      <c r="AF94" s="64">
        <f t="shared" si="23"/>
        <v>2.2941447182101386E-2</v>
      </c>
      <c r="AG94" s="20">
        <f t="shared" si="26"/>
        <v>49.591127066728149</v>
      </c>
      <c r="AH94" s="20">
        <f t="shared" si="27"/>
        <v>37.601031931464171</v>
      </c>
      <c r="AI94" s="22"/>
    </row>
    <row r="95" spans="1:35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7">
        <f t="shared" si="19"/>
        <v>28.626748872534982</v>
      </c>
      <c r="O95" s="7">
        <f t="shared" si="15"/>
        <v>3130.25</v>
      </c>
      <c r="P95" s="7">
        <f t="shared" si="16"/>
        <v>3101.6232511274652</v>
      </c>
      <c r="Q95" s="7">
        <f t="shared" si="17"/>
        <v>1133.4565844607985</v>
      </c>
      <c r="R95" s="7">
        <f t="shared" si="18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0"/>
        <v>110862</v>
      </c>
      <c r="X95" s="103">
        <f t="shared" si="21"/>
        <v>124201</v>
      </c>
      <c r="Y95" s="103"/>
      <c r="Z95" s="7">
        <v>0</v>
      </c>
      <c r="AB95" s="2">
        <v>4367</v>
      </c>
      <c r="AC95" s="103">
        <v>75019</v>
      </c>
      <c r="AD95" s="103">
        <v>115229</v>
      </c>
      <c r="AE95" s="64">
        <f t="shared" si="22"/>
        <v>0</v>
      </c>
      <c r="AF95" s="64">
        <f t="shared" si="23"/>
        <v>2.4633989707452116E-2</v>
      </c>
      <c r="AG95" s="20">
        <f t="shared" si="26"/>
        <v>0</v>
      </c>
      <c r="AH95" s="20">
        <f t="shared" si="27"/>
        <v>28.626748872534982</v>
      </c>
      <c r="AI95" s="22"/>
    </row>
    <row r="96" spans="1:35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7">
        <f t="shared" si="19"/>
        <v>16.708814413326127</v>
      </c>
      <c r="O96" s="7">
        <f t="shared" si="15"/>
        <v>2021.8333333333333</v>
      </c>
      <c r="P96" s="7">
        <f t="shared" si="16"/>
        <v>2005.1245189200074</v>
      </c>
      <c r="Q96" s="7">
        <f t="shared" si="17"/>
        <v>856.54118558667392</v>
      </c>
      <c r="R96" s="7">
        <f t="shared" si="18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0"/>
        <v>91593</v>
      </c>
      <c r="X96" s="103">
        <f t="shared" si="21"/>
        <v>99036</v>
      </c>
      <c r="Y96" s="103"/>
      <c r="Z96" s="7">
        <v>0</v>
      </c>
      <c r="AB96" s="2">
        <v>2778</v>
      </c>
      <c r="AC96" s="103">
        <v>65877</v>
      </c>
      <c r="AD96" s="103">
        <v>94371</v>
      </c>
      <c r="AE96" s="64">
        <f t="shared" si="22"/>
        <v>0</v>
      </c>
      <c r="AF96" s="64">
        <f t="shared" si="23"/>
        <v>1.9134056012970087E-2</v>
      </c>
      <c r="AG96" s="20">
        <f t="shared" si="26"/>
        <v>0</v>
      </c>
      <c r="AH96" s="20">
        <f t="shared" si="27"/>
        <v>16.708814413326127</v>
      </c>
      <c r="AI96" s="22"/>
    </row>
    <row r="97" spans="1:35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7">
        <f t="shared" si="19"/>
        <v>14.677903999443878</v>
      </c>
      <c r="O97" s="7">
        <f t="shared" si="15"/>
        <v>1779.9166666666665</v>
      </c>
      <c r="P97" s="7">
        <f t="shared" si="16"/>
        <v>1765.2387626672228</v>
      </c>
      <c r="Q97" s="7">
        <f t="shared" si="17"/>
        <v>682.4054293338894</v>
      </c>
      <c r="R97" s="7">
        <f t="shared" si="18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0"/>
        <v>62637</v>
      </c>
      <c r="X97" s="103">
        <f t="shared" si="21"/>
        <v>70587</v>
      </c>
      <c r="Y97" s="103"/>
      <c r="Z97" s="7">
        <v>0</v>
      </c>
      <c r="AB97" s="2">
        <v>2097</v>
      </c>
      <c r="AC97" s="103">
        <v>74151</v>
      </c>
      <c r="AD97" s="103">
        <v>64734</v>
      </c>
      <c r="AE97" s="64">
        <f t="shared" si="22"/>
        <v>0</v>
      </c>
      <c r="AF97" s="64">
        <f t="shared" si="23"/>
        <v>2.1056168319584765E-2</v>
      </c>
      <c r="AG97" s="20">
        <f t="shared" si="26"/>
        <v>0</v>
      </c>
      <c r="AH97" s="20">
        <f t="shared" si="27"/>
        <v>14.677903999443878</v>
      </c>
      <c r="AI97" s="22"/>
    </row>
    <row r="98" spans="1:35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7">
        <f t="shared" si="19"/>
        <v>17.345494747503295</v>
      </c>
      <c r="O98" s="7">
        <f t="shared" si="15"/>
        <v>2980.333333333333</v>
      </c>
      <c r="P98" s="7">
        <f t="shared" si="16"/>
        <v>2962.9878385858296</v>
      </c>
      <c r="Q98" s="7">
        <f t="shared" si="17"/>
        <v>1134.5711719191631</v>
      </c>
      <c r="R98" s="7">
        <f t="shared" si="18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0"/>
        <v>89857</v>
      </c>
      <c r="X98" s="103">
        <f t="shared" si="21"/>
        <v>101993</v>
      </c>
      <c r="Y98" s="103"/>
      <c r="Z98" s="7">
        <v>0</v>
      </c>
      <c r="AB98" s="2">
        <v>2131</v>
      </c>
      <c r="AC98" s="103">
        <v>110181</v>
      </c>
      <c r="AD98" s="103">
        <v>91988</v>
      </c>
      <c r="AE98" s="64">
        <f t="shared" si="22"/>
        <v>0</v>
      </c>
      <c r="AF98" s="64">
        <f t="shared" si="23"/>
        <v>1.5057942340305257E-2</v>
      </c>
      <c r="AG98" s="20">
        <f t="shared" si="26"/>
        <v>0</v>
      </c>
      <c r="AH98" s="20">
        <f t="shared" si="27"/>
        <v>17.345494747503295</v>
      </c>
      <c r="AI98" s="22"/>
    </row>
    <row r="99" spans="1:35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7">
        <f t="shared" si="19"/>
        <v>12.800877224369067</v>
      </c>
      <c r="O99" s="7">
        <f t="shared" si="15"/>
        <v>2928.9166666666665</v>
      </c>
      <c r="P99" s="7">
        <f t="shared" si="16"/>
        <v>2916.1157894422977</v>
      </c>
      <c r="Q99" s="7">
        <f t="shared" si="17"/>
        <v>1139.8657894422977</v>
      </c>
      <c r="R99" s="7">
        <f t="shared" si="18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0"/>
        <v>109882</v>
      </c>
      <c r="X99" s="103">
        <f t="shared" si="21"/>
        <v>119643</v>
      </c>
      <c r="Y99" s="103"/>
      <c r="Z99" s="7">
        <v>0</v>
      </c>
      <c r="AB99" s="2">
        <v>1910</v>
      </c>
      <c r="AC99" s="103">
        <v>103249</v>
      </c>
      <c r="AD99" s="103">
        <v>111792</v>
      </c>
      <c r="AE99" s="64">
        <f t="shared" si="22"/>
        <v>0</v>
      </c>
      <c r="AF99" s="64">
        <f t="shared" si="23"/>
        <v>1.1105445827966224E-2</v>
      </c>
      <c r="AG99" s="20">
        <f t="shared" si="26"/>
        <v>0</v>
      </c>
      <c r="AH99" s="20">
        <f t="shared" si="27"/>
        <v>12.800877224369067</v>
      </c>
      <c r="AI99" s="22"/>
    </row>
    <row r="100" spans="1:35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7">
        <f t="shared" si="19"/>
        <v>182.25719959214069</v>
      </c>
      <c r="O100" s="7">
        <f t="shared" si="15"/>
        <v>2959.333333333333</v>
      </c>
      <c r="P100" s="7">
        <f t="shared" si="16"/>
        <v>2777.0761337411932</v>
      </c>
      <c r="Q100" s="7">
        <f t="shared" si="17"/>
        <v>1050.2269342494894</v>
      </c>
      <c r="R100" s="7">
        <f t="shared" si="18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0"/>
        <v>99143</v>
      </c>
      <c r="X100" s="103">
        <f t="shared" si="21"/>
        <v>120660</v>
      </c>
      <c r="Y100" s="103"/>
      <c r="Z100" s="7">
        <v>14118</v>
      </c>
      <c r="AB100" s="2">
        <v>14775</v>
      </c>
      <c r="AC100" s="103">
        <v>112795</v>
      </c>
      <c r="AD100" s="103">
        <v>113918</v>
      </c>
      <c r="AE100" s="64">
        <f t="shared" si="22"/>
        <v>0.11515191276209051</v>
      </c>
      <c r="AF100" s="64">
        <f t="shared" si="23"/>
        <v>8.4304060815674431E-2</v>
      </c>
      <c r="AG100" s="20">
        <f t="shared" si="26"/>
        <v>85.567467174963411</v>
      </c>
      <c r="AH100" s="20">
        <f t="shared" si="27"/>
        <v>96.689732417177268</v>
      </c>
      <c r="AI100" s="22"/>
    </row>
    <row r="101" spans="1:35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7">
        <f t="shared" si="19"/>
        <v>89.424618463248663</v>
      </c>
      <c r="O101" s="7">
        <f t="shared" si="15"/>
        <v>3026.4166666666665</v>
      </c>
      <c r="P101" s="7">
        <f t="shared" si="16"/>
        <v>2936.9920482034177</v>
      </c>
      <c r="Q101" s="7">
        <f t="shared" si="17"/>
        <v>1313.1464968023329</v>
      </c>
      <c r="R101" s="7">
        <f t="shared" si="18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0"/>
        <v>103994</v>
      </c>
      <c r="X101" s="103">
        <f t="shared" si="21"/>
        <v>115500</v>
      </c>
      <c r="Y101" s="103"/>
      <c r="Z101" s="7">
        <v>11163</v>
      </c>
      <c r="AB101" s="2">
        <v>2542</v>
      </c>
      <c r="AC101" s="103">
        <v>111259</v>
      </c>
      <c r="AD101" s="103">
        <v>106536</v>
      </c>
      <c r="AE101" s="64">
        <f t="shared" si="22"/>
        <v>9.2306779676250922E-2</v>
      </c>
      <c r="AF101" s="64">
        <f t="shared" si="23"/>
        <v>1.550931140647293E-2</v>
      </c>
      <c r="AG101" s="20">
        <f t="shared" si="26"/>
        <v>68.737781932248183</v>
      </c>
      <c r="AH101" s="20">
        <f t="shared" si="27"/>
        <v>20.686836531000473</v>
      </c>
      <c r="AI101" s="22"/>
    </row>
    <row r="102" spans="1:35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7">
        <f t="shared" si="19"/>
        <v>376.2184714607958</v>
      </c>
      <c r="O102" s="7">
        <f t="shared" si="15"/>
        <v>3527.5</v>
      </c>
      <c r="P102" s="7">
        <f t="shared" si="16"/>
        <v>3151.2815285392039</v>
      </c>
      <c r="Q102" s="7">
        <f t="shared" si="17"/>
        <v>1266.5138004246285</v>
      </c>
      <c r="R102" s="7">
        <f t="shared" si="18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0"/>
        <v>96270</v>
      </c>
      <c r="X102" s="103">
        <f t="shared" si="21"/>
        <v>117091</v>
      </c>
      <c r="Y102" s="103"/>
      <c r="Z102" s="7">
        <v>48367</v>
      </c>
      <c r="AB102" s="2">
        <v>13944</v>
      </c>
      <c r="AC102" s="103">
        <v>198157</v>
      </c>
      <c r="AD102" s="103">
        <v>110214</v>
      </c>
      <c r="AE102" s="64">
        <f t="shared" si="22"/>
        <v>0.2245574973379694</v>
      </c>
      <c r="AF102" s="64">
        <f t="shared" si="23"/>
        <v>8.2236376503892442E-2</v>
      </c>
      <c r="AG102" s="20">
        <f t="shared" si="26"/>
        <v>262.73227188542421</v>
      </c>
      <c r="AH102" s="20">
        <f t="shared" si="27"/>
        <v>113.48619957537157</v>
      </c>
      <c r="AI102" s="22"/>
    </row>
    <row r="103" spans="1:35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7">
        <f t="shared" si="19"/>
        <v>78.999319952798515</v>
      </c>
      <c r="O103" s="7">
        <f t="shared" si="15"/>
        <v>2005.75</v>
      </c>
      <c r="P103" s="7">
        <f t="shared" si="16"/>
        <v>1926.7506800472015</v>
      </c>
      <c r="Q103" s="7">
        <f t="shared" si="17"/>
        <v>798.00068004720151</v>
      </c>
      <c r="R103" s="7">
        <f t="shared" si="18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0"/>
        <v>84679</v>
      </c>
      <c r="X103" s="103">
        <f t="shared" si="21"/>
        <v>100997</v>
      </c>
      <c r="Y103" s="103"/>
      <c r="Z103" s="7">
        <v>0</v>
      </c>
      <c r="AB103" s="2">
        <v>13623</v>
      </c>
      <c r="AC103" s="103">
        <v>58733</v>
      </c>
      <c r="AD103" s="103">
        <v>98302</v>
      </c>
      <c r="AE103" s="64">
        <f t="shared" si="22"/>
        <v>0</v>
      </c>
      <c r="AF103" s="64">
        <f t="shared" si="23"/>
        <v>9.0079042135460113E-2</v>
      </c>
      <c r="AG103" s="20">
        <f t="shared" si="26"/>
        <v>0</v>
      </c>
      <c r="AH103" s="20">
        <f t="shared" si="27"/>
        <v>78.999319952798515</v>
      </c>
      <c r="AI103" s="22"/>
    </row>
    <row r="104" spans="1:35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7">
        <f t="shared" si="19"/>
        <v>11.341028347738119</v>
      </c>
      <c r="O104" s="7">
        <f t="shared" si="15"/>
        <v>1482.75</v>
      </c>
      <c r="P104" s="7">
        <f t="shared" si="16"/>
        <v>1471.4089716522619</v>
      </c>
      <c r="Q104" s="7">
        <f t="shared" si="17"/>
        <v>557.99230498559518</v>
      </c>
      <c r="R104" s="7">
        <f t="shared" si="18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0"/>
        <v>58770</v>
      </c>
      <c r="X104" s="103">
        <f t="shared" si="21"/>
        <v>66893</v>
      </c>
      <c r="Y104" s="103"/>
      <c r="Z104" s="7">
        <v>0</v>
      </c>
      <c r="AB104" s="2">
        <v>1858</v>
      </c>
      <c r="AC104" s="103">
        <v>70042</v>
      </c>
      <c r="AD104" s="103">
        <v>60628</v>
      </c>
      <c r="AE104" s="64">
        <f t="shared" si="22"/>
        <v>0</v>
      </c>
      <c r="AF104" s="64">
        <f t="shared" si="23"/>
        <v>1.9919839018275386E-2</v>
      </c>
      <c r="AG104" s="20">
        <f t="shared" si="26"/>
        <v>0</v>
      </c>
      <c r="AH104" s="20">
        <f t="shared" si="27"/>
        <v>11.341028347738119</v>
      </c>
      <c r="AI104" s="22"/>
    </row>
    <row r="105" spans="1:35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7">
        <f t="shared" si="19"/>
        <v>253.69970859470905</v>
      </c>
      <c r="O105" s="7">
        <f t="shared" si="15"/>
        <v>3593.083333333333</v>
      </c>
      <c r="P105" s="7">
        <f t="shared" si="16"/>
        <v>3339.3836247386239</v>
      </c>
      <c r="Q105" s="7">
        <f t="shared" si="17"/>
        <v>1092.0860170858718</v>
      </c>
      <c r="R105" s="7">
        <f t="shared" si="18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0"/>
        <v>96571</v>
      </c>
      <c r="X105" s="103">
        <f t="shared" si="21"/>
        <v>146527</v>
      </c>
      <c r="Y105" s="103"/>
      <c r="Z105" s="7">
        <v>2014</v>
      </c>
      <c r="AB105" s="2">
        <v>36697</v>
      </c>
      <c r="AC105" s="103">
        <v>150778</v>
      </c>
      <c r="AD105" s="103">
        <v>133268</v>
      </c>
      <c r="AE105" s="64">
        <f t="shared" si="22"/>
        <v>1.228879544761172E-2</v>
      </c>
      <c r="AF105" s="64">
        <f t="shared" si="23"/>
        <v>0.17898557793318726</v>
      </c>
      <c r="AG105" s="20">
        <f t="shared" si="26"/>
        <v>15.619059013914496</v>
      </c>
      <c r="AH105" s="20">
        <f t="shared" si="27"/>
        <v>238.08064958079456</v>
      </c>
      <c r="AI105" s="22"/>
    </row>
    <row r="106" spans="1:35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7">
        <f t="shared" si="19"/>
        <v>172.00740927759034</v>
      </c>
      <c r="O106" s="7">
        <f t="shared" si="15"/>
        <v>3937.333333333333</v>
      </c>
      <c r="P106" s="7">
        <f t="shared" si="16"/>
        <v>3765.3259240557431</v>
      </c>
      <c r="Q106" s="7">
        <f t="shared" si="17"/>
        <v>1636.181082520694</v>
      </c>
      <c r="R106" s="7">
        <f t="shared" si="18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0"/>
        <v>137241</v>
      </c>
      <c r="X106" s="103">
        <f t="shared" si="21"/>
        <v>146149</v>
      </c>
      <c r="Y106" s="103"/>
      <c r="Z106" s="7">
        <v>24208</v>
      </c>
      <c r="AB106" s="2">
        <v>1607</v>
      </c>
      <c r="AC106" s="103">
        <v>175065</v>
      </c>
      <c r="AD106" s="103">
        <v>138848</v>
      </c>
      <c r="AE106" s="64">
        <f t="shared" si="22"/>
        <v>0.12721766201125295</v>
      </c>
      <c r="AF106" s="64">
        <f t="shared" si="23"/>
        <v>7.522974763770454E-3</v>
      </c>
      <c r="AG106" s="20">
        <f t="shared" si="26"/>
        <v>159.6051584649511</v>
      </c>
      <c r="AH106" s="20">
        <f t="shared" si="27"/>
        <v>12.40225081263924</v>
      </c>
      <c r="AI106" s="22"/>
    </row>
    <row r="107" spans="1:35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7">
        <f t="shared" si="19"/>
        <v>144.66315740304884</v>
      </c>
      <c r="O107" s="7">
        <f t="shared" si="15"/>
        <v>3643.083333333333</v>
      </c>
      <c r="P107" s="7">
        <f t="shared" si="16"/>
        <v>3498.4201759302841</v>
      </c>
      <c r="Q107" s="7">
        <f t="shared" si="17"/>
        <v>1701.5709605799977</v>
      </c>
      <c r="R107" s="7">
        <f t="shared" si="18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0"/>
        <v>137967</v>
      </c>
      <c r="X107" s="103">
        <f t="shared" si="21"/>
        <v>159848</v>
      </c>
      <c r="Y107" s="103"/>
      <c r="Z107" s="7">
        <v>5831</v>
      </c>
      <c r="AB107" s="2">
        <v>13183</v>
      </c>
      <c r="AC107" s="103">
        <v>106213</v>
      </c>
      <c r="AD107" s="103">
        <v>151150</v>
      </c>
      <c r="AE107" s="64">
        <f t="shared" si="22"/>
        <v>5.0507188385602524E-2</v>
      </c>
      <c r="AF107" s="64">
        <f t="shared" si="23"/>
        <v>5.6691696989745285E-2</v>
      </c>
      <c r="AG107" s="20">
        <f t="shared" si="26"/>
        <v>42.400784649713316</v>
      </c>
      <c r="AH107" s="20">
        <f t="shared" si="27"/>
        <v>102.26237275333553</v>
      </c>
      <c r="AI107" s="22"/>
    </row>
    <row r="108" spans="1:35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7">
        <f t="shared" si="19"/>
        <v>453.9456427228198</v>
      </c>
      <c r="O108" s="7">
        <f t="shared" si="15"/>
        <v>3648.25</v>
      </c>
      <c r="P108" s="7">
        <f t="shared" si="16"/>
        <v>3194.3043572771799</v>
      </c>
      <c r="Q108" s="7">
        <f t="shared" si="17"/>
        <v>1511.6952933144776</v>
      </c>
      <c r="R108" s="7">
        <f t="shared" si="18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0"/>
        <v>131487</v>
      </c>
      <c r="X108" s="103">
        <f t="shared" si="21"/>
        <v>173715</v>
      </c>
      <c r="Y108" s="103"/>
      <c r="Z108" s="7">
        <v>42458</v>
      </c>
      <c r="AB108" s="2">
        <v>30799</v>
      </c>
      <c r="AC108" s="103">
        <v>180673</v>
      </c>
      <c r="AD108" s="103">
        <v>162286</v>
      </c>
      <c r="AE108" s="64">
        <f t="shared" si="22"/>
        <v>0.21619921072877521</v>
      </c>
      <c r="AF108" s="64">
        <f t="shared" si="23"/>
        <v>0.12335845359427185</v>
      </c>
      <c r="AG108" s="20">
        <f t="shared" si="26"/>
        <v>241.22426937063088</v>
      </c>
      <c r="AH108" s="20">
        <f t="shared" si="27"/>
        <v>212.72137335218892</v>
      </c>
      <c r="AI108" s="22"/>
    </row>
    <row r="109" spans="1:35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7">
        <f t="shared" si="19"/>
        <v>298.0435643710519</v>
      </c>
      <c r="O109" s="7">
        <f t="shared" si="15"/>
        <v>3584.6666666666665</v>
      </c>
      <c r="P109" s="7">
        <f t="shared" si="16"/>
        <v>3286.6231022956144</v>
      </c>
      <c r="Q109" s="7">
        <f t="shared" si="17"/>
        <v>1581.3556058174036</v>
      </c>
      <c r="R109" s="7">
        <f t="shared" si="18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0"/>
        <v>117102</v>
      </c>
      <c r="X109" s="103">
        <f t="shared" si="21"/>
        <v>155339</v>
      </c>
      <c r="Y109" s="103"/>
      <c r="Z109" s="7">
        <v>4347</v>
      </c>
      <c r="AB109" s="2">
        <v>33664</v>
      </c>
      <c r="AC109" s="103">
        <v>115235</v>
      </c>
      <c r="AD109" s="103">
        <v>150766</v>
      </c>
      <c r="AE109" s="64">
        <f t="shared" si="22"/>
        <v>3.4705080921595001E-2</v>
      </c>
      <c r="AF109" s="64">
        <f t="shared" si="23"/>
        <v>0.14513617128530307</v>
      </c>
      <c r="AG109" s="20">
        <f t="shared" si="26"/>
        <v>29.565836855122139</v>
      </c>
      <c r="AH109" s="20">
        <f t="shared" si="27"/>
        <v>268.47772751592976</v>
      </c>
      <c r="AI109" s="22"/>
    </row>
    <row r="110" spans="1:35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7">
        <f t="shared" si="19"/>
        <v>11.80335501894797</v>
      </c>
      <c r="O110" s="7">
        <f t="shared" si="15"/>
        <v>1907.5000000000002</v>
      </c>
      <c r="P110" s="7">
        <f t="shared" si="16"/>
        <v>1895.696644981052</v>
      </c>
      <c r="Q110" s="7">
        <f t="shared" si="17"/>
        <v>854.86331164771877</v>
      </c>
      <c r="R110" s="7">
        <f t="shared" si="18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0"/>
        <v>75697</v>
      </c>
      <c r="X110" s="103">
        <f t="shared" si="21"/>
        <v>82863</v>
      </c>
      <c r="Y110" s="103"/>
      <c r="Z110" s="7">
        <v>0</v>
      </c>
      <c r="AB110" s="2">
        <v>1620</v>
      </c>
      <c r="AC110" s="103">
        <v>67452</v>
      </c>
      <c r="AD110" s="103">
        <v>77317</v>
      </c>
      <c r="AE110" s="64">
        <f t="shared" si="22"/>
        <v>0</v>
      </c>
      <c r="AF110" s="64">
        <f t="shared" si="23"/>
        <v>1.3619255791093811E-2</v>
      </c>
      <c r="AG110" s="20">
        <f t="shared" si="26"/>
        <v>0</v>
      </c>
      <c r="AH110" s="20">
        <f t="shared" si="27"/>
        <v>11.80335501894797</v>
      </c>
      <c r="AI110" s="22"/>
    </row>
    <row r="111" spans="1:35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7">
        <f t="shared" si="19"/>
        <v>13.727903133903135</v>
      </c>
      <c r="O111" s="7">
        <f t="shared" si="15"/>
        <v>1915.8333333333335</v>
      </c>
      <c r="P111" s="7">
        <f t="shared" si="16"/>
        <v>1902.1054301994302</v>
      </c>
      <c r="Q111" s="7">
        <f t="shared" si="17"/>
        <v>854.93876353276357</v>
      </c>
      <c r="R111" s="7">
        <f t="shared" si="18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0"/>
        <v>74201</v>
      </c>
      <c r="X111" s="103">
        <f t="shared" si="21"/>
        <v>83020</v>
      </c>
      <c r="Y111" s="103"/>
      <c r="Z111" s="7">
        <v>0</v>
      </c>
      <c r="AB111" s="2">
        <v>1849</v>
      </c>
      <c r="AC111" s="103">
        <v>91602</v>
      </c>
      <c r="AD111" s="103">
        <v>76050</v>
      </c>
      <c r="AE111" s="64">
        <f t="shared" si="22"/>
        <v>0</v>
      </c>
      <c r="AF111" s="64">
        <f t="shared" si="23"/>
        <v>1.5803418803418803E-2</v>
      </c>
      <c r="AG111" s="20">
        <f t="shared" si="26"/>
        <v>0</v>
      </c>
      <c r="AH111" s="20">
        <f t="shared" si="27"/>
        <v>13.727903133903135</v>
      </c>
      <c r="AI111" s="22"/>
    </row>
    <row r="112" spans="1:35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7">
        <f t="shared" si="19"/>
        <v>21.518343253520914</v>
      </c>
      <c r="O112" s="7">
        <f t="shared" si="15"/>
        <v>3663.5</v>
      </c>
      <c r="P112" s="7">
        <f t="shared" si="16"/>
        <v>3641.9816567464786</v>
      </c>
      <c r="Q112" s="7">
        <f t="shared" si="17"/>
        <v>1596.3149900798123</v>
      </c>
      <c r="R112" s="7">
        <f t="shared" si="18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0"/>
        <v>108616</v>
      </c>
      <c r="X112" s="103">
        <f t="shared" si="21"/>
        <v>117436</v>
      </c>
      <c r="Y112" s="103"/>
      <c r="Z112" s="7">
        <v>0</v>
      </c>
      <c r="AB112" s="2">
        <v>2269</v>
      </c>
      <c r="AC112" s="103">
        <v>127305</v>
      </c>
      <c r="AD112" s="103">
        <v>110885</v>
      </c>
      <c r="AE112" s="64">
        <f t="shared" si="22"/>
        <v>0</v>
      </c>
      <c r="AF112" s="64">
        <f t="shared" si="23"/>
        <v>1.3300716959011588E-2</v>
      </c>
      <c r="AG112" s="20">
        <f t="shared" si="26"/>
        <v>0</v>
      </c>
      <c r="AH112" s="20">
        <f t="shared" si="27"/>
        <v>21.518343253520914</v>
      </c>
      <c r="AI112" s="22"/>
    </row>
    <row r="113" spans="1:35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7">
        <f t="shared" si="19"/>
        <v>108.56106477897075</v>
      </c>
      <c r="O113" s="7">
        <f t="shared" si="15"/>
        <v>3372.3333333333335</v>
      </c>
      <c r="P113" s="7">
        <f t="shared" si="16"/>
        <v>3263.7722685543627</v>
      </c>
      <c r="Q113" s="7">
        <f t="shared" si="17"/>
        <v>1638.5854366280387</v>
      </c>
      <c r="R113" s="7">
        <f t="shared" si="18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0"/>
        <v>121063</v>
      </c>
      <c r="X113" s="103">
        <f t="shared" si="21"/>
        <v>129319</v>
      </c>
      <c r="Y113" s="103"/>
      <c r="Z113" s="7">
        <v>12976</v>
      </c>
      <c r="AB113" s="2">
        <v>2509</v>
      </c>
      <c r="AC113" s="103">
        <v>104240</v>
      </c>
      <c r="AD113" s="103">
        <v>123572</v>
      </c>
      <c r="AE113" s="64">
        <f t="shared" si="22"/>
        <v>0.11452340752110514</v>
      </c>
      <c r="AF113" s="64">
        <f t="shared" si="23"/>
        <v>1.3197569028582528E-2</v>
      </c>
      <c r="AG113" s="20">
        <f t="shared" si="26"/>
        <v>86.646501407009467</v>
      </c>
      <c r="AH113" s="20">
        <f t="shared" si="27"/>
        <v>21.914563371961286</v>
      </c>
      <c r="AI113" s="22"/>
    </row>
    <row r="114" spans="1:35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7">
        <f t="shared" si="19"/>
        <v>5.5136454965442585</v>
      </c>
      <c r="O114" s="7">
        <f t="shared" si="15"/>
        <v>655.59999999999991</v>
      </c>
      <c r="P114" s="7">
        <f t="shared" si="16"/>
        <v>650.08635450345571</v>
      </c>
      <c r="Q114" s="7">
        <f t="shared" si="17"/>
        <v>345.20601790090899</v>
      </c>
      <c r="R114" s="7">
        <f t="shared" si="18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0"/>
        <v>31484</v>
      </c>
      <c r="X114" s="103">
        <f t="shared" si="21"/>
        <v>33313</v>
      </c>
      <c r="Y114" s="103"/>
      <c r="Z114" s="7">
        <v>36</v>
      </c>
      <c r="AB114" s="2">
        <v>749</v>
      </c>
      <c r="AC114" s="103">
        <v>18455</v>
      </c>
      <c r="AD114" s="103">
        <v>32233</v>
      </c>
      <c r="AE114" s="64">
        <f t="shared" si="22"/>
        <v>1.7946356001083718E-3</v>
      </c>
      <c r="AF114" s="64">
        <f t="shared" si="23"/>
        <v>1.5104085874724662E-2</v>
      </c>
      <c r="AG114" s="20">
        <f t="shared" si="26"/>
        <v>0.21966339745326452</v>
      </c>
      <c r="AH114" s="20">
        <f t="shared" si="27"/>
        <v>5.2939820990909938</v>
      </c>
      <c r="AI114" s="22"/>
    </row>
    <row r="115" spans="1:35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7">
        <f t="shared" si="19"/>
        <v>0</v>
      </c>
      <c r="O115" s="7">
        <f t="shared" si="15"/>
        <v>0</v>
      </c>
      <c r="P115" s="7">
        <f t="shared" si="16"/>
        <v>0</v>
      </c>
      <c r="Q115" s="7">
        <f t="shared" si="17"/>
        <v>0</v>
      </c>
      <c r="R115" s="7">
        <f t="shared" si="18"/>
        <v>0</v>
      </c>
      <c r="T115" s="7"/>
      <c r="U115" s="7"/>
      <c r="V115" s="7"/>
      <c r="W115" s="7">
        <f t="shared" si="20"/>
        <v>0</v>
      </c>
      <c r="X115" s="103">
        <f t="shared" si="21"/>
        <v>0</v>
      </c>
      <c r="Y115" s="103"/>
      <c r="Z115" s="7">
        <v>0</v>
      </c>
      <c r="AB115" s="2">
        <v>0</v>
      </c>
      <c r="AC115" s="103">
        <v>0</v>
      </c>
      <c r="AD115" s="103">
        <v>0</v>
      </c>
      <c r="AE115" s="64" t="e">
        <f t="shared" si="22"/>
        <v>#DIV/0!</v>
      </c>
      <c r="AF115" s="64"/>
      <c r="AG115" s="20"/>
      <c r="AH115" s="20"/>
      <c r="AI115" s="22"/>
    </row>
    <row r="116" spans="1:35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7">
        <f t="shared" si="19"/>
        <v>37.241540907295004</v>
      </c>
      <c r="O116" s="7">
        <f t="shared" si="15"/>
        <v>4370.166666666667</v>
      </c>
      <c r="P116" s="7">
        <f t="shared" si="16"/>
        <v>4332.9251257593714</v>
      </c>
      <c r="Q116" s="7">
        <f t="shared" si="17"/>
        <v>1766.0602103500426</v>
      </c>
      <c r="R116" s="7">
        <f t="shared" si="18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si="20"/>
        <v>114107</v>
      </c>
      <c r="X116" s="103">
        <f t="shared" si="21"/>
        <v>124585</v>
      </c>
      <c r="Y116" s="103"/>
      <c r="Z116" s="7">
        <v>759</v>
      </c>
      <c r="AB116" s="2">
        <v>2936</v>
      </c>
      <c r="AC116" s="103">
        <v>147534</v>
      </c>
      <c r="AD116" s="103">
        <v>117043</v>
      </c>
      <c r="AE116" s="64">
        <f t="shared" si="22"/>
        <v>4.733010695839604E-3</v>
      </c>
      <c r="AF116" s="64">
        <f t="shared" si="23"/>
        <v>1.6305118631614022E-2</v>
      </c>
      <c r="AG116" s="20">
        <f t="shared" ref="AG116:AG121" si="28">+AE116*K116</f>
        <v>7.9684179240039592</v>
      </c>
      <c r="AH116" s="20">
        <f t="shared" ref="AH116:AH121" si="29">+AF116*I116</f>
        <v>29.273122983291042</v>
      </c>
      <c r="AI116" s="22"/>
    </row>
    <row r="117" spans="1:35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7">
        <f t="shared" si="19"/>
        <v>201.26028657698481</v>
      </c>
      <c r="O117" s="7">
        <f t="shared" si="15"/>
        <v>4107</v>
      </c>
      <c r="P117" s="7">
        <f t="shared" si="16"/>
        <v>3905.7397134230155</v>
      </c>
      <c r="Q117" s="7">
        <f t="shared" si="17"/>
        <v>1810.72279547991</v>
      </c>
      <c r="R117" s="7">
        <f t="shared" si="18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0"/>
        <v>147341</v>
      </c>
      <c r="X117" s="103">
        <f t="shared" si="21"/>
        <v>159769</v>
      </c>
      <c r="Y117" s="103"/>
      <c r="Z117" s="7">
        <v>25960</v>
      </c>
      <c r="AB117" s="2">
        <v>2892</v>
      </c>
      <c r="AC117" s="103">
        <v>174509</v>
      </c>
      <c r="AD117" s="103">
        <v>150233</v>
      </c>
      <c r="AE117" s="64">
        <f t="shared" si="22"/>
        <v>0.13685941699281987</v>
      </c>
      <c r="AF117" s="64">
        <f t="shared" si="23"/>
        <v>1.2512563817536761E-2</v>
      </c>
      <c r="AG117" s="20">
        <f t="shared" si="28"/>
        <v>178.31641539022823</v>
      </c>
      <c r="AH117" s="20">
        <f t="shared" si="29"/>
        <v>22.943871186756574</v>
      </c>
      <c r="AI117" s="22"/>
    </row>
    <row r="118" spans="1:35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7">
        <f t="shared" si="19"/>
        <v>26.001637279098972</v>
      </c>
      <c r="O118" s="7">
        <f t="shared" si="15"/>
        <v>2919.166666666667</v>
      </c>
      <c r="P118" s="7">
        <f t="shared" si="16"/>
        <v>2893.1650293875678</v>
      </c>
      <c r="Q118" s="7">
        <f t="shared" si="17"/>
        <v>1363.0259354132118</v>
      </c>
      <c r="R118" s="7">
        <f t="shared" si="18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0"/>
        <v>124905</v>
      </c>
      <c r="X118" s="103">
        <f t="shared" si="21"/>
        <v>137155</v>
      </c>
      <c r="Y118" s="103"/>
      <c r="Z118" s="7">
        <v>181</v>
      </c>
      <c r="AB118" s="2">
        <v>3532</v>
      </c>
      <c r="AC118" s="103">
        <v>87194</v>
      </c>
      <c r="AD118" s="103">
        <v>128437</v>
      </c>
      <c r="AE118" s="64">
        <f t="shared" si="22"/>
        <v>1.9097644333325688E-3</v>
      </c>
      <c r="AF118" s="64">
        <f t="shared" si="23"/>
        <v>1.7874911435178338E-2</v>
      </c>
      <c r="AG118" s="20">
        <f t="shared" si="28"/>
        <v>1.1942393589772997</v>
      </c>
      <c r="AH118" s="20">
        <f t="shared" si="29"/>
        <v>24.807397920121673</v>
      </c>
      <c r="AI118" s="22"/>
    </row>
    <row r="119" spans="1:35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7">
        <f t="shared" si="19"/>
        <v>118.79215017370439</v>
      </c>
      <c r="O119" s="7">
        <f t="shared" si="15"/>
        <v>3076.25</v>
      </c>
      <c r="P119" s="7">
        <f t="shared" si="16"/>
        <v>2957.4578498262958</v>
      </c>
      <c r="Q119" s="7">
        <f t="shared" si="17"/>
        <v>1233.2911831596291</v>
      </c>
      <c r="R119" s="7">
        <f t="shared" si="18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0"/>
        <v>96588</v>
      </c>
      <c r="X119" s="103">
        <f t="shared" si="21"/>
        <v>118043</v>
      </c>
      <c r="Y119" s="103"/>
      <c r="Z119" s="7">
        <v>0</v>
      </c>
      <c r="AB119" s="2">
        <v>15096</v>
      </c>
      <c r="AC119" s="103">
        <v>104441</v>
      </c>
      <c r="AD119" s="103">
        <v>111684</v>
      </c>
      <c r="AE119" s="64">
        <f t="shared" si="22"/>
        <v>0</v>
      </c>
      <c r="AF119" s="64">
        <f t="shared" si="23"/>
        <v>8.7858601052970872E-2</v>
      </c>
      <c r="AG119" s="20">
        <f t="shared" si="28"/>
        <v>0</v>
      </c>
      <c r="AH119" s="20">
        <f t="shared" si="29"/>
        <v>118.79215017370439</v>
      </c>
      <c r="AI119" s="22"/>
    </row>
    <row r="120" spans="1:35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7">
        <f t="shared" si="19"/>
        <v>164.99695468607044</v>
      </c>
      <c r="O120" s="7">
        <f t="shared" si="15"/>
        <v>3169.416666666667</v>
      </c>
      <c r="P120" s="7">
        <f t="shared" si="16"/>
        <v>3004.4197119805958</v>
      </c>
      <c r="Q120" s="7">
        <f t="shared" si="17"/>
        <v>1310.4071997941412</v>
      </c>
      <c r="R120" s="7">
        <f t="shared" si="18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0"/>
        <v>98359</v>
      </c>
      <c r="X120" s="103">
        <f t="shared" si="21"/>
        <v>118024</v>
      </c>
      <c r="Y120" s="103"/>
      <c r="Z120" s="7">
        <v>5975</v>
      </c>
      <c r="AB120" s="2">
        <v>15635</v>
      </c>
      <c r="AC120" s="103">
        <v>109753</v>
      </c>
      <c r="AD120" s="103">
        <v>113994</v>
      </c>
      <c r="AE120" s="64">
        <f t="shared" si="22"/>
        <v>5.0085191293176498E-2</v>
      </c>
      <c r="AF120" s="64">
        <f t="shared" si="23"/>
        <v>8.915162201519379E-2</v>
      </c>
      <c r="AG120" s="20">
        <f t="shared" si="28"/>
        <v>36.737487813544959</v>
      </c>
      <c r="AH120" s="20">
        <f t="shared" si="29"/>
        <v>128.25946687252548</v>
      </c>
      <c r="AI120" s="22"/>
    </row>
    <row r="121" spans="1:35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7">
        <f t="shared" si="19"/>
        <v>233.23236884761451</v>
      </c>
      <c r="O121" s="7">
        <f t="shared" si="15"/>
        <v>3581.0833333333335</v>
      </c>
      <c r="P121" s="7">
        <f t="shared" si="16"/>
        <v>3347.850964485719</v>
      </c>
      <c r="Q121" s="7">
        <f t="shared" si="17"/>
        <v>1452.0703613686037</v>
      </c>
      <c r="R121" s="7">
        <f t="shared" si="18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0"/>
        <v>92032</v>
      </c>
      <c r="X121" s="103">
        <f t="shared" si="21"/>
        <v>113793</v>
      </c>
      <c r="Y121" s="103"/>
      <c r="Z121" s="7">
        <v>14669</v>
      </c>
      <c r="AB121" s="2">
        <v>14120</v>
      </c>
      <c r="AC121" s="103">
        <v>131981</v>
      </c>
      <c r="AD121" s="103">
        <v>106152</v>
      </c>
      <c r="AE121" s="64">
        <f t="shared" si="22"/>
        <v>0.10225320311256923</v>
      </c>
      <c r="AF121" s="64">
        <f t="shared" si="23"/>
        <v>8.6460923958097832E-2</v>
      </c>
      <c r="AG121" s="20">
        <f t="shared" si="28"/>
        <v>95.802730216217995</v>
      </c>
      <c r="AH121" s="20">
        <f t="shared" si="29"/>
        <v>137.42963863139653</v>
      </c>
      <c r="AI121" s="22"/>
    </row>
    <row r="122" spans="1:35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7">
        <f t="shared" si="19"/>
        <v>0</v>
      </c>
      <c r="O122" s="7">
        <f t="shared" si="15"/>
        <v>0</v>
      </c>
      <c r="P122" s="7">
        <f t="shared" si="16"/>
        <v>0</v>
      </c>
      <c r="Q122" s="7">
        <f t="shared" si="17"/>
        <v>0</v>
      </c>
      <c r="R122" s="7">
        <f t="shared" si="18"/>
        <v>0</v>
      </c>
      <c r="T122" s="7"/>
      <c r="U122" s="7"/>
      <c r="V122" s="7"/>
      <c r="W122" s="7">
        <f t="shared" si="20"/>
        <v>0</v>
      </c>
      <c r="X122" s="103">
        <f t="shared" si="21"/>
        <v>0</v>
      </c>
      <c r="Y122" s="103"/>
      <c r="Z122" s="7">
        <v>0</v>
      </c>
      <c r="AB122" s="2">
        <v>0</v>
      </c>
      <c r="AC122" s="103">
        <v>0</v>
      </c>
      <c r="AD122" s="103">
        <v>0</v>
      </c>
      <c r="AE122" s="64" t="e">
        <f t="shared" si="22"/>
        <v>#DIV/0!</v>
      </c>
      <c r="AF122" s="64"/>
      <c r="AG122" s="20"/>
      <c r="AH122" s="20"/>
      <c r="AI122" s="22"/>
    </row>
    <row r="123" spans="1:35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7">
        <f t="shared" si="19"/>
        <v>132.22516860416329</v>
      </c>
      <c r="O123" s="7">
        <f t="shared" si="15"/>
        <v>4170.333333333333</v>
      </c>
      <c r="P123" s="7">
        <f t="shared" si="16"/>
        <v>4038.1081647291703</v>
      </c>
      <c r="Q123" s="7">
        <f t="shared" si="17"/>
        <v>1753.6978774407253</v>
      </c>
      <c r="R123" s="7">
        <f t="shared" si="18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si="20"/>
        <v>137529</v>
      </c>
      <c r="X123" s="103">
        <f t="shared" si="21"/>
        <v>160525</v>
      </c>
      <c r="Y123" s="103"/>
      <c r="Z123" s="7">
        <v>246</v>
      </c>
      <c r="AB123" s="2">
        <v>16387</v>
      </c>
      <c r="AC123" s="103">
        <v>161719</v>
      </c>
      <c r="AD123" s="103">
        <v>153916</v>
      </c>
      <c r="AE123" s="64">
        <f t="shared" si="22"/>
        <v>1.3994645032432802E-3</v>
      </c>
      <c r="AF123" s="64">
        <f t="shared" si="23"/>
        <v>6.9203656539930866E-2</v>
      </c>
      <c r="AG123" s="20">
        <f t="shared" ref="AG123:AG157" si="30">+AE123*K123</f>
        <v>1.8397127115552285</v>
      </c>
      <c r="AH123" s="20">
        <f t="shared" ref="AH123:AH157" si="31">+AF123*I123</f>
        <v>130.38545589260806</v>
      </c>
      <c r="AI123" s="22"/>
    </row>
    <row r="124" spans="1:35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7">
        <f t="shared" si="19"/>
        <v>23.205279052148661</v>
      </c>
      <c r="O124" s="7">
        <f t="shared" si="15"/>
        <v>2690.5833333333335</v>
      </c>
      <c r="P124" s="7">
        <f t="shared" si="16"/>
        <v>2667.3780542811846</v>
      </c>
      <c r="Q124" s="7">
        <f t="shared" si="17"/>
        <v>1318.0447209478514</v>
      </c>
      <c r="R124" s="7">
        <f t="shared" si="18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0"/>
        <v>115633</v>
      </c>
      <c r="X124" s="103">
        <f t="shared" si="21"/>
        <v>123501</v>
      </c>
      <c r="Y124" s="103"/>
      <c r="Z124" s="7">
        <v>0</v>
      </c>
      <c r="AB124" s="2">
        <v>3162</v>
      </c>
      <c r="AC124" s="103">
        <v>104226</v>
      </c>
      <c r="AD124" s="103">
        <v>118795</v>
      </c>
      <c r="AE124" s="64">
        <f t="shared" si="22"/>
        <v>0</v>
      </c>
      <c r="AF124" s="64">
        <f t="shared" si="23"/>
        <v>1.7301233216886234E-2</v>
      </c>
      <c r="AG124" s="20">
        <f t="shared" si="30"/>
        <v>0</v>
      </c>
      <c r="AH124" s="20">
        <f t="shared" si="31"/>
        <v>23.205279052148661</v>
      </c>
      <c r="AI124" s="22"/>
    </row>
    <row r="125" spans="1:35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7">
        <f t="shared" si="19"/>
        <v>7.1975172564912064</v>
      </c>
      <c r="O125" s="7">
        <f t="shared" si="15"/>
        <v>1284.25</v>
      </c>
      <c r="P125" s="7">
        <f t="shared" si="16"/>
        <v>1277.0524827435088</v>
      </c>
      <c r="Q125" s="7">
        <f t="shared" si="17"/>
        <v>594.43276527570788</v>
      </c>
      <c r="R125" s="7">
        <f t="shared" si="18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0"/>
        <v>66199</v>
      </c>
      <c r="X125" s="103">
        <f t="shared" si="21"/>
        <v>74789</v>
      </c>
      <c r="Y125" s="103"/>
      <c r="Z125" s="7">
        <v>360</v>
      </c>
      <c r="AB125" s="2">
        <v>901</v>
      </c>
      <c r="AC125" s="103">
        <v>58542</v>
      </c>
      <c r="AD125" s="103">
        <v>67100</v>
      </c>
      <c r="AE125" s="64">
        <f t="shared" si="22"/>
        <v>5.657476683406785E-3</v>
      </c>
      <c r="AF125" s="64">
        <f t="shared" si="23"/>
        <v>8.7280178837555889E-3</v>
      </c>
      <c r="AG125" s="20">
        <f t="shared" si="30"/>
        <v>1.9636158655324383</v>
      </c>
      <c r="AH125" s="20">
        <f t="shared" si="31"/>
        <v>5.2339013909587679</v>
      </c>
      <c r="AI125" s="22"/>
    </row>
    <row r="126" spans="1:35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7">
        <f t="shared" si="19"/>
        <v>277.23729497015438</v>
      </c>
      <c r="O126" s="7">
        <f t="shared" si="15"/>
        <v>4269</v>
      </c>
      <c r="P126" s="7">
        <f t="shared" si="16"/>
        <v>3991.7627050298452</v>
      </c>
      <c r="Q126" s="7">
        <f t="shared" si="17"/>
        <v>1836.6232717113703</v>
      </c>
      <c r="R126" s="7">
        <f t="shared" si="18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0"/>
        <v>145801</v>
      </c>
      <c r="X126" s="103">
        <f t="shared" si="21"/>
        <v>168460</v>
      </c>
      <c r="Y126" s="103"/>
      <c r="Z126" s="7">
        <v>20841</v>
      </c>
      <c r="AB126" s="2">
        <v>16303</v>
      </c>
      <c r="AC126" s="103">
        <v>188448</v>
      </c>
      <c r="AD126" s="103">
        <v>162104</v>
      </c>
      <c r="AE126" s="64">
        <f t="shared" si="22"/>
        <v>0.10174541518084565</v>
      </c>
      <c r="AF126" s="64">
        <f t="shared" si="23"/>
        <v>6.5371304841336422E-2</v>
      </c>
      <c r="AG126" s="20">
        <f t="shared" si="30"/>
        <v>148.77723334819154</v>
      </c>
      <c r="AH126" s="20">
        <f t="shared" si="31"/>
        <v>128.46006162196284</v>
      </c>
      <c r="AI126" s="22"/>
    </row>
    <row r="127" spans="1:35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7">
        <f t="shared" si="19"/>
        <v>28.0195951716831</v>
      </c>
      <c r="O127" s="7">
        <f t="shared" si="15"/>
        <v>4087.5</v>
      </c>
      <c r="P127" s="7">
        <f t="shared" si="16"/>
        <v>4059.4804048283168</v>
      </c>
      <c r="Q127" s="7">
        <f t="shared" si="17"/>
        <v>1800.1470714949837</v>
      </c>
      <c r="R127" s="7">
        <f t="shared" si="18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0"/>
        <v>150525</v>
      </c>
      <c r="X127" s="103">
        <f t="shared" si="21"/>
        <v>165984</v>
      </c>
      <c r="Y127" s="103"/>
      <c r="Z127" s="7">
        <v>0</v>
      </c>
      <c r="AB127" s="2">
        <v>3635</v>
      </c>
      <c r="AC127" s="103">
        <v>161650</v>
      </c>
      <c r="AD127" s="103">
        <v>154160</v>
      </c>
      <c r="AE127" s="64">
        <f t="shared" si="22"/>
        <v>0</v>
      </c>
      <c r="AF127" s="64">
        <f t="shared" si="23"/>
        <v>1.5326608718214842E-2</v>
      </c>
      <c r="AG127" s="20">
        <f t="shared" si="30"/>
        <v>0</v>
      </c>
      <c r="AH127" s="20">
        <f t="shared" si="31"/>
        <v>28.0195951716831</v>
      </c>
      <c r="AI127" s="22"/>
    </row>
    <row r="128" spans="1:35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7">
        <f t="shared" si="19"/>
        <v>52.319555991963782</v>
      </c>
      <c r="O128" s="7">
        <f t="shared" si="15"/>
        <v>4287.7499999999991</v>
      </c>
      <c r="P128" s="7">
        <f t="shared" si="16"/>
        <v>4235.4304440080359</v>
      </c>
      <c r="Q128" s="7">
        <f t="shared" si="17"/>
        <v>1936.7444001608867</v>
      </c>
      <c r="R128" s="7">
        <f t="shared" si="18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0"/>
        <v>162793</v>
      </c>
      <c r="X128" s="103">
        <f t="shared" si="21"/>
        <v>179698</v>
      </c>
      <c r="Y128" s="103"/>
      <c r="Z128" s="7">
        <v>1324</v>
      </c>
      <c r="AB128" s="2">
        <v>5441</v>
      </c>
      <c r="AC128" s="103">
        <v>162808</v>
      </c>
      <c r="AD128" s="103">
        <v>168234</v>
      </c>
      <c r="AE128" s="64">
        <f t="shared" si="22"/>
        <v>7.4816962311434329E-3</v>
      </c>
      <c r="AF128" s="64">
        <f t="shared" si="23"/>
        <v>2.1022207163831332E-2</v>
      </c>
      <c r="AG128" s="20">
        <f t="shared" si="30"/>
        <v>10.730622819517468</v>
      </c>
      <c r="AH128" s="20">
        <f t="shared" si="31"/>
        <v>41.58893317244631</v>
      </c>
      <c r="AI128" s="22"/>
    </row>
    <row r="129" spans="1:35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7">
        <f t="shared" si="19"/>
        <v>12.021349401941158</v>
      </c>
      <c r="O129" s="7">
        <f t="shared" si="15"/>
        <v>4165.4166666666661</v>
      </c>
      <c r="P129" s="7">
        <f t="shared" si="16"/>
        <v>4153.3953172647252</v>
      </c>
      <c r="Q129" s="7">
        <f t="shared" si="17"/>
        <v>1936.7286505980589</v>
      </c>
      <c r="R129" s="7">
        <f t="shared" si="18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0"/>
        <v>156346</v>
      </c>
      <c r="X129" s="103">
        <f t="shared" si="21"/>
        <v>168583</v>
      </c>
      <c r="Y129" s="103"/>
      <c r="Z129" s="7">
        <v>0</v>
      </c>
      <c r="AB129" s="2">
        <v>1498</v>
      </c>
      <c r="AC129" s="103">
        <v>128509</v>
      </c>
      <c r="AD129" s="103">
        <v>157844</v>
      </c>
      <c r="AE129" s="64">
        <f t="shared" si="22"/>
        <v>0</v>
      </c>
      <c r="AF129" s="64">
        <f t="shared" si="23"/>
        <v>6.1687488913104082E-3</v>
      </c>
      <c r="AG129" s="20">
        <f t="shared" si="30"/>
        <v>0</v>
      </c>
      <c r="AH129" s="20">
        <f t="shared" si="31"/>
        <v>12.021349401941158</v>
      </c>
      <c r="AI129" s="22"/>
    </row>
    <row r="130" spans="1:35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7">
        <f t="shared" si="19"/>
        <v>12.71145505352645</v>
      </c>
      <c r="O130" s="7">
        <f t="shared" ref="O130:O193" si="32">+B130+C130+D130+F130+I130+K130+J130</f>
        <v>4188.25</v>
      </c>
      <c r="P130" s="7">
        <f t="shared" ref="P130:P193" si="33">+B130+C130+D130+F130+J130+Q130+R130</f>
        <v>4175.5385449464738</v>
      </c>
      <c r="Q130" s="7">
        <f t="shared" ref="Q130:Q193" si="34">+I130-AH130</f>
        <v>1917.7885449464738</v>
      </c>
      <c r="R130" s="7">
        <f t="shared" ref="R130:R193" si="35">+K130-AG130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0"/>
        <v>163479</v>
      </c>
      <c r="X130" s="103">
        <f t="shared" si="21"/>
        <v>171544</v>
      </c>
      <c r="Y130" s="103"/>
      <c r="Z130" s="7">
        <v>0</v>
      </c>
      <c r="AB130" s="2">
        <v>1673</v>
      </c>
      <c r="AC130" s="103">
        <v>129422</v>
      </c>
      <c r="AD130" s="103">
        <v>165152</v>
      </c>
      <c r="AE130" s="64">
        <f t="shared" si="22"/>
        <v>0</v>
      </c>
      <c r="AF130" s="64">
        <f t="shared" si="23"/>
        <v>6.5845403022670029E-3</v>
      </c>
      <c r="AG130" s="20">
        <f t="shared" si="30"/>
        <v>0</v>
      </c>
      <c r="AH130" s="20">
        <f t="shared" si="31"/>
        <v>12.71145505352645</v>
      </c>
      <c r="AI130" s="22"/>
    </row>
    <row r="131" spans="1:35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7">
        <f t="shared" ref="N131:N194" si="36">+AH131+AG131</f>
        <v>12.578465597824007</v>
      </c>
      <c r="O131" s="7">
        <f t="shared" si="32"/>
        <v>2556</v>
      </c>
      <c r="P131" s="7">
        <f t="shared" si="33"/>
        <v>2543.4215344021759</v>
      </c>
      <c r="Q131" s="7">
        <f t="shared" si="34"/>
        <v>1430.3382010688426</v>
      </c>
      <c r="R131" s="7">
        <f t="shared" si="35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ref="W131:W194" si="37">+V131-U131-S131+AA131</f>
        <v>111596</v>
      </c>
      <c r="X131" s="103">
        <f t="shared" ref="X131:X194" si="38">+V131+AB131+AA131</f>
        <v>117670</v>
      </c>
      <c r="Y131" s="103"/>
      <c r="Z131" s="7">
        <v>0</v>
      </c>
      <c r="AB131" s="2">
        <v>1517</v>
      </c>
      <c r="AC131" s="103">
        <v>53347</v>
      </c>
      <c r="AD131" s="103">
        <v>113113</v>
      </c>
      <c r="AE131" s="64">
        <f t="shared" ref="AE131:AE194" si="39">+(Z131/AC131*0.92)</f>
        <v>0</v>
      </c>
      <c r="AF131" s="64">
        <f t="shared" ref="AF131:AF194" si="40">+(AB131/AD131*0.65)</f>
        <v>8.7173888058843813E-3</v>
      </c>
      <c r="AG131" s="20">
        <f t="shared" si="30"/>
        <v>0</v>
      </c>
      <c r="AH131" s="20">
        <f t="shared" si="31"/>
        <v>12.578465597824007</v>
      </c>
      <c r="AI131" s="22"/>
    </row>
    <row r="132" spans="1:35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7">
        <f t="shared" si="36"/>
        <v>2.5198747659535283</v>
      </c>
      <c r="O132" s="7">
        <f t="shared" si="32"/>
        <v>1339.8333333333335</v>
      </c>
      <c r="P132" s="7">
        <f t="shared" si="33"/>
        <v>1337.3134585673797</v>
      </c>
      <c r="Q132" s="7">
        <f t="shared" si="34"/>
        <v>558.81345856737983</v>
      </c>
      <c r="R132" s="7">
        <f t="shared" si="35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37"/>
        <v>64708</v>
      </c>
      <c r="X132" s="103">
        <f t="shared" si="38"/>
        <v>69342</v>
      </c>
      <c r="Y132" s="103"/>
      <c r="Z132" s="7">
        <v>0</v>
      </c>
      <c r="AB132" s="2">
        <v>450</v>
      </c>
      <c r="AC132" s="103">
        <v>48145</v>
      </c>
      <c r="AD132" s="103">
        <v>65158</v>
      </c>
      <c r="AE132" s="64">
        <f t="shared" si="39"/>
        <v>0</v>
      </c>
      <c r="AF132" s="64">
        <f t="shared" si="40"/>
        <v>4.4890880628625802E-3</v>
      </c>
      <c r="AG132" s="20">
        <f t="shared" si="30"/>
        <v>0</v>
      </c>
      <c r="AH132" s="20">
        <f t="shared" si="31"/>
        <v>2.5198747659535283</v>
      </c>
      <c r="AI132" s="22"/>
    </row>
    <row r="133" spans="1:35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7">
        <f t="shared" si="36"/>
        <v>135.8331133157761</v>
      </c>
      <c r="O133" s="7">
        <f t="shared" si="32"/>
        <v>5161.916666666667</v>
      </c>
      <c r="P133" s="7">
        <f t="shared" si="33"/>
        <v>5026.0835533508907</v>
      </c>
      <c r="Q133" s="7">
        <f t="shared" si="34"/>
        <v>2189.5835533508907</v>
      </c>
      <c r="R133" s="7">
        <f t="shared" si="35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37"/>
        <v>171757</v>
      </c>
      <c r="X133" s="103">
        <f t="shared" si="38"/>
        <v>200496</v>
      </c>
      <c r="Y133" s="103"/>
      <c r="Z133" s="7">
        <v>0</v>
      </c>
      <c r="AB133" s="2">
        <v>16959</v>
      </c>
      <c r="AC133" s="103">
        <v>155006</v>
      </c>
      <c r="AD133" s="103">
        <v>188716</v>
      </c>
      <c r="AE133" s="64">
        <f t="shared" si="39"/>
        <v>0</v>
      </c>
      <c r="AF133" s="64">
        <f t="shared" si="40"/>
        <v>5.8412376269102784E-2</v>
      </c>
      <c r="AG133" s="20">
        <f t="shared" si="30"/>
        <v>0</v>
      </c>
      <c r="AH133" s="20">
        <f t="shared" si="31"/>
        <v>135.8331133157761</v>
      </c>
      <c r="AI133" s="22"/>
    </row>
    <row r="134" spans="1:35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7">
        <f t="shared" si="36"/>
        <v>18.920420564854201</v>
      </c>
      <c r="O134" s="7">
        <f t="shared" si="32"/>
        <v>4563.1666666666661</v>
      </c>
      <c r="P134" s="7">
        <f t="shared" si="33"/>
        <v>4544.2462461018122</v>
      </c>
      <c r="Q134" s="7">
        <f t="shared" si="34"/>
        <v>1800.7462461018124</v>
      </c>
      <c r="R134" s="7">
        <f t="shared" si="35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37"/>
        <v>138098</v>
      </c>
      <c r="X134" s="103">
        <f t="shared" si="38"/>
        <v>153713</v>
      </c>
      <c r="Y134" s="103"/>
      <c r="Z134" s="7">
        <v>0</v>
      </c>
      <c r="AB134" s="2">
        <v>2245</v>
      </c>
      <c r="AC134" s="103">
        <v>137152</v>
      </c>
      <c r="AD134" s="103">
        <v>140343</v>
      </c>
      <c r="AE134" s="64">
        <f t="shared" si="39"/>
        <v>0</v>
      </c>
      <c r="AF134" s="64">
        <f t="shared" si="40"/>
        <v>1.0397739823147574E-2</v>
      </c>
      <c r="AG134" s="20">
        <f t="shared" si="30"/>
        <v>0</v>
      </c>
      <c r="AH134" s="20">
        <f t="shared" si="31"/>
        <v>18.920420564854201</v>
      </c>
      <c r="AI134" s="22"/>
    </row>
    <row r="135" spans="1:35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7">
        <f t="shared" si="36"/>
        <v>8.0779841898253295</v>
      </c>
      <c r="O135" s="7">
        <f t="shared" si="32"/>
        <v>4493.833333333333</v>
      </c>
      <c r="P135" s="7">
        <f t="shared" si="33"/>
        <v>4485.7553491435083</v>
      </c>
      <c r="Q135" s="7">
        <f t="shared" si="34"/>
        <v>1911.5142152173219</v>
      </c>
      <c r="R135" s="7">
        <f t="shared" si="35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37"/>
        <v>155781</v>
      </c>
      <c r="X135" s="103">
        <f t="shared" si="38"/>
        <v>167963</v>
      </c>
      <c r="Y135" s="103"/>
      <c r="Z135" s="7">
        <v>1</v>
      </c>
      <c r="AB135" s="2">
        <v>1014</v>
      </c>
      <c r="AC135" s="103">
        <v>157206</v>
      </c>
      <c r="AD135" s="103">
        <v>156795</v>
      </c>
      <c r="AE135" s="64">
        <f t="shared" si="39"/>
        <v>5.8521939366181956E-6</v>
      </c>
      <c r="AF135" s="64">
        <f t="shared" si="40"/>
        <v>4.2035779202142928E-3</v>
      </c>
      <c r="AG135" s="20">
        <f t="shared" si="30"/>
        <v>8.8660738139765653E-3</v>
      </c>
      <c r="AH135" s="20">
        <f t="shared" si="31"/>
        <v>8.069118116011353</v>
      </c>
      <c r="AI135" s="22"/>
    </row>
    <row r="136" spans="1:35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7">
        <f t="shared" si="36"/>
        <v>11.35171591987757</v>
      </c>
      <c r="O136" s="7">
        <f t="shared" si="32"/>
        <v>4282</v>
      </c>
      <c r="P136" s="7">
        <f t="shared" si="33"/>
        <v>4270.6482840801227</v>
      </c>
      <c r="Q136" s="7">
        <f t="shared" si="34"/>
        <v>1901.481617413456</v>
      </c>
      <c r="R136" s="7">
        <f t="shared" si="35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37"/>
        <v>170499</v>
      </c>
      <c r="X136" s="103">
        <f t="shared" si="38"/>
        <v>184208</v>
      </c>
      <c r="Y136" s="103"/>
      <c r="Z136" s="7">
        <v>0</v>
      </c>
      <c r="AB136" s="2">
        <v>1571</v>
      </c>
      <c r="AC136" s="103">
        <v>137931</v>
      </c>
      <c r="AD136" s="103">
        <v>172070</v>
      </c>
      <c r="AE136" s="64">
        <f t="shared" si="39"/>
        <v>0</v>
      </c>
      <c r="AF136" s="64">
        <f t="shared" si="40"/>
        <v>5.9345033997791593E-3</v>
      </c>
      <c r="AG136" s="20">
        <f t="shared" si="30"/>
        <v>0</v>
      </c>
      <c r="AH136" s="20">
        <f t="shared" si="31"/>
        <v>11.35171591987757</v>
      </c>
      <c r="AI136" s="22"/>
    </row>
    <row r="137" spans="1:35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7">
        <f t="shared" si="36"/>
        <v>15.03269754535898</v>
      </c>
      <c r="O137" s="7">
        <f t="shared" si="32"/>
        <v>4279.5000000000009</v>
      </c>
      <c r="P137" s="7">
        <f t="shared" si="33"/>
        <v>4264.467302454641</v>
      </c>
      <c r="Q137" s="7">
        <f t="shared" si="34"/>
        <v>1836.3839691213075</v>
      </c>
      <c r="R137" s="7">
        <f t="shared" si="35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37"/>
        <v>144668</v>
      </c>
      <c r="X137" s="103">
        <f t="shared" si="38"/>
        <v>154502</v>
      </c>
      <c r="Y137" s="103"/>
      <c r="Z137" s="7">
        <v>0</v>
      </c>
      <c r="AB137" s="2">
        <v>1830</v>
      </c>
      <c r="AC137" s="103">
        <v>146870</v>
      </c>
      <c r="AD137" s="103">
        <v>146498</v>
      </c>
      <c r="AE137" s="64">
        <f t="shared" si="39"/>
        <v>0</v>
      </c>
      <c r="AF137" s="64">
        <f t="shared" si="40"/>
        <v>8.1195647722153205E-3</v>
      </c>
      <c r="AG137" s="20">
        <f t="shared" si="30"/>
        <v>0</v>
      </c>
      <c r="AH137" s="20">
        <f t="shared" si="31"/>
        <v>15.03269754535898</v>
      </c>
      <c r="AI137" s="22"/>
    </row>
    <row r="138" spans="1:35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7">
        <f t="shared" si="36"/>
        <v>16.459564099769288</v>
      </c>
      <c r="O138" s="7">
        <f t="shared" si="32"/>
        <v>2679.5833333333335</v>
      </c>
      <c r="P138" s="7">
        <f t="shared" si="33"/>
        <v>2663.123769233564</v>
      </c>
      <c r="Q138" s="7">
        <f t="shared" si="34"/>
        <v>1180.0404359002307</v>
      </c>
      <c r="R138" s="7">
        <f t="shared" si="35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37"/>
        <v>107764</v>
      </c>
      <c r="X138" s="103">
        <f t="shared" si="38"/>
        <v>115669</v>
      </c>
      <c r="Y138" s="103"/>
      <c r="Z138" s="7">
        <v>0</v>
      </c>
      <c r="AB138" s="2">
        <v>2330</v>
      </c>
      <c r="AC138" s="103">
        <v>91390</v>
      </c>
      <c r="AD138" s="103">
        <v>110094</v>
      </c>
      <c r="AE138" s="64">
        <f t="shared" si="39"/>
        <v>0</v>
      </c>
      <c r="AF138" s="64">
        <f t="shared" si="40"/>
        <v>1.3756426326593638E-2</v>
      </c>
      <c r="AG138" s="20">
        <f t="shared" si="30"/>
        <v>0</v>
      </c>
      <c r="AH138" s="20">
        <f t="shared" si="31"/>
        <v>16.459564099769288</v>
      </c>
      <c r="AI138" s="22"/>
    </row>
    <row r="139" spans="1:35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7">
        <f t="shared" si="36"/>
        <v>6.9280666122936347</v>
      </c>
      <c r="O139" s="7">
        <f t="shared" si="32"/>
        <v>1418.7499999999998</v>
      </c>
      <c r="P139" s="7">
        <f t="shared" si="33"/>
        <v>1411.8219333877062</v>
      </c>
      <c r="Q139" s="7">
        <f t="shared" si="34"/>
        <v>605.65526672103965</v>
      </c>
      <c r="R139" s="7">
        <f t="shared" si="35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37"/>
        <v>61443</v>
      </c>
      <c r="X139" s="103">
        <f t="shared" si="38"/>
        <v>68451</v>
      </c>
      <c r="Y139" s="103"/>
      <c r="Z139" s="7">
        <v>0</v>
      </c>
      <c r="AB139" s="2">
        <v>1088</v>
      </c>
      <c r="AC139" s="103">
        <v>50435</v>
      </c>
      <c r="AD139" s="103">
        <v>62531</v>
      </c>
      <c r="AE139" s="64">
        <f t="shared" si="39"/>
        <v>0</v>
      </c>
      <c r="AF139" s="64">
        <f t="shared" si="40"/>
        <v>1.1309590443140203E-2</v>
      </c>
      <c r="AG139" s="20">
        <f t="shared" si="30"/>
        <v>0</v>
      </c>
      <c r="AH139" s="20">
        <f t="shared" si="31"/>
        <v>6.9280666122936347</v>
      </c>
      <c r="AI139" s="22"/>
    </row>
    <row r="140" spans="1:35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7">
        <f t="shared" si="36"/>
        <v>19.85635614940556</v>
      </c>
      <c r="O140" s="7">
        <f t="shared" si="32"/>
        <v>5278.6666666666661</v>
      </c>
      <c r="P140" s="7">
        <f t="shared" si="33"/>
        <v>5258.8103105172604</v>
      </c>
      <c r="Q140" s="7">
        <f t="shared" si="34"/>
        <v>1957.3103105172606</v>
      </c>
      <c r="R140" s="7">
        <f t="shared" si="35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37"/>
        <v>149175</v>
      </c>
      <c r="X140" s="103">
        <f t="shared" si="38"/>
        <v>161698</v>
      </c>
      <c r="Y140" s="103"/>
      <c r="Z140" s="7">
        <v>0</v>
      </c>
      <c r="AB140" s="2">
        <v>2341</v>
      </c>
      <c r="AC140" s="103">
        <v>193913</v>
      </c>
      <c r="AD140" s="103">
        <v>151516</v>
      </c>
      <c r="AE140" s="64">
        <f t="shared" si="39"/>
        <v>0</v>
      </c>
      <c r="AF140" s="64">
        <f t="shared" si="40"/>
        <v>1.0042833760130944E-2</v>
      </c>
      <c r="AG140" s="20">
        <f t="shared" si="30"/>
        <v>0</v>
      </c>
      <c r="AH140" s="20">
        <f t="shared" si="31"/>
        <v>19.85635614940556</v>
      </c>
      <c r="AI140" s="22"/>
    </row>
    <row r="141" spans="1:35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7">
        <f t="shared" si="36"/>
        <v>13.140374374292085</v>
      </c>
      <c r="O141" s="7">
        <f t="shared" si="32"/>
        <v>4829.083333333333</v>
      </c>
      <c r="P141" s="7">
        <f t="shared" si="33"/>
        <v>4815.9429589590409</v>
      </c>
      <c r="Q141" s="7">
        <f t="shared" si="34"/>
        <v>2091.0262922923748</v>
      </c>
      <c r="R141" s="7">
        <f t="shared" si="35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37"/>
        <v>180707</v>
      </c>
      <c r="X141" s="103">
        <f t="shared" si="38"/>
        <v>194175</v>
      </c>
      <c r="Y141" s="103"/>
      <c r="Z141" s="7">
        <v>0</v>
      </c>
      <c r="AB141" s="2">
        <v>1753</v>
      </c>
      <c r="AC141" s="103">
        <v>157970</v>
      </c>
      <c r="AD141" s="103">
        <v>182460</v>
      </c>
      <c r="AE141" s="64">
        <f t="shared" si="39"/>
        <v>0</v>
      </c>
      <c r="AF141" s="64">
        <f t="shared" si="40"/>
        <v>6.2449303957031682E-3</v>
      </c>
      <c r="AG141" s="20">
        <f t="shared" si="30"/>
        <v>0</v>
      </c>
      <c r="AH141" s="20">
        <f t="shared" si="31"/>
        <v>13.140374374292085</v>
      </c>
      <c r="AI141" s="22"/>
    </row>
    <row r="142" spans="1:35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7">
        <f t="shared" si="36"/>
        <v>21.384503837735075</v>
      </c>
      <c r="O142" s="7">
        <f t="shared" si="32"/>
        <v>5236.7499999999991</v>
      </c>
      <c r="P142" s="7">
        <f t="shared" si="33"/>
        <v>5215.3654961622651</v>
      </c>
      <c r="Q142" s="7">
        <f t="shared" si="34"/>
        <v>2108.4488294955986</v>
      </c>
      <c r="R142" s="7">
        <f t="shared" si="35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37"/>
        <v>171073</v>
      </c>
      <c r="X142" s="103">
        <f t="shared" si="38"/>
        <v>184357</v>
      </c>
      <c r="Y142" s="103"/>
      <c r="Z142" s="7">
        <v>0</v>
      </c>
      <c r="AB142" s="2">
        <v>2684</v>
      </c>
      <c r="AC142" s="103">
        <v>192183</v>
      </c>
      <c r="AD142" s="103">
        <v>173757</v>
      </c>
      <c r="AE142" s="64">
        <f t="shared" si="39"/>
        <v>0</v>
      </c>
      <c r="AF142" s="64">
        <f t="shared" si="40"/>
        <v>1.0040458801659789E-2</v>
      </c>
      <c r="AG142" s="20">
        <f t="shared" si="30"/>
        <v>0</v>
      </c>
      <c r="AH142" s="20">
        <f t="shared" si="31"/>
        <v>21.384503837735075</v>
      </c>
      <c r="AI142" s="22"/>
    </row>
    <row r="143" spans="1:35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7">
        <f t="shared" si="36"/>
        <v>15.93778504781532</v>
      </c>
      <c r="O143" s="7">
        <f t="shared" si="32"/>
        <v>4849</v>
      </c>
      <c r="P143" s="7">
        <f t="shared" si="33"/>
        <v>4833.0622149521851</v>
      </c>
      <c r="Q143" s="7">
        <f t="shared" si="34"/>
        <v>2046.6455482855181</v>
      </c>
      <c r="R143" s="7">
        <f t="shared" si="35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37"/>
        <v>188432</v>
      </c>
      <c r="X143" s="103">
        <f t="shared" si="38"/>
        <v>202925</v>
      </c>
      <c r="Y143" s="103"/>
      <c r="Z143" s="7">
        <v>0</v>
      </c>
      <c r="AB143" s="2">
        <v>2267</v>
      </c>
      <c r="AC143" s="103">
        <v>157367</v>
      </c>
      <c r="AD143" s="103">
        <v>190699</v>
      </c>
      <c r="AE143" s="64">
        <f t="shared" si="39"/>
        <v>0</v>
      </c>
      <c r="AF143" s="64">
        <f t="shared" si="40"/>
        <v>7.7270987262649518E-3</v>
      </c>
      <c r="AG143" s="20">
        <f t="shared" si="30"/>
        <v>0</v>
      </c>
      <c r="AH143" s="20">
        <f t="shared" si="31"/>
        <v>15.93778504781532</v>
      </c>
      <c r="AI143" s="22"/>
    </row>
    <row r="144" spans="1:35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7">
        <f t="shared" si="36"/>
        <v>12.524566865471039</v>
      </c>
      <c r="O144" s="7">
        <f t="shared" si="32"/>
        <v>4411.75</v>
      </c>
      <c r="P144" s="7">
        <f t="shared" si="33"/>
        <v>4399.2254331345293</v>
      </c>
      <c r="Q144" s="7">
        <f t="shared" si="34"/>
        <v>1815.2254331345289</v>
      </c>
      <c r="R144" s="7">
        <f t="shared" si="35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37"/>
        <v>164906</v>
      </c>
      <c r="X144" s="103">
        <f t="shared" si="38"/>
        <v>176237</v>
      </c>
      <c r="Y144" s="103"/>
      <c r="Z144" s="7">
        <v>0</v>
      </c>
      <c r="AB144" s="2">
        <v>1757</v>
      </c>
      <c r="AC144" s="103">
        <v>130880</v>
      </c>
      <c r="AD144" s="103">
        <v>166663</v>
      </c>
      <c r="AE144" s="64">
        <f t="shared" si="39"/>
        <v>0</v>
      </c>
      <c r="AF144" s="64">
        <f t="shared" si="40"/>
        <v>6.8524507539165858E-3</v>
      </c>
      <c r="AG144" s="20">
        <f t="shared" si="30"/>
        <v>0</v>
      </c>
      <c r="AH144" s="20">
        <f t="shared" si="31"/>
        <v>12.524566865471039</v>
      </c>
      <c r="AI144" s="22"/>
    </row>
    <row r="145" spans="1:35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7">
        <f t="shared" si="36"/>
        <v>15.44115253491697</v>
      </c>
      <c r="O145" s="7">
        <f t="shared" si="32"/>
        <v>3895.3333333333335</v>
      </c>
      <c r="P145" s="7">
        <f t="shared" si="33"/>
        <v>3879.8921807984166</v>
      </c>
      <c r="Q145" s="7">
        <f t="shared" si="34"/>
        <v>1299.2255141317498</v>
      </c>
      <c r="R145" s="7">
        <f t="shared" si="35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37"/>
        <v>116073</v>
      </c>
      <c r="X145" s="103">
        <f t="shared" si="38"/>
        <v>122700</v>
      </c>
      <c r="Y145" s="103"/>
      <c r="Z145" s="7">
        <v>0</v>
      </c>
      <c r="AB145" s="2">
        <v>2136</v>
      </c>
      <c r="AC145" s="103">
        <v>145419</v>
      </c>
      <c r="AD145" s="103">
        <v>118209</v>
      </c>
      <c r="AE145" s="64">
        <f t="shared" si="39"/>
        <v>0</v>
      </c>
      <c r="AF145" s="64">
        <f t="shared" si="40"/>
        <v>1.1745298581326296E-2</v>
      </c>
      <c r="AG145" s="20">
        <f t="shared" si="30"/>
        <v>0</v>
      </c>
      <c r="AH145" s="20">
        <f t="shared" si="31"/>
        <v>15.44115253491697</v>
      </c>
      <c r="AI145" s="22"/>
    </row>
    <row r="146" spans="1:35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7">
        <f t="shared" si="36"/>
        <v>9.1952768815890256</v>
      </c>
      <c r="O146" s="7">
        <f t="shared" si="32"/>
        <v>1557.5833333333335</v>
      </c>
      <c r="P146" s="7">
        <f t="shared" si="33"/>
        <v>1548.3880564517444</v>
      </c>
      <c r="Q146" s="7">
        <f t="shared" si="34"/>
        <v>645.05472311841106</v>
      </c>
      <c r="R146" s="7">
        <f t="shared" si="35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37"/>
        <v>60044</v>
      </c>
      <c r="X146" s="103">
        <f t="shared" si="38"/>
        <v>67145</v>
      </c>
      <c r="Y146" s="103"/>
      <c r="Z146" s="7">
        <v>0</v>
      </c>
      <c r="AB146" s="2">
        <v>1327</v>
      </c>
      <c r="AC146" s="103">
        <v>50562</v>
      </c>
      <c r="AD146" s="103">
        <v>61371</v>
      </c>
      <c r="AE146" s="64">
        <f t="shared" si="39"/>
        <v>0</v>
      </c>
      <c r="AF146" s="64">
        <f t="shared" si="40"/>
        <v>1.4054683808313373E-2</v>
      </c>
      <c r="AG146" s="20">
        <f t="shared" si="30"/>
        <v>0</v>
      </c>
      <c r="AH146" s="20">
        <f t="shared" si="31"/>
        <v>9.1952768815890256</v>
      </c>
      <c r="AI146" s="22"/>
    </row>
    <row r="147" spans="1:35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7">
        <f t="shared" si="36"/>
        <v>17.659058510214042</v>
      </c>
      <c r="O147" s="7">
        <f t="shared" si="32"/>
        <v>5328.1666666666661</v>
      </c>
      <c r="P147" s="7">
        <f t="shared" si="33"/>
        <v>5310.5076081564521</v>
      </c>
      <c r="Q147" s="7">
        <f t="shared" si="34"/>
        <v>2072.674274823119</v>
      </c>
      <c r="R147" s="7">
        <f t="shared" si="35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37"/>
        <v>169122</v>
      </c>
      <c r="X147" s="103">
        <f t="shared" si="38"/>
        <v>183290</v>
      </c>
      <c r="Y147" s="103"/>
      <c r="Z147" s="7">
        <v>0</v>
      </c>
      <c r="AB147" s="2">
        <v>2227</v>
      </c>
      <c r="AC147" s="103">
        <v>196963</v>
      </c>
      <c r="AD147" s="103">
        <v>171349</v>
      </c>
      <c r="AE147" s="64">
        <f t="shared" si="39"/>
        <v>0</v>
      </c>
      <c r="AF147" s="64">
        <f t="shared" si="40"/>
        <v>8.4479629294597573E-3</v>
      </c>
      <c r="AG147" s="20">
        <f t="shared" si="30"/>
        <v>0</v>
      </c>
      <c r="AH147" s="20">
        <f t="shared" si="31"/>
        <v>17.659058510214042</v>
      </c>
      <c r="AI147" s="22"/>
    </row>
    <row r="148" spans="1:35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7">
        <f t="shared" si="36"/>
        <v>12.158780786605757</v>
      </c>
      <c r="O148" s="7">
        <f t="shared" si="32"/>
        <v>5470.8333333333339</v>
      </c>
      <c r="P148" s="7">
        <f t="shared" si="33"/>
        <v>5458.6745525467277</v>
      </c>
      <c r="Q148" s="7">
        <f t="shared" si="34"/>
        <v>2065.2578858800612</v>
      </c>
      <c r="R148" s="7">
        <f t="shared" si="35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37"/>
        <v>194141</v>
      </c>
      <c r="X148" s="103">
        <f t="shared" si="38"/>
        <v>211448</v>
      </c>
      <c r="Y148" s="103"/>
      <c r="Z148" s="7">
        <v>0</v>
      </c>
      <c r="AB148" s="2">
        <v>1764</v>
      </c>
      <c r="AC148" s="103">
        <v>202646</v>
      </c>
      <c r="AD148" s="103">
        <v>195905</v>
      </c>
      <c r="AE148" s="64">
        <f t="shared" si="39"/>
        <v>0</v>
      </c>
      <c r="AF148" s="64">
        <f t="shared" si="40"/>
        <v>5.852836834179833E-3</v>
      </c>
      <c r="AG148" s="20">
        <f t="shared" si="30"/>
        <v>0</v>
      </c>
      <c r="AH148" s="20">
        <f t="shared" si="31"/>
        <v>12.158780786605757</v>
      </c>
      <c r="AI148" s="22"/>
    </row>
    <row r="149" spans="1:35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7">
        <f t="shared" si="36"/>
        <v>9.8357949320271896</v>
      </c>
      <c r="O149" s="7">
        <f t="shared" si="32"/>
        <v>5428.8333333333339</v>
      </c>
      <c r="P149" s="7">
        <f t="shared" si="33"/>
        <v>5418.9975384013069</v>
      </c>
      <c r="Q149" s="7">
        <f t="shared" si="34"/>
        <v>2051.1642050679729</v>
      </c>
      <c r="R149" s="7">
        <f t="shared" si="35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37"/>
        <v>198611</v>
      </c>
      <c r="X149" s="103">
        <f t="shared" si="38"/>
        <v>213572</v>
      </c>
      <c r="Y149" s="103"/>
      <c r="Z149" s="7">
        <v>0</v>
      </c>
      <c r="AB149" s="2">
        <v>1469</v>
      </c>
      <c r="AC149" s="103">
        <v>206613</v>
      </c>
      <c r="AD149" s="103">
        <v>200080</v>
      </c>
      <c r="AE149" s="64">
        <f t="shared" si="39"/>
        <v>0</v>
      </c>
      <c r="AF149" s="64">
        <f t="shared" si="40"/>
        <v>4.7723410635745703E-3</v>
      </c>
      <c r="AG149" s="20">
        <f t="shared" si="30"/>
        <v>0</v>
      </c>
      <c r="AH149" s="20">
        <f t="shared" si="31"/>
        <v>9.8357949320271896</v>
      </c>
      <c r="AI149" s="22"/>
    </row>
    <row r="150" spans="1:35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7">
        <f t="shared" si="36"/>
        <v>12.668574723584975</v>
      </c>
      <c r="O150" s="7">
        <f t="shared" si="32"/>
        <v>5474.833333333333</v>
      </c>
      <c r="P150" s="7">
        <f t="shared" si="33"/>
        <v>5462.1647586097479</v>
      </c>
      <c r="Q150" s="7">
        <f t="shared" si="34"/>
        <v>2089.8314252764148</v>
      </c>
      <c r="R150" s="7">
        <f t="shared" si="35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37"/>
        <v>202956</v>
      </c>
      <c r="X150" s="103">
        <f t="shared" si="38"/>
        <v>213646</v>
      </c>
      <c r="Y150" s="103"/>
      <c r="Z150" s="7">
        <v>0</v>
      </c>
      <c r="AB150" s="2">
        <v>1899</v>
      </c>
      <c r="AC150" s="103">
        <v>206702</v>
      </c>
      <c r="AD150" s="103">
        <v>204855</v>
      </c>
      <c r="AE150" s="64">
        <f t="shared" si="39"/>
        <v>0</v>
      </c>
      <c r="AF150" s="64">
        <f t="shared" si="40"/>
        <v>6.0254814380903566E-3</v>
      </c>
      <c r="AG150" s="20">
        <f t="shared" si="30"/>
        <v>0</v>
      </c>
      <c r="AH150" s="20">
        <f t="shared" si="31"/>
        <v>12.668574723584975</v>
      </c>
      <c r="AI150" s="22"/>
    </row>
    <row r="151" spans="1:35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7">
        <f t="shared" si="36"/>
        <v>11.198626058495753</v>
      </c>
      <c r="O151" s="7">
        <f t="shared" si="32"/>
        <v>5410.0833333333339</v>
      </c>
      <c r="P151" s="7">
        <f t="shared" si="33"/>
        <v>5398.8847072748376</v>
      </c>
      <c r="Q151" s="7">
        <f t="shared" si="34"/>
        <v>2111.5513739415046</v>
      </c>
      <c r="R151" s="7">
        <f t="shared" si="35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37"/>
        <v>194559</v>
      </c>
      <c r="X151" s="103">
        <f t="shared" si="38"/>
        <v>206946</v>
      </c>
      <c r="Y151" s="103"/>
      <c r="Z151" s="7">
        <v>0</v>
      </c>
      <c r="AB151" s="2">
        <v>1592</v>
      </c>
      <c r="AC151" s="103">
        <v>197727</v>
      </c>
      <c r="AD151" s="103">
        <v>196151</v>
      </c>
      <c r="AE151" s="64">
        <f t="shared" si="39"/>
        <v>0</v>
      </c>
      <c r="AF151" s="64">
        <f t="shared" si="40"/>
        <v>5.2755275272621605E-3</v>
      </c>
      <c r="AG151" s="20">
        <f t="shared" si="30"/>
        <v>0</v>
      </c>
      <c r="AH151" s="20">
        <f t="shared" si="31"/>
        <v>11.198626058495753</v>
      </c>
      <c r="AI151" s="22"/>
    </row>
    <row r="152" spans="1:35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7">
        <f t="shared" si="36"/>
        <v>6.266152991286484</v>
      </c>
      <c r="O152" s="7">
        <f t="shared" si="32"/>
        <v>5651.9166666666661</v>
      </c>
      <c r="P152" s="7">
        <f t="shared" si="33"/>
        <v>5645.6505136753804</v>
      </c>
      <c r="Q152" s="7">
        <f t="shared" si="34"/>
        <v>2525.4838470087134</v>
      </c>
      <c r="R152" s="7">
        <f t="shared" si="35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37"/>
        <v>224996</v>
      </c>
      <c r="X152" s="103">
        <f t="shared" si="38"/>
        <v>237238</v>
      </c>
      <c r="Y152" s="103"/>
      <c r="Z152" s="7">
        <v>0</v>
      </c>
      <c r="AB152" s="2">
        <v>860</v>
      </c>
      <c r="AC152" s="103">
        <v>197735</v>
      </c>
      <c r="AD152" s="103">
        <v>225856</v>
      </c>
      <c r="AE152" s="64">
        <f t="shared" si="39"/>
        <v>0</v>
      </c>
      <c r="AF152" s="64">
        <f t="shared" si="40"/>
        <v>2.4750283366392748E-3</v>
      </c>
      <c r="AG152" s="20">
        <f t="shared" si="30"/>
        <v>0</v>
      </c>
      <c r="AH152" s="20">
        <f t="shared" si="31"/>
        <v>6.266152991286484</v>
      </c>
      <c r="AI152" s="22"/>
    </row>
    <row r="153" spans="1:35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7">
        <f t="shared" si="36"/>
        <v>6.6681802060989863</v>
      </c>
      <c r="O153" s="7">
        <f t="shared" si="32"/>
        <v>4580.1666666666661</v>
      </c>
      <c r="P153" s="7">
        <f t="shared" si="33"/>
        <v>4573.4984864605676</v>
      </c>
      <c r="Q153" s="7">
        <f t="shared" si="34"/>
        <v>1999.8318197939011</v>
      </c>
      <c r="R153" s="7">
        <f t="shared" si="35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37"/>
        <v>175325</v>
      </c>
      <c r="X153" s="103">
        <f t="shared" si="38"/>
        <v>187680</v>
      </c>
      <c r="Y153" s="103"/>
      <c r="Z153" s="7">
        <v>0</v>
      </c>
      <c r="AB153" s="2">
        <v>901</v>
      </c>
      <c r="AC153" s="103">
        <v>171962</v>
      </c>
      <c r="AD153" s="103">
        <v>176226</v>
      </c>
      <c r="AE153" s="64">
        <f t="shared" si="39"/>
        <v>0</v>
      </c>
      <c r="AF153" s="64">
        <f t="shared" si="40"/>
        <v>3.3232894124590015E-3</v>
      </c>
      <c r="AG153" s="20">
        <f t="shared" si="30"/>
        <v>0</v>
      </c>
      <c r="AH153" s="20">
        <f t="shared" si="31"/>
        <v>6.6681802060989863</v>
      </c>
      <c r="AI153" s="22"/>
    </row>
    <row r="154" spans="1:35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7">
        <f t="shared" si="36"/>
        <v>12.67773727722542</v>
      </c>
      <c r="O154" s="7">
        <f t="shared" si="32"/>
        <v>4415.9166666666661</v>
      </c>
      <c r="P154" s="7">
        <f t="shared" si="33"/>
        <v>4403.2389293894412</v>
      </c>
      <c r="Q154" s="7">
        <f t="shared" si="34"/>
        <v>2041.9889293894412</v>
      </c>
      <c r="R154" s="7">
        <f t="shared" si="35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37"/>
        <v>191577</v>
      </c>
      <c r="X154" s="103">
        <f t="shared" si="38"/>
        <v>206743</v>
      </c>
      <c r="Y154" s="103"/>
      <c r="Z154" s="7">
        <v>0</v>
      </c>
      <c r="AB154" s="2">
        <v>1836</v>
      </c>
      <c r="AC154" s="103">
        <v>131012</v>
      </c>
      <c r="AD154" s="103">
        <v>193413</v>
      </c>
      <c r="AE154" s="64">
        <f t="shared" si="39"/>
        <v>0</v>
      </c>
      <c r="AF154" s="64">
        <f t="shared" si="40"/>
        <v>6.1702160661382642E-3</v>
      </c>
      <c r="AG154" s="20">
        <f t="shared" si="30"/>
        <v>0</v>
      </c>
      <c r="AH154" s="20">
        <f t="shared" si="31"/>
        <v>12.67773727722542</v>
      </c>
      <c r="AI154" s="22"/>
    </row>
    <row r="155" spans="1:35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7">
        <f t="shared" si="36"/>
        <v>8.6731210812722583</v>
      </c>
      <c r="O155" s="7">
        <f t="shared" si="32"/>
        <v>3913.5</v>
      </c>
      <c r="P155" s="7">
        <f t="shared" si="33"/>
        <v>3904.8268789187277</v>
      </c>
      <c r="Q155" s="7">
        <f t="shared" si="34"/>
        <v>1636.160212252061</v>
      </c>
      <c r="R155" s="7">
        <f t="shared" si="35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si="37"/>
        <v>147703</v>
      </c>
      <c r="X155" s="103">
        <f t="shared" si="38"/>
        <v>162268</v>
      </c>
      <c r="Y155" s="103"/>
      <c r="Z155" s="7">
        <v>0</v>
      </c>
      <c r="AB155" s="2">
        <v>1208</v>
      </c>
      <c r="AC155" s="103">
        <v>99030</v>
      </c>
      <c r="AD155" s="103">
        <v>148911</v>
      </c>
      <c r="AE155" s="64">
        <f t="shared" si="39"/>
        <v>0</v>
      </c>
      <c r="AF155" s="64">
        <f t="shared" si="40"/>
        <v>5.2729482711149616E-3</v>
      </c>
      <c r="AG155" s="20">
        <f t="shared" si="30"/>
        <v>0</v>
      </c>
      <c r="AH155" s="20">
        <f t="shared" si="31"/>
        <v>8.6731210812722583</v>
      </c>
      <c r="AI155" s="22"/>
    </row>
    <row r="156" spans="1:35" customFormat="1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7">
        <f t="shared" si="36"/>
        <v>12.775294480696706</v>
      </c>
      <c r="O156" s="7">
        <f t="shared" si="32"/>
        <v>3266.666666666667</v>
      </c>
      <c r="P156" s="7">
        <f t="shared" si="33"/>
        <v>3253.8913721859703</v>
      </c>
      <c r="Q156" s="7">
        <f t="shared" si="34"/>
        <v>1229.8080388526369</v>
      </c>
      <c r="R156" s="7">
        <f t="shared" si="35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7"/>
        <v>79333</v>
      </c>
      <c r="X156" s="103">
        <f t="shared" si="38"/>
        <v>85896</v>
      </c>
      <c r="Y156" s="103"/>
      <c r="Z156" s="7">
        <v>0</v>
      </c>
      <c r="AA156" s="7"/>
      <c r="AB156" s="2">
        <v>1275</v>
      </c>
      <c r="AC156" s="103">
        <v>68905</v>
      </c>
      <c r="AD156" s="103">
        <v>80608</v>
      </c>
      <c r="AE156" s="64">
        <f t="shared" si="39"/>
        <v>0</v>
      </c>
      <c r="AF156" s="64">
        <f t="shared" si="40"/>
        <v>1.0281237594283446E-2</v>
      </c>
      <c r="AG156" s="20">
        <f t="shared" si="30"/>
        <v>0</v>
      </c>
      <c r="AH156" s="20">
        <f t="shared" si="31"/>
        <v>12.775294480696706</v>
      </c>
      <c r="AI156" s="22"/>
    </row>
    <row r="157" spans="1:35" customFormat="1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7">
        <f t="shared" si="36"/>
        <v>8.3318668861866829</v>
      </c>
      <c r="O157" s="7">
        <f t="shared" si="32"/>
        <v>1706.0833333333335</v>
      </c>
      <c r="P157" s="7">
        <f t="shared" si="33"/>
        <v>1697.7514664471469</v>
      </c>
      <c r="Q157" s="7">
        <f t="shared" si="34"/>
        <v>611.08479978048001</v>
      </c>
      <c r="R157" s="7">
        <f t="shared" si="35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7"/>
        <v>39704</v>
      </c>
      <c r="X157" s="103">
        <f t="shared" si="38"/>
        <v>43934</v>
      </c>
      <c r="Y157" s="103"/>
      <c r="Z157" s="7">
        <v>0</v>
      </c>
      <c r="AA157" s="7"/>
      <c r="AB157" s="2">
        <v>839</v>
      </c>
      <c r="AC157" s="103">
        <v>36317</v>
      </c>
      <c r="AD157" s="103">
        <v>40543</v>
      </c>
      <c r="AE157" s="64">
        <f t="shared" si="39"/>
        <v>0</v>
      </c>
      <c r="AF157" s="64">
        <f t="shared" si="40"/>
        <v>1.3451150630195101E-2</v>
      </c>
      <c r="AG157" s="20">
        <f t="shared" si="30"/>
        <v>0</v>
      </c>
      <c r="AH157" s="20">
        <f t="shared" si="31"/>
        <v>8.3318668861866829</v>
      </c>
      <c r="AI157" s="22"/>
    </row>
    <row r="158" spans="1:35" customFormat="1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7">
        <f t="shared" si="36"/>
        <v>0</v>
      </c>
      <c r="O158" s="7">
        <f t="shared" si="32"/>
        <v>0</v>
      </c>
      <c r="P158" s="7">
        <f t="shared" si="33"/>
        <v>0</v>
      </c>
      <c r="Q158" s="7">
        <f t="shared" si="34"/>
        <v>0</v>
      </c>
      <c r="R158" s="7">
        <f t="shared" si="35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7"/>
        <v>0</v>
      </c>
      <c r="X158" s="103">
        <f t="shared" si="38"/>
        <v>0</v>
      </c>
      <c r="Y158" s="103"/>
      <c r="Z158" s="7">
        <v>0</v>
      </c>
      <c r="AA158" s="7"/>
      <c r="AB158" s="2">
        <v>0</v>
      </c>
      <c r="AC158" s="103">
        <v>0</v>
      </c>
      <c r="AD158" s="103">
        <v>0</v>
      </c>
      <c r="AE158" s="64" t="e">
        <f t="shared" si="39"/>
        <v>#DIV/0!</v>
      </c>
      <c r="AF158" s="64"/>
      <c r="AG158" s="20"/>
      <c r="AH158" s="20"/>
      <c r="AI158" s="22"/>
    </row>
    <row r="159" spans="1:35" customFormat="1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7">
        <f t="shared" si="36"/>
        <v>0</v>
      </c>
      <c r="O159" s="7">
        <f t="shared" si="32"/>
        <v>0</v>
      </c>
      <c r="P159" s="7">
        <f t="shared" si="33"/>
        <v>0</v>
      </c>
      <c r="Q159" s="7">
        <f t="shared" si="34"/>
        <v>0</v>
      </c>
      <c r="R159" s="7">
        <f t="shared" si="35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7"/>
        <v>0</v>
      </c>
      <c r="X159" s="103">
        <f t="shared" si="38"/>
        <v>0</v>
      </c>
      <c r="Y159" s="103"/>
      <c r="Z159" s="7">
        <v>0</v>
      </c>
      <c r="AA159" s="7"/>
      <c r="AB159" s="2">
        <v>0</v>
      </c>
      <c r="AC159" s="103">
        <v>0</v>
      </c>
      <c r="AD159" s="103">
        <v>0</v>
      </c>
      <c r="AE159" s="64" t="e">
        <f t="shared" si="39"/>
        <v>#DIV/0!</v>
      </c>
      <c r="AF159" s="64"/>
      <c r="AG159" s="20"/>
      <c r="AH159" s="20"/>
      <c r="AI159" s="22"/>
    </row>
    <row r="160" spans="1:35" customFormat="1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7">
        <f t="shared" si="36"/>
        <v>0</v>
      </c>
      <c r="O160" s="7">
        <f t="shared" si="32"/>
        <v>0</v>
      </c>
      <c r="P160" s="7">
        <f t="shared" si="33"/>
        <v>0</v>
      </c>
      <c r="Q160" s="7">
        <f t="shared" si="34"/>
        <v>0</v>
      </c>
      <c r="R160" s="7">
        <f t="shared" si="35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7"/>
        <v>0</v>
      </c>
      <c r="X160" s="103">
        <f t="shared" si="38"/>
        <v>0</v>
      </c>
      <c r="Y160" s="103"/>
      <c r="Z160" s="7">
        <v>0</v>
      </c>
      <c r="AA160" s="7"/>
      <c r="AB160" s="2">
        <v>0</v>
      </c>
      <c r="AC160" s="103">
        <v>0</v>
      </c>
      <c r="AD160" s="103">
        <v>0</v>
      </c>
      <c r="AE160" s="64" t="e">
        <f t="shared" si="39"/>
        <v>#DIV/0!</v>
      </c>
      <c r="AF160" s="64"/>
      <c r="AG160" s="20"/>
      <c r="AH160" s="20"/>
      <c r="AI160" s="22"/>
    </row>
    <row r="161" spans="1:35" customFormat="1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7">
        <f t="shared" si="36"/>
        <v>0</v>
      </c>
      <c r="O161" s="7">
        <f t="shared" si="32"/>
        <v>0</v>
      </c>
      <c r="P161" s="7">
        <f t="shared" si="33"/>
        <v>0</v>
      </c>
      <c r="Q161" s="7">
        <f t="shared" si="34"/>
        <v>0</v>
      </c>
      <c r="R161" s="7">
        <f t="shared" si="35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7"/>
        <v>0</v>
      </c>
      <c r="X161" s="103">
        <f t="shared" si="38"/>
        <v>0</v>
      </c>
      <c r="Y161" s="103"/>
      <c r="Z161" s="7">
        <v>0</v>
      </c>
      <c r="AA161" s="7"/>
      <c r="AB161" s="2">
        <v>0</v>
      </c>
      <c r="AC161" s="103">
        <v>0</v>
      </c>
      <c r="AD161" s="103">
        <v>0</v>
      </c>
      <c r="AE161" s="64" t="e">
        <f t="shared" si="39"/>
        <v>#DIV/0!</v>
      </c>
      <c r="AF161" s="64"/>
      <c r="AG161" s="20"/>
      <c r="AH161" s="20"/>
      <c r="AI161" s="22"/>
    </row>
    <row r="162" spans="1:35" customFormat="1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7">
        <f t="shared" si="36"/>
        <v>38.729540794738249</v>
      </c>
      <c r="O162" s="7">
        <f t="shared" si="32"/>
        <v>4655.5</v>
      </c>
      <c r="P162" s="7">
        <f t="shared" si="33"/>
        <v>4616.7704592052614</v>
      </c>
      <c r="Q162" s="7">
        <f t="shared" si="34"/>
        <v>1649.1871258719282</v>
      </c>
      <c r="R162" s="7">
        <f t="shared" si="35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7"/>
        <v>103356</v>
      </c>
      <c r="X162" s="103">
        <f t="shared" si="38"/>
        <v>115252</v>
      </c>
      <c r="Y162" s="103"/>
      <c r="Z162" s="7">
        <v>0</v>
      </c>
      <c r="AA162" s="7"/>
      <c r="AB162" s="2">
        <v>3782</v>
      </c>
      <c r="AC162" s="103">
        <v>163488</v>
      </c>
      <c r="AD162" s="103">
        <v>107138</v>
      </c>
      <c r="AE162" s="64">
        <f t="shared" si="39"/>
        <v>0</v>
      </c>
      <c r="AF162" s="64">
        <f t="shared" si="40"/>
        <v>2.2945173514532659E-2</v>
      </c>
      <c r="AG162" s="20">
        <f t="shared" ref="AG162:AG196" si="41">+AE162*K162</f>
        <v>0</v>
      </c>
      <c r="AH162" s="20">
        <f t="shared" ref="AH162:AH196" si="42">+AF162*I162</f>
        <v>38.729540794738249</v>
      </c>
      <c r="AI162" s="22"/>
    </row>
    <row r="163" spans="1:35" customFormat="1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7">
        <f t="shared" si="36"/>
        <v>36.172564224271547</v>
      </c>
      <c r="O163" s="7">
        <f t="shared" si="32"/>
        <v>4979.8333333333339</v>
      </c>
      <c r="P163" s="7">
        <f t="shared" si="33"/>
        <v>4943.6607691090621</v>
      </c>
      <c r="Q163" s="7">
        <f t="shared" si="34"/>
        <v>2117.0774357757286</v>
      </c>
      <c r="R163" s="7">
        <f t="shared" si="35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7"/>
        <v>175987</v>
      </c>
      <c r="X163" s="103">
        <f t="shared" si="38"/>
        <v>190850</v>
      </c>
      <c r="Y163" s="103"/>
      <c r="Z163" s="7">
        <v>0</v>
      </c>
      <c r="AA163" s="7"/>
      <c r="AB163" s="2">
        <v>4669</v>
      </c>
      <c r="AC163" s="103">
        <v>160871</v>
      </c>
      <c r="AD163" s="103">
        <v>180656</v>
      </c>
      <c r="AE163" s="64">
        <f t="shared" si="39"/>
        <v>0</v>
      </c>
      <c r="AF163" s="64">
        <f t="shared" si="40"/>
        <v>1.6799054556726596E-2</v>
      </c>
      <c r="AG163" s="20">
        <f t="shared" si="41"/>
        <v>0</v>
      </c>
      <c r="AH163" s="20">
        <f t="shared" si="42"/>
        <v>36.172564224271547</v>
      </c>
      <c r="AI163" s="22"/>
    </row>
    <row r="164" spans="1:35" customFormat="1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7">
        <f t="shared" si="36"/>
        <v>17.725593940675022</v>
      </c>
      <c r="O164" s="7">
        <f t="shared" si="32"/>
        <v>5029.6666666666661</v>
      </c>
      <c r="P164" s="7">
        <f t="shared" si="33"/>
        <v>5011.941072725991</v>
      </c>
      <c r="Q164" s="7">
        <f t="shared" si="34"/>
        <v>2052.6910727259919</v>
      </c>
      <c r="R164" s="7">
        <f t="shared" si="35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7"/>
        <v>179739</v>
      </c>
      <c r="X164" s="103">
        <f t="shared" si="38"/>
        <v>190826</v>
      </c>
      <c r="Y164" s="103"/>
      <c r="Z164" s="7">
        <v>0</v>
      </c>
      <c r="AA164" s="7"/>
      <c r="AB164" s="2">
        <v>2399</v>
      </c>
      <c r="AC164" s="103">
        <v>173561</v>
      </c>
      <c r="AD164" s="103">
        <v>182138</v>
      </c>
      <c r="AE164" s="64">
        <f t="shared" si="39"/>
        <v>0</v>
      </c>
      <c r="AF164" s="64">
        <f t="shared" si="40"/>
        <v>8.561365557983508E-3</v>
      </c>
      <c r="AG164" s="20">
        <f t="shared" si="41"/>
        <v>0</v>
      </c>
      <c r="AH164" s="20">
        <f t="shared" si="42"/>
        <v>17.725593940675022</v>
      </c>
      <c r="AI164" s="22"/>
    </row>
    <row r="165" spans="1:35" customFormat="1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7">
        <f t="shared" si="36"/>
        <v>9.2921926290244912</v>
      </c>
      <c r="O165" s="7">
        <f t="shared" si="32"/>
        <v>5177.5</v>
      </c>
      <c r="P165" s="7">
        <f t="shared" si="33"/>
        <v>5168.2078073709754</v>
      </c>
      <c r="Q165" s="7">
        <f t="shared" si="34"/>
        <v>2109.6244740376419</v>
      </c>
      <c r="R165" s="7">
        <f t="shared" si="35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7"/>
        <v>178726</v>
      </c>
      <c r="X165" s="103">
        <f t="shared" si="38"/>
        <v>186095</v>
      </c>
      <c r="Y165" s="103"/>
      <c r="Z165" s="7">
        <v>0</v>
      </c>
      <c r="AA165" s="7"/>
      <c r="AB165" s="2">
        <v>1214</v>
      </c>
      <c r="AC165" s="103">
        <v>180107</v>
      </c>
      <c r="AD165" s="103">
        <v>179940</v>
      </c>
      <c r="AE165" s="64">
        <f t="shared" si="39"/>
        <v>0</v>
      </c>
      <c r="AF165" s="64">
        <f t="shared" si="40"/>
        <v>4.3853506724463717E-3</v>
      </c>
      <c r="AG165" s="20">
        <f t="shared" si="41"/>
        <v>0</v>
      </c>
      <c r="AH165" s="20">
        <f t="shared" si="42"/>
        <v>9.2921926290244912</v>
      </c>
      <c r="AI165" s="22"/>
    </row>
    <row r="166" spans="1:35" customFormat="1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7">
        <f t="shared" si="36"/>
        <v>6.6833647475439806</v>
      </c>
      <c r="O166" s="7">
        <f t="shared" si="32"/>
        <v>5372.2500000000009</v>
      </c>
      <c r="P166" s="7">
        <f t="shared" si="33"/>
        <v>5365.5666352524568</v>
      </c>
      <c r="Q166" s="7">
        <f t="shared" si="34"/>
        <v>2136.3999685857893</v>
      </c>
      <c r="R166" s="7">
        <f t="shared" si="35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7"/>
        <v>198924</v>
      </c>
      <c r="X166" s="103">
        <f t="shared" si="38"/>
        <v>205995</v>
      </c>
      <c r="Y166" s="103"/>
      <c r="Z166" s="7">
        <v>0</v>
      </c>
      <c r="AA166" s="7"/>
      <c r="AB166" s="2">
        <v>959</v>
      </c>
      <c r="AC166" s="103">
        <v>189171</v>
      </c>
      <c r="AD166" s="103">
        <v>199883</v>
      </c>
      <c r="AE166" s="64">
        <f t="shared" si="39"/>
        <v>0</v>
      </c>
      <c r="AF166" s="64">
        <f t="shared" si="40"/>
        <v>3.1185743660041127E-3</v>
      </c>
      <c r="AG166" s="20">
        <f t="shared" si="41"/>
        <v>0</v>
      </c>
      <c r="AH166" s="20">
        <f t="shared" si="42"/>
        <v>6.6833647475439806</v>
      </c>
      <c r="AI166" s="22"/>
    </row>
    <row r="167" spans="1:35" customFormat="1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7">
        <f t="shared" si="36"/>
        <v>4.3440805368413207</v>
      </c>
      <c r="O167" s="7">
        <f t="shared" si="32"/>
        <v>4733.75</v>
      </c>
      <c r="P167" s="7">
        <f t="shared" si="33"/>
        <v>4729.4059194631573</v>
      </c>
      <c r="Q167" s="7">
        <f t="shared" si="34"/>
        <v>2074.9059194631582</v>
      </c>
      <c r="R167" s="7">
        <f t="shared" si="35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7"/>
        <v>187310</v>
      </c>
      <c r="X167" s="103">
        <f t="shared" si="38"/>
        <v>192365</v>
      </c>
      <c r="Y167" s="103"/>
      <c r="Z167" s="7">
        <v>0</v>
      </c>
      <c r="AA167" s="7"/>
      <c r="AB167" s="2">
        <v>604</v>
      </c>
      <c r="AC167" s="103">
        <v>173851</v>
      </c>
      <c r="AD167" s="103">
        <v>187914</v>
      </c>
      <c r="AE167" s="64">
        <f t="shared" si="39"/>
        <v>0</v>
      </c>
      <c r="AF167" s="64">
        <f t="shared" si="40"/>
        <v>2.089253594729504E-3</v>
      </c>
      <c r="AG167" s="20">
        <f t="shared" si="41"/>
        <v>0</v>
      </c>
      <c r="AH167" s="20">
        <f t="shared" si="42"/>
        <v>4.3440805368413207</v>
      </c>
      <c r="AI167" s="22"/>
    </row>
    <row r="168" spans="1:35" customFormat="1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7">
        <f t="shared" si="36"/>
        <v>8.266318820169996</v>
      </c>
      <c r="O168" s="7">
        <f t="shared" si="32"/>
        <v>4652.916666666667</v>
      </c>
      <c r="P168" s="7">
        <f t="shared" si="33"/>
        <v>4644.6503478464974</v>
      </c>
      <c r="Q168" s="7">
        <f t="shared" si="34"/>
        <v>2064.98368117983</v>
      </c>
      <c r="R168" s="7">
        <f t="shared" si="35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7"/>
        <v>178551</v>
      </c>
      <c r="X168" s="103">
        <f t="shared" si="38"/>
        <v>189360</v>
      </c>
      <c r="Y168" s="103"/>
      <c r="Z168" s="7">
        <v>0</v>
      </c>
      <c r="AA168" s="7"/>
      <c r="AB168" s="2">
        <v>1102</v>
      </c>
      <c r="AC168" s="103">
        <v>149019</v>
      </c>
      <c r="AD168" s="103">
        <v>179653</v>
      </c>
      <c r="AE168" s="64">
        <f t="shared" si="39"/>
        <v>0</v>
      </c>
      <c r="AF168" s="64">
        <f t="shared" si="40"/>
        <v>3.9871307464946319E-3</v>
      </c>
      <c r="AG168" s="20">
        <f t="shared" si="41"/>
        <v>0</v>
      </c>
      <c r="AH168" s="20">
        <f t="shared" si="42"/>
        <v>8.266318820169996</v>
      </c>
      <c r="AI168" s="22"/>
    </row>
    <row r="169" spans="1:35" customFormat="1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7">
        <f t="shared" si="36"/>
        <v>66.202298005999836</v>
      </c>
      <c r="O169" s="7">
        <f t="shared" si="32"/>
        <v>4748.583333333333</v>
      </c>
      <c r="P169" s="7">
        <f t="shared" si="33"/>
        <v>4682.3810353273329</v>
      </c>
      <c r="Q169" s="7">
        <f t="shared" si="34"/>
        <v>2083.2277155174816</v>
      </c>
      <c r="R169" s="7">
        <f t="shared" si="35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7"/>
        <v>178492</v>
      </c>
      <c r="X169" s="103">
        <f t="shared" si="38"/>
        <v>187350</v>
      </c>
      <c r="Y169" s="103"/>
      <c r="Z169" s="7">
        <v>6290</v>
      </c>
      <c r="AA169" s="7"/>
      <c r="AB169" s="2">
        <v>751</v>
      </c>
      <c r="AC169" s="103">
        <v>162680</v>
      </c>
      <c r="AD169" s="103">
        <v>179243</v>
      </c>
      <c r="AE169" s="64">
        <f t="shared" si="39"/>
        <v>3.5571674452913697E-2</v>
      </c>
      <c r="AF169" s="64">
        <f t="shared" si="40"/>
        <v>2.7233978453830832E-3</v>
      </c>
      <c r="AG169" s="20">
        <f t="shared" si="41"/>
        <v>60.513346856815019</v>
      </c>
      <c r="AH169" s="20">
        <f t="shared" si="42"/>
        <v>5.6889511491848115</v>
      </c>
      <c r="AI169" s="22"/>
    </row>
    <row r="170" spans="1:35" customFormat="1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7">
        <f t="shared" si="36"/>
        <v>133.09058875796012</v>
      </c>
      <c r="O170" s="7">
        <f t="shared" si="32"/>
        <v>5172.333333333333</v>
      </c>
      <c r="P170" s="7">
        <f t="shared" si="33"/>
        <v>5039.2427445753729</v>
      </c>
      <c r="Q170" s="7">
        <f t="shared" si="34"/>
        <v>2281.3770054499478</v>
      </c>
      <c r="R170" s="7">
        <f t="shared" si="35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7"/>
        <v>164118</v>
      </c>
      <c r="X170" s="103">
        <f t="shared" si="38"/>
        <v>176527</v>
      </c>
      <c r="Y170" s="103"/>
      <c r="Z170" s="7">
        <v>13261</v>
      </c>
      <c r="AA170" s="7"/>
      <c r="AB170" s="2">
        <v>1327</v>
      </c>
      <c r="AC170" s="103">
        <v>185149</v>
      </c>
      <c r="AD170" s="103">
        <v>165445</v>
      </c>
      <c r="AE170" s="64">
        <f t="shared" si="39"/>
        <v>6.5893523594510367E-2</v>
      </c>
      <c r="AF170" s="64">
        <f t="shared" si="40"/>
        <v>5.2135150654295985E-3</v>
      </c>
      <c r="AG170" s="20">
        <f t="shared" si="41"/>
        <v>121.13426087457491</v>
      </c>
      <c r="AH170" s="20">
        <f t="shared" si="42"/>
        <v>11.95632788338521</v>
      </c>
      <c r="AI170" s="22"/>
    </row>
    <row r="171" spans="1:35" customFormat="1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7">
        <f t="shared" si="36"/>
        <v>576.79934701665456</v>
      </c>
      <c r="O171" s="7">
        <f t="shared" si="32"/>
        <v>5093.416666666667</v>
      </c>
      <c r="P171" s="7">
        <f t="shared" si="33"/>
        <v>4516.6173196500122</v>
      </c>
      <c r="Q171" s="7">
        <f t="shared" si="34"/>
        <v>1895.6943351338393</v>
      </c>
      <c r="R171" s="7">
        <f t="shared" si="35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7"/>
        <v>169164</v>
      </c>
      <c r="X171" s="103">
        <f t="shared" si="38"/>
        <v>214254</v>
      </c>
      <c r="Y171" s="103"/>
      <c r="Z171" s="7">
        <v>41502</v>
      </c>
      <c r="AA171" s="7"/>
      <c r="AB171" s="2">
        <v>35223</v>
      </c>
      <c r="AC171" s="103">
        <v>226193</v>
      </c>
      <c r="AD171" s="103">
        <v>204387</v>
      </c>
      <c r="AE171" s="64">
        <f t="shared" si="39"/>
        <v>0.16880204073512442</v>
      </c>
      <c r="AF171" s="64">
        <f t="shared" si="40"/>
        <v>0.11201764300077793</v>
      </c>
      <c r="AG171" s="20">
        <f t="shared" si="41"/>
        <v>337.66034881716052</v>
      </c>
      <c r="AH171" s="20">
        <f t="shared" si="42"/>
        <v>239.1389981994941</v>
      </c>
      <c r="AI171" s="22"/>
    </row>
    <row r="172" spans="1:35" customFormat="1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7">
        <f t="shared" si="36"/>
        <v>470.65553141720238</v>
      </c>
      <c r="O172" s="7">
        <f t="shared" si="32"/>
        <v>4387.833333333333</v>
      </c>
      <c r="P172" s="7">
        <f t="shared" si="33"/>
        <v>3917.1778019161302</v>
      </c>
      <c r="Q172" s="7">
        <f t="shared" si="34"/>
        <v>1515.8871560297141</v>
      </c>
      <c r="R172" s="7">
        <f t="shared" si="35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7"/>
        <v>120202</v>
      </c>
      <c r="X172" s="103">
        <f t="shared" si="38"/>
        <v>158649</v>
      </c>
      <c r="Y172" s="103"/>
      <c r="Z172" s="7">
        <v>27661</v>
      </c>
      <c r="AA172" s="7"/>
      <c r="AB172" s="2">
        <v>30029</v>
      </c>
      <c r="AC172" s="103">
        <v>169937</v>
      </c>
      <c r="AD172" s="103">
        <v>150231</v>
      </c>
      <c r="AE172" s="64">
        <f t="shared" si="39"/>
        <v>0.14975031923595217</v>
      </c>
      <c r="AF172" s="64">
        <f t="shared" si="40"/>
        <v>0.12992558127150855</v>
      </c>
      <c r="AG172" s="20">
        <f t="shared" si="41"/>
        <v>244.29268744691663</v>
      </c>
      <c r="AH172" s="20">
        <f t="shared" si="42"/>
        <v>226.36284397028575</v>
      </c>
      <c r="AI172" s="22"/>
    </row>
    <row r="173" spans="1:35" customFormat="1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7">
        <f t="shared" si="36"/>
        <v>255.54025107584448</v>
      </c>
      <c r="O173" s="7">
        <f t="shared" si="32"/>
        <v>3351.1666666666665</v>
      </c>
      <c r="P173" s="7">
        <f t="shared" si="33"/>
        <v>3095.626415590822</v>
      </c>
      <c r="Q173" s="7">
        <f t="shared" si="34"/>
        <v>1218.9074760460267</v>
      </c>
      <c r="R173" s="7">
        <f t="shared" si="35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7"/>
        <v>112206</v>
      </c>
      <c r="X173" s="103">
        <f t="shared" si="38"/>
        <v>141784</v>
      </c>
      <c r="Y173" s="103"/>
      <c r="Z173" s="7">
        <v>8888</v>
      </c>
      <c r="AA173" s="7"/>
      <c r="AB173" s="2">
        <v>24932</v>
      </c>
      <c r="AC173" s="103">
        <v>114498</v>
      </c>
      <c r="AD173" s="103">
        <v>137138</v>
      </c>
      <c r="AE173" s="64">
        <f t="shared" si="39"/>
        <v>7.1415745253192192E-2</v>
      </c>
      <c r="AF173" s="64">
        <f t="shared" si="40"/>
        <v>0.11817147690647377</v>
      </c>
      <c r="AG173" s="20">
        <f t="shared" si="41"/>
        <v>92.197727121871125</v>
      </c>
      <c r="AH173" s="20">
        <f t="shared" si="42"/>
        <v>163.34252395397337</v>
      </c>
      <c r="AI173" s="22"/>
    </row>
    <row r="174" spans="1:35" customFormat="1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7">
        <f t="shared" si="36"/>
        <v>0</v>
      </c>
      <c r="O174" s="7">
        <f t="shared" si="32"/>
        <v>1318.25</v>
      </c>
      <c r="P174" s="7">
        <f t="shared" si="33"/>
        <v>1318.25</v>
      </c>
      <c r="Q174" s="7">
        <f t="shared" si="34"/>
        <v>611.25</v>
      </c>
      <c r="R174" s="7">
        <f t="shared" si="35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7"/>
        <v>53146</v>
      </c>
      <c r="X174" s="103">
        <f t="shared" si="38"/>
        <v>56689</v>
      </c>
      <c r="Y174" s="103"/>
      <c r="Z174" s="7">
        <v>0</v>
      </c>
      <c r="AA174" s="7"/>
      <c r="AB174" s="2">
        <v>0</v>
      </c>
      <c r="AC174" s="103">
        <v>39818</v>
      </c>
      <c r="AD174" s="103">
        <v>53146</v>
      </c>
      <c r="AE174" s="64">
        <f t="shared" si="39"/>
        <v>0</v>
      </c>
      <c r="AF174" s="64">
        <f t="shared" si="40"/>
        <v>0</v>
      </c>
      <c r="AG174" s="20">
        <f t="shared" si="41"/>
        <v>0</v>
      </c>
      <c r="AH174" s="20">
        <f t="shared" si="42"/>
        <v>0</v>
      </c>
      <c r="AI174" s="22"/>
    </row>
    <row r="175" spans="1:35" customFormat="1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7">
        <f t="shared" si="36"/>
        <v>26.488158241016663</v>
      </c>
      <c r="O175" s="7">
        <f t="shared" si="32"/>
        <v>4817.0000000000009</v>
      </c>
      <c r="P175" s="7">
        <f t="shared" si="33"/>
        <v>4790.5118417589838</v>
      </c>
      <c r="Q175" s="7">
        <f t="shared" si="34"/>
        <v>1692.3807116953765</v>
      </c>
      <c r="R175" s="7">
        <f t="shared" si="35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7"/>
        <v>127975</v>
      </c>
      <c r="X175" s="103">
        <f t="shared" si="38"/>
        <v>137509</v>
      </c>
      <c r="Y175" s="103"/>
      <c r="Z175" s="7">
        <v>723</v>
      </c>
      <c r="AA175" s="7"/>
      <c r="AB175" s="2">
        <v>2179</v>
      </c>
      <c r="AC175" s="103">
        <v>178282</v>
      </c>
      <c r="AD175" s="103">
        <v>130154</v>
      </c>
      <c r="AE175" s="64">
        <f t="shared" si="39"/>
        <v>3.7309431125968971E-3</v>
      </c>
      <c r="AF175" s="64">
        <f t="shared" si="40"/>
        <v>1.0882108886396118E-2</v>
      </c>
      <c r="AG175" s="20">
        <f t="shared" si="41"/>
        <v>7.8688699363929064</v>
      </c>
      <c r="AH175" s="20">
        <f t="shared" si="42"/>
        <v>18.619288304623758</v>
      </c>
      <c r="AI175" s="22"/>
    </row>
    <row r="176" spans="1:35" customFormat="1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7">
        <f t="shared" si="36"/>
        <v>8.8964659373614001</v>
      </c>
      <c r="O176" s="7">
        <f t="shared" si="32"/>
        <v>4407.25</v>
      </c>
      <c r="P176" s="7">
        <f t="shared" si="33"/>
        <v>4398.3535340626386</v>
      </c>
      <c r="Q176" s="7">
        <f t="shared" si="34"/>
        <v>1708.4885298741492</v>
      </c>
      <c r="R176" s="7">
        <f t="shared" si="35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7"/>
        <v>121036</v>
      </c>
      <c r="X176" s="103">
        <f t="shared" si="38"/>
        <v>131670</v>
      </c>
      <c r="Y176" s="103"/>
      <c r="Z176" s="7">
        <v>163</v>
      </c>
      <c r="AA176" s="7"/>
      <c r="AB176" s="2">
        <v>775</v>
      </c>
      <c r="AC176" s="103">
        <v>137281</v>
      </c>
      <c r="AD176" s="103">
        <v>121811</v>
      </c>
      <c r="AE176" s="64">
        <f t="shared" si="39"/>
        <v>1.0923580102126297E-3</v>
      </c>
      <c r="AF176" s="64">
        <f t="shared" si="40"/>
        <v>4.1355050036532004E-3</v>
      </c>
      <c r="AG176" s="20">
        <f t="shared" si="41"/>
        <v>1.8016624781773638</v>
      </c>
      <c r="AH176" s="20">
        <f t="shared" si="42"/>
        <v>7.0948034591840363</v>
      </c>
      <c r="AI176" s="22"/>
    </row>
    <row r="177" spans="1:35" customFormat="1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7">
        <f t="shared" si="36"/>
        <v>22.110185676064951</v>
      </c>
      <c r="O177" s="7">
        <f t="shared" si="32"/>
        <v>4567.833333333333</v>
      </c>
      <c r="P177" s="7">
        <f t="shared" si="33"/>
        <v>4545.7231476572679</v>
      </c>
      <c r="Q177" s="7">
        <f t="shared" si="34"/>
        <v>1913.6170910085943</v>
      </c>
      <c r="R177" s="7">
        <f t="shared" si="35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7"/>
        <v>159463</v>
      </c>
      <c r="X177" s="103">
        <f t="shared" si="38"/>
        <v>170743</v>
      </c>
      <c r="Y177" s="103"/>
      <c r="Z177" s="7">
        <v>1170</v>
      </c>
      <c r="AA177" s="7"/>
      <c r="AB177" s="2">
        <v>1335</v>
      </c>
      <c r="AC177" s="103">
        <v>137832</v>
      </c>
      <c r="AD177" s="103">
        <v>160798</v>
      </c>
      <c r="AE177" s="64">
        <f t="shared" si="39"/>
        <v>7.8095072261884042E-3</v>
      </c>
      <c r="AF177" s="64">
        <f t="shared" si="40"/>
        <v>5.3965223448052832E-3</v>
      </c>
      <c r="AG177" s="20">
        <f t="shared" si="41"/>
        <v>11.727276684659586</v>
      </c>
      <c r="AH177" s="20">
        <f t="shared" si="42"/>
        <v>10.382908991405364</v>
      </c>
      <c r="AI177" s="22"/>
    </row>
    <row r="178" spans="1:35" customFormat="1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7">
        <f t="shared" si="36"/>
        <v>458.28601138513392</v>
      </c>
      <c r="O178" s="7">
        <f t="shared" si="32"/>
        <v>4381.9166666666661</v>
      </c>
      <c r="P178" s="7">
        <f t="shared" si="33"/>
        <v>3923.6306552815327</v>
      </c>
      <c r="Q178" s="7">
        <f t="shared" si="34"/>
        <v>1426.629423108443</v>
      </c>
      <c r="R178" s="7">
        <f t="shared" si="35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7"/>
        <v>125346</v>
      </c>
      <c r="X178" s="103">
        <f t="shared" si="38"/>
        <v>156646</v>
      </c>
      <c r="Y178" s="103"/>
      <c r="Z178" s="7">
        <v>39372</v>
      </c>
      <c r="AA178" s="7"/>
      <c r="AB178" s="2">
        <v>21081</v>
      </c>
      <c r="AC178" s="103">
        <v>209094</v>
      </c>
      <c r="AD178" s="103">
        <v>146427</v>
      </c>
      <c r="AE178" s="64">
        <f t="shared" si="39"/>
        <v>0.17323423914603001</v>
      </c>
      <c r="AF178" s="64">
        <f t="shared" si="40"/>
        <v>9.3580077444733567E-2</v>
      </c>
      <c r="AG178" s="20">
        <f t="shared" si="41"/>
        <v>310.99876782691035</v>
      </c>
      <c r="AH178" s="20">
        <f t="shared" si="42"/>
        <v>147.28724355822357</v>
      </c>
      <c r="AI178" s="22"/>
    </row>
    <row r="179" spans="1:35" customFormat="1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7">
        <f t="shared" si="36"/>
        <v>8.9801505975588309</v>
      </c>
      <c r="O179" s="7">
        <f t="shared" si="32"/>
        <v>4780.916666666667</v>
      </c>
      <c r="P179" s="7">
        <f t="shared" si="33"/>
        <v>4771.9365160691086</v>
      </c>
      <c r="Q179" s="7">
        <f t="shared" si="34"/>
        <v>2133.1865160691082</v>
      </c>
      <c r="R179" s="7">
        <f t="shared" si="35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7"/>
        <v>176854</v>
      </c>
      <c r="X179" s="103">
        <f t="shared" si="38"/>
        <v>184067</v>
      </c>
      <c r="Y179" s="103"/>
      <c r="Z179" s="7">
        <v>0</v>
      </c>
      <c r="AA179" s="7"/>
      <c r="AB179" s="2">
        <v>1148</v>
      </c>
      <c r="AC179" s="103">
        <v>157236</v>
      </c>
      <c r="AD179" s="103">
        <v>178002</v>
      </c>
      <c r="AE179" s="64">
        <f t="shared" si="39"/>
        <v>0</v>
      </c>
      <c r="AF179" s="64">
        <f t="shared" si="40"/>
        <v>4.1920877293513559E-3</v>
      </c>
      <c r="AG179" s="20">
        <f t="shared" si="41"/>
        <v>0</v>
      </c>
      <c r="AH179" s="20">
        <f t="shared" si="42"/>
        <v>8.9801505975588309</v>
      </c>
      <c r="AI179" s="22"/>
    </row>
    <row r="180" spans="1:35" customFormat="1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7">
        <f t="shared" si="36"/>
        <v>135.29503460366129</v>
      </c>
      <c r="O180" s="7">
        <f t="shared" si="32"/>
        <v>3636.4166666666665</v>
      </c>
      <c r="P180" s="7">
        <f t="shared" si="33"/>
        <v>3501.1216320630056</v>
      </c>
      <c r="Q180" s="7">
        <f t="shared" si="34"/>
        <v>1236.6216320630056</v>
      </c>
      <c r="R180" s="7">
        <f t="shared" si="35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7"/>
        <v>109558</v>
      </c>
      <c r="X180" s="103">
        <f t="shared" si="38"/>
        <v>134937</v>
      </c>
      <c r="Y180" s="103"/>
      <c r="Z180" s="7">
        <v>0</v>
      </c>
      <c r="AA180" s="7"/>
      <c r="AB180" s="2">
        <v>19595</v>
      </c>
      <c r="AC180" s="103">
        <v>135803</v>
      </c>
      <c r="AD180" s="103">
        <v>129153</v>
      </c>
      <c r="AE180" s="64">
        <f t="shared" si="39"/>
        <v>0</v>
      </c>
      <c r="AF180" s="64">
        <f t="shared" si="40"/>
        <v>9.861753114523085E-2</v>
      </c>
      <c r="AG180" s="20">
        <f t="shared" si="41"/>
        <v>0</v>
      </c>
      <c r="AH180" s="20">
        <f t="shared" si="42"/>
        <v>135.29503460366129</v>
      </c>
      <c r="AI180" s="22"/>
    </row>
    <row r="181" spans="1:35" customFormat="1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7">
        <f t="shared" si="36"/>
        <v>0</v>
      </c>
      <c r="O181" s="7">
        <f t="shared" si="32"/>
        <v>1367</v>
      </c>
      <c r="P181" s="7">
        <f t="shared" si="33"/>
        <v>1367</v>
      </c>
      <c r="Q181" s="7">
        <f t="shared" si="34"/>
        <v>647.66666666666663</v>
      </c>
      <c r="R181" s="7">
        <f t="shared" si="35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7"/>
        <v>64380</v>
      </c>
      <c r="X181" s="103">
        <f t="shared" si="38"/>
        <v>67947</v>
      </c>
      <c r="Y181" s="103"/>
      <c r="Z181" s="7">
        <v>0</v>
      </c>
      <c r="AA181" s="7"/>
      <c r="AB181" s="2">
        <v>0</v>
      </c>
      <c r="AC181" s="103">
        <v>45285</v>
      </c>
      <c r="AD181" s="103">
        <v>64380</v>
      </c>
      <c r="AE181" s="64">
        <f t="shared" si="39"/>
        <v>0</v>
      </c>
      <c r="AF181" s="64">
        <f t="shared" si="40"/>
        <v>0</v>
      </c>
      <c r="AG181" s="20">
        <f t="shared" si="41"/>
        <v>0</v>
      </c>
      <c r="AH181" s="20">
        <f t="shared" si="42"/>
        <v>0</v>
      </c>
      <c r="AI181" s="22"/>
    </row>
    <row r="182" spans="1:35" customFormat="1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7">
        <f t="shared" si="36"/>
        <v>111.00644001852073</v>
      </c>
      <c r="O182" s="7">
        <f t="shared" si="32"/>
        <v>4963.75</v>
      </c>
      <c r="P182" s="7">
        <f t="shared" si="33"/>
        <v>4852.7435599814798</v>
      </c>
      <c r="Q182" s="7">
        <f t="shared" si="34"/>
        <v>1915.2540529065548</v>
      </c>
      <c r="R182" s="7">
        <f t="shared" si="35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7"/>
        <v>164559</v>
      </c>
      <c r="X182" s="103">
        <f t="shared" si="38"/>
        <v>176223</v>
      </c>
      <c r="Y182" s="103"/>
      <c r="Z182" s="7">
        <v>9391</v>
      </c>
      <c r="AA182" s="7"/>
      <c r="AB182" s="2">
        <v>2569</v>
      </c>
      <c r="AC182" s="103">
        <v>198306</v>
      </c>
      <c r="AD182" s="103">
        <v>167128</v>
      </c>
      <c r="AE182" s="64">
        <f t="shared" si="39"/>
        <v>4.3567617722106239E-2</v>
      </c>
      <c r="AF182" s="64">
        <f t="shared" si="40"/>
        <v>9.9914436838830119E-3</v>
      </c>
      <c r="AG182" s="20">
        <f t="shared" si="41"/>
        <v>91.677159591742054</v>
      </c>
      <c r="AH182" s="20">
        <f t="shared" si="42"/>
        <v>19.329280426778677</v>
      </c>
      <c r="AI182" s="22"/>
    </row>
    <row r="183" spans="1:35" customFormat="1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7">
        <f t="shared" si="36"/>
        <v>110.86050311776239</v>
      </c>
      <c r="O183" s="7">
        <f t="shared" si="32"/>
        <v>4722</v>
      </c>
      <c r="P183" s="7">
        <f t="shared" si="33"/>
        <v>4611.1394968822369</v>
      </c>
      <c r="Q183" s="7">
        <f t="shared" si="34"/>
        <v>1997.7892745098036</v>
      </c>
      <c r="R183" s="7">
        <f t="shared" si="35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7"/>
        <v>170067</v>
      </c>
      <c r="X183" s="103">
        <f t="shared" si="38"/>
        <v>191012</v>
      </c>
      <c r="Y183" s="103"/>
      <c r="Z183" s="7">
        <v>1959</v>
      </c>
      <c r="AA183" s="7"/>
      <c r="AB183" s="2">
        <v>12258</v>
      </c>
      <c r="AC183" s="103">
        <v>149419</v>
      </c>
      <c r="AD183" s="103">
        <v>182325</v>
      </c>
      <c r="AE183" s="64">
        <f t="shared" si="39"/>
        <v>1.2061919836165414E-2</v>
      </c>
      <c r="AF183" s="64">
        <f t="shared" si="40"/>
        <v>4.3700534759358291E-2</v>
      </c>
      <c r="AG183" s="20">
        <f t="shared" si="41"/>
        <v>19.566444294232994</v>
      </c>
      <c r="AH183" s="20">
        <f t="shared" si="42"/>
        <v>91.294058823529397</v>
      </c>
      <c r="AI183" s="22"/>
    </row>
    <row r="184" spans="1:35" customFormat="1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7">
        <f t="shared" si="36"/>
        <v>356.05556166156919</v>
      </c>
      <c r="O184" s="7">
        <f t="shared" si="32"/>
        <v>3952.75</v>
      </c>
      <c r="P184" s="7">
        <f t="shared" si="33"/>
        <v>3596.6944383384307</v>
      </c>
      <c r="Q184" s="7">
        <f t="shared" si="34"/>
        <v>1326.2015152338445</v>
      </c>
      <c r="R184" s="7">
        <f t="shared" si="35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7"/>
        <v>111654</v>
      </c>
      <c r="X184" s="103">
        <f t="shared" si="38"/>
        <v>136109</v>
      </c>
      <c r="Y184" s="103"/>
      <c r="Z184" s="7">
        <v>29533</v>
      </c>
      <c r="AA184" s="7"/>
      <c r="AB184" s="2">
        <v>17171</v>
      </c>
      <c r="AC184" s="103">
        <v>181671</v>
      </c>
      <c r="AD184" s="103">
        <v>128825</v>
      </c>
      <c r="AE184" s="64">
        <f t="shared" si="39"/>
        <v>0.14955804723924015</v>
      </c>
      <c r="AF184" s="64">
        <f t="shared" si="40"/>
        <v>8.6638074907820689E-2</v>
      </c>
      <c r="AG184" s="20">
        <f t="shared" si="41"/>
        <v>230.25707689541352</v>
      </c>
      <c r="AH184" s="20">
        <f t="shared" si="42"/>
        <v>125.79848476615564</v>
      </c>
      <c r="AI184" s="22"/>
    </row>
    <row r="185" spans="1:35" customFormat="1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7">
        <f t="shared" si="36"/>
        <v>698.69913157843052</v>
      </c>
      <c r="O185" s="7">
        <f t="shared" si="32"/>
        <v>4271.8333333333339</v>
      </c>
      <c r="P185" s="7">
        <f t="shared" si="33"/>
        <v>3573.1342017549032</v>
      </c>
      <c r="Q185" s="7">
        <f t="shared" si="34"/>
        <v>1435.0856670775702</v>
      </c>
      <c r="R185" s="7">
        <f t="shared" si="35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7"/>
        <v>108301</v>
      </c>
      <c r="X185" s="103">
        <f t="shared" si="38"/>
        <v>163120</v>
      </c>
      <c r="Y185" s="103"/>
      <c r="Z185" s="7">
        <v>49729</v>
      </c>
      <c r="AA185" s="7"/>
      <c r="AB185" s="2">
        <v>47859</v>
      </c>
      <c r="AC185" s="103">
        <v>201885</v>
      </c>
      <c r="AD185" s="103">
        <v>156160</v>
      </c>
      <c r="AE185" s="64">
        <f t="shared" si="39"/>
        <v>0.22661752978180649</v>
      </c>
      <c r="AF185" s="64">
        <f t="shared" si="40"/>
        <v>0.19920818391393441</v>
      </c>
      <c r="AG185" s="20">
        <f t="shared" si="41"/>
        <v>341.70146532266722</v>
      </c>
      <c r="AH185" s="20">
        <f t="shared" si="42"/>
        <v>356.99766625576331</v>
      </c>
      <c r="AI185" s="22"/>
    </row>
    <row r="186" spans="1:35" customFormat="1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7">
        <f t="shared" si="36"/>
        <v>65.009960176189793</v>
      </c>
      <c r="O186" s="7">
        <f t="shared" si="32"/>
        <v>3489.9166666666665</v>
      </c>
      <c r="P186" s="7">
        <f t="shared" si="33"/>
        <v>3424.9067064904775</v>
      </c>
      <c r="Q186" s="7">
        <f t="shared" si="34"/>
        <v>1207.9067064904771</v>
      </c>
      <c r="R186" s="7">
        <f t="shared" si="35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7"/>
        <v>113625</v>
      </c>
      <c r="X186" s="103">
        <f t="shared" si="38"/>
        <v>127130</v>
      </c>
      <c r="Y186" s="103"/>
      <c r="Z186" s="7">
        <v>0</v>
      </c>
      <c r="AA186" s="7"/>
      <c r="AB186" s="2">
        <v>9689</v>
      </c>
      <c r="AC186" s="103">
        <v>108991</v>
      </c>
      <c r="AD186" s="103">
        <v>123314</v>
      </c>
      <c r="AE186" s="64">
        <f t="shared" si="39"/>
        <v>0</v>
      </c>
      <c r="AF186" s="64">
        <f t="shared" si="40"/>
        <v>5.1071654475566441E-2</v>
      </c>
      <c r="AG186" s="20">
        <f t="shared" si="41"/>
        <v>0</v>
      </c>
      <c r="AH186" s="20">
        <f t="shared" si="42"/>
        <v>65.009960176189793</v>
      </c>
      <c r="AI186" s="22"/>
    </row>
    <row r="187" spans="1:35" customFormat="1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7">
        <f t="shared" si="36"/>
        <v>17.109737262559918</v>
      </c>
      <c r="O187" s="7">
        <f t="shared" si="32"/>
        <v>2660.5000000000005</v>
      </c>
      <c r="P187" s="7">
        <f t="shared" si="33"/>
        <v>2643.3902627374405</v>
      </c>
      <c r="Q187" s="7">
        <f t="shared" si="34"/>
        <v>1245.2235960707735</v>
      </c>
      <c r="R187" s="7">
        <f t="shared" si="35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si="37"/>
        <v>71702</v>
      </c>
      <c r="X187" s="103">
        <f t="shared" si="38"/>
        <v>77220</v>
      </c>
      <c r="Y187" s="103"/>
      <c r="Z187" s="7">
        <v>0</v>
      </c>
      <c r="AA187" s="7"/>
      <c r="AB187" s="2">
        <v>1527</v>
      </c>
      <c r="AC187" s="103">
        <v>59930</v>
      </c>
      <c r="AD187" s="103">
        <v>73229</v>
      </c>
      <c r="AE187" s="64">
        <f t="shared" si="39"/>
        <v>0</v>
      </c>
      <c r="AF187" s="64">
        <f t="shared" si="40"/>
        <v>1.355405645304456E-2</v>
      </c>
      <c r="AG187" s="20">
        <f t="shared" si="41"/>
        <v>0</v>
      </c>
      <c r="AH187" s="20">
        <f t="shared" si="42"/>
        <v>17.109737262559918</v>
      </c>
      <c r="AI187" s="22"/>
    </row>
    <row r="188" spans="1:35" customFormat="1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7">
        <f t="shared" si="36"/>
        <v>3.7462243278467975</v>
      </c>
      <c r="O188" s="7">
        <f t="shared" si="32"/>
        <v>1201.9166666666665</v>
      </c>
      <c r="P188" s="7">
        <f t="shared" si="33"/>
        <v>1198.1704423388198</v>
      </c>
      <c r="Q188" s="7">
        <f t="shared" si="34"/>
        <v>516.50377567215321</v>
      </c>
      <c r="R188" s="7">
        <f t="shared" si="35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7"/>
        <v>47044</v>
      </c>
      <c r="X188" s="103">
        <f t="shared" si="38"/>
        <v>49123</v>
      </c>
      <c r="Y188" s="103"/>
      <c r="Z188" s="7">
        <v>0</v>
      </c>
      <c r="AA188" s="7"/>
      <c r="AB188" s="2">
        <v>527</v>
      </c>
      <c r="AC188" s="103">
        <v>38029</v>
      </c>
      <c r="AD188" s="103">
        <v>47571</v>
      </c>
      <c r="AE188" s="64">
        <f t="shared" si="39"/>
        <v>0</v>
      </c>
      <c r="AF188" s="64">
        <f t="shared" si="40"/>
        <v>7.2008156229635707E-3</v>
      </c>
      <c r="AG188" s="20">
        <f t="shared" si="41"/>
        <v>0</v>
      </c>
      <c r="AH188" s="20">
        <f t="shared" si="42"/>
        <v>3.7462243278467975</v>
      </c>
      <c r="AI188" s="22"/>
    </row>
    <row r="189" spans="1:35" customFormat="1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7">
        <f t="shared" si="36"/>
        <v>14.790285994878889</v>
      </c>
      <c r="O189" s="7">
        <f t="shared" si="32"/>
        <v>3648.083333333333</v>
      </c>
      <c r="P189" s="7">
        <f t="shared" si="33"/>
        <v>3633.2930473384549</v>
      </c>
      <c r="Q189" s="7">
        <f t="shared" si="34"/>
        <v>1191.0430473384545</v>
      </c>
      <c r="R189" s="7">
        <f t="shared" si="35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7"/>
        <v>82254</v>
      </c>
      <c r="X189" s="103">
        <f t="shared" si="38"/>
        <v>91732</v>
      </c>
      <c r="Y189" s="103"/>
      <c r="Z189" s="7">
        <v>0</v>
      </c>
      <c r="AA189" s="7"/>
      <c r="AB189" s="2">
        <v>1582</v>
      </c>
      <c r="AC189" s="103">
        <v>132553</v>
      </c>
      <c r="AD189" s="103">
        <v>83836</v>
      </c>
      <c r="AE189" s="64">
        <f t="shared" si="39"/>
        <v>0</v>
      </c>
      <c r="AF189" s="64">
        <f t="shared" si="40"/>
        <v>1.2265613817453122E-2</v>
      </c>
      <c r="AG189" s="20">
        <f t="shared" si="41"/>
        <v>0</v>
      </c>
      <c r="AH189" s="20">
        <f t="shared" si="42"/>
        <v>14.790285994878889</v>
      </c>
      <c r="AI189" s="22"/>
    </row>
    <row r="190" spans="1:35" customFormat="1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7">
        <f t="shared" si="36"/>
        <v>8.3214328426523352</v>
      </c>
      <c r="O190" s="7">
        <f t="shared" si="32"/>
        <v>4254.75</v>
      </c>
      <c r="P190" s="7">
        <f t="shared" si="33"/>
        <v>4246.4285671573471</v>
      </c>
      <c r="Q190" s="7">
        <f t="shared" si="34"/>
        <v>1588.511900490681</v>
      </c>
      <c r="R190" s="7">
        <f t="shared" si="35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7"/>
        <v>134372</v>
      </c>
      <c r="X190" s="103">
        <f t="shared" si="38"/>
        <v>140810</v>
      </c>
      <c r="Y190" s="103"/>
      <c r="Z190" s="7">
        <v>0</v>
      </c>
      <c r="AA190" s="7"/>
      <c r="AB190" s="2">
        <v>1086</v>
      </c>
      <c r="AC190" s="103">
        <v>142822</v>
      </c>
      <c r="AD190" s="103">
        <v>135458</v>
      </c>
      <c r="AE190" s="64">
        <f t="shared" si="39"/>
        <v>0</v>
      </c>
      <c r="AF190" s="64">
        <f t="shared" si="40"/>
        <v>5.2112093785527617E-3</v>
      </c>
      <c r="AG190" s="20">
        <f t="shared" si="41"/>
        <v>0</v>
      </c>
      <c r="AH190" s="20">
        <f t="shared" si="42"/>
        <v>8.3214328426523352</v>
      </c>
      <c r="AI190" s="22"/>
    </row>
    <row r="191" spans="1:35" customFormat="1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7">
        <f t="shared" si="36"/>
        <v>6.0362179034772252</v>
      </c>
      <c r="O191" s="7">
        <f t="shared" si="32"/>
        <v>4472.25</v>
      </c>
      <c r="P191" s="7">
        <f t="shared" si="33"/>
        <v>4466.2137820965227</v>
      </c>
      <c r="Q191" s="7">
        <f t="shared" si="34"/>
        <v>1855.2137820965224</v>
      </c>
      <c r="R191" s="7">
        <f t="shared" si="35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7"/>
        <v>162133</v>
      </c>
      <c r="X191" s="103">
        <f t="shared" si="38"/>
        <v>167834</v>
      </c>
      <c r="Y191" s="103"/>
      <c r="Z191" s="7">
        <v>0</v>
      </c>
      <c r="AA191" s="7"/>
      <c r="AB191" s="2">
        <v>813</v>
      </c>
      <c r="AC191" s="103">
        <v>139190</v>
      </c>
      <c r="AD191" s="103">
        <v>162946</v>
      </c>
      <c r="AE191" s="64">
        <f t="shared" si="39"/>
        <v>0</v>
      </c>
      <c r="AF191" s="64">
        <f t="shared" si="40"/>
        <v>3.2430989407533787E-3</v>
      </c>
      <c r="AG191" s="20">
        <f t="shared" si="41"/>
        <v>0</v>
      </c>
      <c r="AH191" s="20">
        <f t="shared" si="42"/>
        <v>6.0362179034772252</v>
      </c>
      <c r="AI191" s="22"/>
    </row>
    <row r="192" spans="1:35" customFormat="1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7">
        <f t="shared" si="36"/>
        <v>10.23176561810352</v>
      </c>
      <c r="O192" s="7">
        <f t="shared" si="32"/>
        <v>4013.5833333333326</v>
      </c>
      <c r="P192" s="7">
        <f t="shared" si="33"/>
        <v>4003.3515677152291</v>
      </c>
      <c r="Q192" s="7">
        <f t="shared" si="34"/>
        <v>1635.934901048563</v>
      </c>
      <c r="R192" s="7">
        <f t="shared" si="35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7"/>
        <v>138379</v>
      </c>
      <c r="X192" s="103">
        <f t="shared" si="38"/>
        <v>147667</v>
      </c>
      <c r="Y192" s="103"/>
      <c r="Z192" s="7">
        <v>0</v>
      </c>
      <c r="AA192" s="7"/>
      <c r="AB192" s="2">
        <v>1336</v>
      </c>
      <c r="AC192" s="103">
        <v>113597</v>
      </c>
      <c r="AD192" s="103">
        <v>139715</v>
      </c>
      <c r="AE192" s="64">
        <f t="shared" si="39"/>
        <v>0</v>
      </c>
      <c r="AF192" s="64">
        <f t="shared" si="40"/>
        <v>6.2155101456536528E-3</v>
      </c>
      <c r="AG192" s="20">
        <f t="shared" si="41"/>
        <v>0</v>
      </c>
      <c r="AH192" s="20">
        <f t="shared" si="42"/>
        <v>10.23176561810352</v>
      </c>
      <c r="AI192" s="22"/>
    </row>
    <row r="193" spans="1:35" customFormat="1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7">
        <f t="shared" si="36"/>
        <v>8.1250101181967835</v>
      </c>
      <c r="O193" s="7">
        <f t="shared" si="32"/>
        <v>3698.3333333333335</v>
      </c>
      <c r="P193" s="7">
        <f t="shared" si="33"/>
        <v>3690.2083232151372</v>
      </c>
      <c r="Q193" s="7">
        <f t="shared" si="34"/>
        <v>1456.29165654847</v>
      </c>
      <c r="R193" s="7">
        <f t="shared" si="35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7"/>
        <v>122077</v>
      </c>
      <c r="X193" s="103">
        <f t="shared" si="38"/>
        <v>129191</v>
      </c>
      <c r="Y193" s="103"/>
      <c r="Z193" s="7">
        <v>0</v>
      </c>
      <c r="AA193" s="7"/>
      <c r="AB193" s="2">
        <v>1051</v>
      </c>
      <c r="AC193" s="103">
        <v>99025</v>
      </c>
      <c r="AD193" s="103">
        <v>123128</v>
      </c>
      <c r="AE193" s="64">
        <f t="shared" si="39"/>
        <v>0</v>
      </c>
      <c r="AF193" s="64">
        <f t="shared" si="40"/>
        <v>5.5482912091482043E-3</v>
      </c>
      <c r="AG193" s="20">
        <f t="shared" si="41"/>
        <v>0</v>
      </c>
      <c r="AH193" s="20">
        <f t="shared" si="42"/>
        <v>8.1250101181967835</v>
      </c>
      <c r="AI193" s="22"/>
    </row>
    <row r="194" spans="1:35" customFormat="1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7">
        <f t="shared" si="36"/>
        <v>11.023583008960047</v>
      </c>
      <c r="O194" s="7">
        <f t="shared" ref="O194:O257" si="43">+B194+C194+D194+F194+I194+K194+J194</f>
        <v>2746</v>
      </c>
      <c r="P194" s="7">
        <f t="shared" ref="P194:P257" si="44">+B194+C194+D194+F194+J194+Q194+R194</f>
        <v>2734.97641699104</v>
      </c>
      <c r="Q194" s="7">
        <f t="shared" ref="Q194:Q257" si="45">+I194-AH194</f>
        <v>1227.97641699104</v>
      </c>
      <c r="R194" s="7">
        <f t="shared" ref="R194:R257" si="46">+K194-AG194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7"/>
        <v>107437</v>
      </c>
      <c r="X194" s="103">
        <f t="shared" si="38"/>
        <v>111857</v>
      </c>
      <c r="Y194" s="103"/>
      <c r="Z194" s="7">
        <v>0</v>
      </c>
      <c r="AA194" s="7"/>
      <c r="AB194" s="2">
        <v>1491</v>
      </c>
      <c r="AC194" s="103">
        <v>71147</v>
      </c>
      <c r="AD194" s="103">
        <v>108928</v>
      </c>
      <c r="AE194" s="64">
        <f t="shared" si="39"/>
        <v>0</v>
      </c>
      <c r="AF194" s="64">
        <f t="shared" si="40"/>
        <v>8.8971614277320796E-3</v>
      </c>
      <c r="AG194" s="20">
        <f t="shared" si="41"/>
        <v>0</v>
      </c>
      <c r="AH194" s="20">
        <f t="shared" si="42"/>
        <v>11.023583008960047</v>
      </c>
      <c r="AI194" s="22"/>
    </row>
    <row r="195" spans="1:35" customFormat="1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7">
        <f t="shared" ref="N195:N258" si="47">+AH195+AG195</f>
        <v>3.6634825527579506</v>
      </c>
      <c r="O195" s="7">
        <f t="shared" si="43"/>
        <v>1256.3333333333333</v>
      </c>
      <c r="P195" s="7">
        <f t="shared" si="44"/>
        <v>1252.6698507805754</v>
      </c>
      <c r="Q195" s="7">
        <f t="shared" si="45"/>
        <v>540.25318411390867</v>
      </c>
      <c r="R195" s="7">
        <f t="shared" si="46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ref="W195:W258" si="48">+V195-U195-S195+AA195</f>
        <v>53101</v>
      </c>
      <c r="X195" s="103">
        <f t="shared" ref="X195:X258" si="49">+V195+AB195+AA195</f>
        <v>55959</v>
      </c>
      <c r="Y195" s="103"/>
      <c r="Z195" s="7">
        <v>0</v>
      </c>
      <c r="AA195" s="7"/>
      <c r="AB195" s="2">
        <v>556</v>
      </c>
      <c r="AC195" s="103">
        <v>40670</v>
      </c>
      <c r="AD195" s="103">
        <v>53657</v>
      </c>
      <c r="AE195" s="64">
        <f t="shared" ref="AE195:AE258" si="50">+(Z195/AC195*0.92)</f>
        <v>0</v>
      </c>
      <c r="AF195" s="64">
        <f t="shared" ref="AF195:AF258" si="51">+(AB195/AD195*0.65)</f>
        <v>6.7353746948208074E-3</v>
      </c>
      <c r="AG195" s="20">
        <f t="shared" si="41"/>
        <v>0</v>
      </c>
      <c r="AH195" s="20">
        <f t="shared" si="42"/>
        <v>3.6634825527579506</v>
      </c>
      <c r="AI195" s="22"/>
    </row>
    <row r="196" spans="1:35" customFormat="1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7">
        <f t="shared" si="47"/>
        <v>12.566232702112165</v>
      </c>
      <c r="O196" s="7">
        <f t="shared" si="43"/>
        <v>3793</v>
      </c>
      <c r="P196" s="7">
        <f t="shared" si="44"/>
        <v>3780.4337672978877</v>
      </c>
      <c r="Q196" s="7">
        <f t="shared" si="45"/>
        <v>1149.9337672978879</v>
      </c>
      <c r="R196" s="7">
        <f t="shared" si="46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48"/>
        <v>89111</v>
      </c>
      <c r="X196" s="103">
        <f t="shared" si="49"/>
        <v>95558</v>
      </c>
      <c r="Y196" s="103"/>
      <c r="Z196" s="7">
        <v>0</v>
      </c>
      <c r="AA196" s="7"/>
      <c r="AB196" s="2">
        <v>1507</v>
      </c>
      <c r="AC196" s="103">
        <v>152620</v>
      </c>
      <c r="AD196" s="103">
        <v>90618</v>
      </c>
      <c r="AE196" s="64">
        <f t="shared" si="50"/>
        <v>0</v>
      </c>
      <c r="AF196" s="64">
        <f t="shared" si="51"/>
        <v>1.0809662539451325E-2</v>
      </c>
      <c r="AG196" s="20">
        <f t="shared" si="41"/>
        <v>0</v>
      </c>
      <c r="AH196" s="20">
        <f t="shared" si="42"/>
        <v>12.566232702112165</v>
      </c>
      <c r="AI196" s="22"/>
    </row>
    <row r="197" spans="1:35" customFormat="1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7">
        <f t="shared" si="47"/>
        <v>0</v>
      </c>
      <c r="O197" s="7">
        <f t="shared" si="43"/>
        <v>0</v>
      </c>
      <c r="P197" s="7">
        <f t="shared" si="44"/>
        <v>0</v>
      </c>
      <c r="Q197" s="7">
        <f t="shared" si="45"/>
        <v>0</v>
      </c>
      <c r="R197" s="7">
        <f t="shared" si="46"/>
        <v>0</v>
      </c>
      <c r="S197" s="7"/>
      <c r="T197" s="7"/>
      <c r="U197" s="7"/>
      <c r="V197" s="7"/>
      <c r="W197" s="7">
        <f t="shared" si="48"/>
        <v>0</v>
      </c>
      <c r="X197" s="103">
        <f t="shared" si="49"/>
        <v>0</v>
      </c>
      <c r="Y197" s="103"/>
      <c r="Z197" s="7">
        <v>0</v>
      </c>
      <c r="AA197" s="7"/>
      <c r="AB197" s="2">
        <v>0</v>
      </c>
      <c r="AC197" s="103">
        <v>0</v>
      </c>
      <c r="AD197" s="103">
        <v>0</v>
      </c>
      <c r="AE197" s="64" t="e">
        <f t="shared" si="50"/>
        <v>#DIV/0!</v>
      </c>
      <c r="AF197" s="64"/>
      <c r="AG197" s="20"/>
      <c r="AH197" s="20"/>
      <c r="AI197" s="22"/>
    </row>
    <row r="198" spans="1:35" customFormat="1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7">
        <f t="shared" si="47"/>
        <v>13.326267948519151</v>
      </c>
      <c r="O198" s="7">
        <f t="shared" si="43"/>
        <v>4802.0833333333339</v>
      </c>
      <c r="P198" s="7">
        <f t="shared" si="44"/>
        <v>4788.7570653848143</v>
      </c>
      <c r="Q198" s="7">
        <f t="shared" si="45"/>
        <v>1804.8403987181475</v>
      </c>
      <c r="R198" s="7">
        <f t="shared" si="46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si="48"/>
        <v>159407</v>
      </c>
      <c r="X198" s="103">
        <f t="shared" si="49"/>
        <v>168204</v>
      </c>
      <c r="Y198" s="103"/>
      <c r="Z198" s="7">
        <v>0</v>
      </c>
      <c r="AA198" s="7"/>
      <c r="AB198" s="2">
        <v>1818</v>
      </c>
      <c r="AC198" s="103">
        <v>164041</v>
      </c>
      <c r="AD198" s="103">
        <v>161225</v>
      </c>
      <c r="AE198" s="64">
        <f t="shared" si="50"/>
        <v>0</v>
      </c>
      <c r="AF198" s="64">
        <f t="shared" si="51"/>
        <v>7.3295084509226241E-3</v>
      </c>
      <c r="AG198" s="20">
        <f t="shared" ref="AG198:AG229" si="52">+AE198*K198</f>
        <v>0</v>
      </c>
      <c r="AH198" s="20">
        <f t="shared" ref="AH198:AH229" si="53">+AF198*I198</f>
        <v>13.326267948519151</v>
      </c>
      <c r="AI198" s="22"/>
    </row>
    <row r="199" spans="1:35" customFormat="1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7">
        <f t="shared" si="47"/>
        <v>390.61720760999646</v>
      </c>
      <c r="O199" s="7">
        <f t="shared" si="43"/>
        <v>4598.5</v>
      </c>
      <c r="P199" s="7">
        <f t="shared" si="44"/>
        <v>4207.8827923900035</v>
      </c>
      <c r="Q199" s="7">
        <f t="shared" si="45"/>
        <v>1573.7843262672366</v>
      </c>
      <c r="R199" s="7">
        <f t="shared" si="46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8"/>
        <v>133737</v>
      </c>
      <c r="X199" s="103">
        <f t="shared" si="49"/>
        <v>144463</v>
      </c>
      <c r="Y199" s="103"/>
      <c r="Z199" s="7">
        <v>45753</v>
      </c>
      <c r="AA199" s="7"/>
      <c r="AB199" s="2">
        <v>1439</v>
      </c>
      <c r="AC199" s="103">
        <v>226022</v>
      </c>
      <c r="AD199" s="103">
        <v>135176</v>
      </c>
      <c r="AE199" s="64">
        <f t="shared" si="50"/>
        <v>0.18623302156427252</v>
      </c>
      <c r="AF199" s="64">
        <f t="shared" si="51"/>
        <v>6.9194975439427122E-3</v>
      </c>
      <c r="AG199" s="20">
        <f t="shared" si="52"/>
        <v>379.65153387723325</v>
      </c>
      <c r="AH199" s="20">
        <f t="shared" si="53"/>
        <v>10.965673732763211</v>
      </c>
      <c r="AI199" s="22"/>
    </row>
    <row r="200" spans="1:35" customFormat="1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7">
        <f t="shared" si="47"/>
        <v>652.59958561661233</v>
      </c>
      <c r="O200" s="7">
        <f t="shared" si="43"/>
        <v>4551.9166666666661</v>
      </c>
      <c r="P200" s="7">
        <f t="shared" si="44"/>
        <v>3899.3170810500542</v>
      </c>
      <c r="Q200" s="7">
        <f t="shared" si="45"/>
        <v>1752.5060558933033</v>
      </c>
      <c r="R200" s="7">
        <f t="shared" si="46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8"/>
        <v>138296</v>
      </c>
      <c r="X200" s="103">
        <f t="shared" si="49"/>
        <v>176674</v>
      </c>
      <c r="Y200" s="103"/>
      <c r="Z200" s="7">
        <v>60803</v>
      </c>
      <c r="AA200" s="7"/>
      <c r="AB200" s="2">
        <v>31456</v>
      </c>
      <c r="AC200" s="103">
        <v>235086</v>
      </c>
      <c r="AD200" s="103">
        <v>169752</v>
      </c>
      <c r="AE200" s="64">
        <f t="shared" si="50"/>
        <v>0.23795019694920155</v>
      </c>
      <c r="AF200" s="64">
        <f t="shared" si="51"/>
        <v>0.12044865450775248</v>
      </c>
      <c r="AG200" s="20">
        <f t="shared" si="52"/>
        <v>412.60564150991547</v>
      </c>
      <c r="AH200" s="20">
        <f t="shared" si="53"/>
        <v>239.99394410669683</v>
      </c>
      <c r="AI200" s="22"/>
    </row>
    <row r="201" spans="1:35" customFormat="1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7">
        <f t="shared" si="47"/>
        <v>659.51597036641476</v>
      </c>
      <c r="O201" s="7">
        <f t="shared" si="43"/>
        <v>4144.5</v>
      </c>
      <c r="P201" s="7">
        <f t="shared" si="44"/>
        <v>3484.9840296335856</v>
      </c>
      <c r="Q201" s="7">
        <f t="shared" si="45"/>
        <v>1359.2648540702112</v>
      </c>
      <c r="R201" s="7">
        <f t="shared" si="46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8"/>
        <v>111576</v>
      </c>
      <c r="X201" s="103">
        <f t="shared" si="49"/>
        <v>187456</v>
      </c>
      <c r="Y201" s="103"/>
      <c r="Z201" s="7">
        <v>28813</v>
      </c>
      <c r="AA201" s="7"/>
      <c r="AB201" s="2">
        <v>67911</v>
      </c>
      <c r="AC201" s="103">
        <v>198107</v>
      </c>
      <c r="AD201" s="103">
        <v>179487</v>
      </c>
      <c r="AE201" s="64">
        <f t="shared" si="50"/>
        <v>0.13380627640618453</v>
      </c>
      <c r="AF201" s="64">
        <f t="shared" si="51"/>
        <v>0.24593508164936737</v>
      </c>
      <c r="AG201" s="20">
        <f t="shared" si="52"/>
        <v>216.19749110329266</v>
      </c>
      <c r="AH201" s="20">
        <f t="shared" si="53"/>
        <v>443.31847926312213</v>
      </c>
      <c r="AI201" s="22"/>
    </row>
    <row r="202" spans="1:35" customFormat="1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7">
        <f t="shared" si="47"/>
        <v>384.37122963116155</v>
      </c>
      <c r="O202" s="7">
        <f t="shared" si="43"/>
        <v>2730.666666666667</v>
      </c>
      <c r="P202" s="7">
        <f t="shared" si="44"/>
        <v>2346.2954370355051</v>
      </c>
      <c r="Q202" s="7">
        <f t="shared" si="45"/>
        <v>836.37877036883845</v>
      </c>
      <c r="R202" s="7">
        <f t="shared" si="46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8"/>
        <v>78533</v>
      </c>
      <c r="X202" s="103">
        <f t="shared" si="49"/>
        <v>160892</v>
      </c>
      <c r="Y202" s="103"/>
      <c r="Z202" s="7">
        <v>0</v>
      </c>
      <c r="AA202" s="7"/>
      <c r="AB202" s="2">
        <v>73783</v>
      </c>
      <c r="AC202" s="103">
        <v>78532</v>
      </c>
      <c r="AD202" s="103">
        <v>152316</v>
      </c>
      <c r="AE202" s="64">
        <f t="shared" si="50"/>
        <v>0</v>
      </c>
      <c r="AF202" s="64">
        <f t="shared" si="51"/>
        <v>0.31486482050474018</v>
      </c>
      <c r="AG202" s="20">
        <f t="shared" si="52"/>
        <v>0</v>
      </c>
      <c r="AH202" s="20">
        <f t="shared" si="53"/>
        <v>384.37122963116155</v>
      </c>
      <c r="AI202" s="22"/>
    </row>
    <row r="203" spans="1:35" customFormat="1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7">
        <f t="shared" si="47"/>
        <v>6.5711790747689207</v>
      </c>
      <c r="O203" s="7">
        <f t="shared" si="43"/>
        <v>3066.5</v>
      </c>
      <c r="P203" s="7">
        <f t="shared" si="44"/>
        <v>3059.9288209252309</v>
      </c>
      <c r="Q203" s="7">
        <f t="shared" si="45"/>
        <v>1155.0121542585644</v>
      </c>
      <c r="R203" s="7">
        <f t="shared" si="46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8"/>
        <v>108319</v>
      </c>
      <c r="X203" s="103">
        <f t="shared" si="49"/>
        <v>114555</v>
      </c>
      <c r="Y203" s="103"/>
      <c r="Z203" s="7">
        <v>0</v>
      </c>
      <c r="AA203" s="7"/>
      <c r="AB203" s="2">
        <v>951</v>
      </c>
      <c r="AC203" s="103">
        <v>92881</v>
      </c>
      <c r="AD203" s="103">
        <v>109270</v>
      </c>
      <c r="AE203" s="64">
        <f t="shared" si="50"/>
        <v>0</v>
      </c>
      <c r="AF203" s="64">
        <f t="shared" si="51"/>
        <v>5.6570879472865382E-3</v>
      </c>
      <c r="AG203" s="20">
        <f t="shared" si="52"/>
        <v>0</v>
      </c>
      <c r="AH203" s="20">
        <f t="shared" si="53"/>
        <v>6.5711790747689207</v>
      </c>
      <c r="AI203" s="22"/>
    </row>
    <row r="204" spans="1:35" customFormat="1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7">
        <f t="shared" si="47"/>
        <v>6.9242179387331255</v>
      </c>
      <c r="O204" s="7">
        <f t="shared" si="43"/>
        <v>2940.3333333333335</v>
      </c>
      <c r="P204" s="7">
        <f t="shared" si="44"/>
        <v>2933.4091153946001</v>
      </c>
      <c r="Q204" s="7">
        <f t="shared" si="45"/>
        <v>1112.5757820612669</v>
      </c>
      <c r="R204" s="7">
        <f t="shared" si="46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8"/>
        <v>99199</v>
      </c>
      <c r="X204" s="103">
        <f t="shared" si="49"/>
        <v>106171</v>
      </c>
      <c r="Y204" s="103"/>
      <c r="Z204" s="7">
        <v>0</v>
      </c>
      <c r="AA204" s="7"/>
      <c r="AB204" s="2">
        <v>953</v>
      </c>
      <c r="AC204" s="103">
        <v>107137</v>
      </c>
      <c r="AD204" s="103">
        <v>100152</v>
      </c>
      <c r="AE204" s="64">
        <f t="shared" si="50"/>
        <v>0</v>
      </c>
      <c r="AF204" s="64">
        <f t="shared" si="51"/>
        <v>6.1850986500519211E-3</v>
      </c>
      <c r="AG204" s="20">
        <f t="shared" si="52"/>
        <v>0</v>
      </c>
      <c r="AH204" s="20">
        <f t="shared" si="53"/>
        <v>6.9242179387331255</v>
      </c>
      <c r="AI204" s="22"/>
    </row>
    <row r="205" spans="1:35" customFormat="1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7">
        <f t="shared" si="47"/>
        <v>10.097641246486504</v>
      </c>
      <c r="O205" s="7">
        <f t="shared" si="43"/>
        <v>3117</v>
      </c>
      <c r="P205" s="7">
        <f t="shared" si="44"/>
        <v>3106.9023587535135</v>
      </c>
      <c r="Q205" s="7">
        <f t="shared" si="45"/>
        <v>1355.4023587535135</v>
      </c>
      <c r="R205" s="7">
        <f t="shared" si="46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8"/>
        <v>125917</v>
      </c>
      <c r="X205" s="103">
        <f t="shared" si="49"/>
        <v>130055</v>
      </c>
      <c r="Y205" s="103"/>
      <c r="Z205" s="7">
        <v>0</v>
      </c>
      <c r="AA205" s="7"/>
      <c r="AB205" s="2">
        <v>1449</v>
      </c>
      <c r="AC205" s="103">
        <v>100719</v>
      </c>
      <c r="AD205" s="103">
        <v>127366</v>
      </c>
      <c r="AE205" s="64">
        <f t="shared" si="50"/>
        <v>0</v>
      </c>
      <c r="AF205" s="64">
        <f t="shared" si="51"/>
        <v>7.3948306455411958E-3</v>
      </c>
      <c r="AG205" s="20">
        <f t="shared" si="52"/>
        <v>0</v>
      </c>
      <c r="AH205" s="20">
        <f t="shared" si="53"/>
        <v>10.097641246486504</v>
      </c>
      <c r="AI205" s="22"/>
    </row>
    <row r="206" spans="1:35" customFormat="1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7">
        <f t="shared" si="47"/>
        <v>121.00132695732256</v>
      </c>
      <c r="O206" s="7">
        <f t="shared" si="43"/>
        <v>3046.166666666667</v>
      </c>
      <c r="P206" s="7">
        <f t="shared" si="44"/>
        <v>2925.1653397093442</v>
      </c>
      <c r="Q206" s="7">
        <f t="shared" si="45"/>
        <v>1188.568171080756</v>
      </c>
      <c r="R206" s="7">
        <f t="shared" si="46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8"/>
        <v>107202</v>
      </c>
      <c r="X206" s="103">
        <f t="shared" si="49"/>
        <v>111382</v>
      </c>
      <c r="Y206" s="103"/>
      <c r="Z206" s="7">
        <v>14860</v>
      </c>
      <c r="AA206" s="7"/>
      <c r="AB206" s="2">
        <v>1805</v>
      </c>
      <c r="AC206" s="103">
        <v>131079</v>
      </c>
      <c r="AD206" s="103">
        <v>109007</v>
      </c>
      <c r="AE206" s="64">
        <f t="shared" si="50"/>
        <v>0.10429740843308234</v>
      </c>
      <c r="AF206" s="64">
        <f t="shared" si="51"/>
        <v>1.0763070261542837E-2</v>
      </c>
      <c r="AG206" s="20">
        <f t="shared" si="52"/>
        <v>108.06949803807885</v>
      </c>
      <c r="AH206" s="20">
        <f t="shared" si="53"/>
        <v>12.931828919243717</v>
      </c>
      <c r="AI206" s="22"/>
    </row>
    <row r="207" spans="1:35" customFormat="1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7">
        <f t="shared" si="47"/>
        <v>534.51238799050429</v>
      </c>
      <c r="O207" s="7">
        <f t="shared" si="43"/>
        <v>3098.5</v>
      </c>
      <c r="P207" s="7">
        <f t="shared" si="44"/>
        <v>2563.9876120094955</v>
      </c>
      <c r="Q207" s="7">
        <f t="shared" si="45"/>
        <v>980.09085068768366</v>
      </c>
      <c r="R207" s="7">
        <f t="shared" si="46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8"/>
        <v>70237</v>
      </c>
      <c r="X207" s="103">
        <f t="shared" si="49"/>
        <v>115143</v>
      </c>
      <c r="Y207" s="103"/>
      <c r="Z207" s="7">
        <v>29261</v>
      </c>
      <c r="AA207" s="7"/>
      <c r="AB207" s="2">
        <v>42751</v>
      </c>
      <c r="AC207" s="103">
        <v>150793</v>
      </c>
      <c r="AD207" s="103">
        <v>112988</v>
      </c>
      <c r="AE207" s="64">
        <f t="shared" si="50"/>
        <v>0.17852367152321394</v>
      </c>
      <c r="AF207" s="64">
        <f t="shared" si="51"/>
        <v>0.24593894926894891</v>
      </c>
      <c r="AG207" s="20">
        <f t="shared" si="52"/>
        <v>214.85323867818798</v>
      </c>
      <c r="AH207" s="20">
        <f t="shared" si="53"/>
        <v>319.65914931231634</v>
      </c>
      <c r="AI207" s="22"/>
    </row>
    <row r="208" spans="1:35" customFormat="1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7">
        <f t="shared" si="47"/>
        <v>21.731272166722015</v>
      </c>
      <c r="O208" s="7">
        <f t="shared" si="43"/>
        <v>1730.5</v>
      </c>
      <c r="P208" s="7">
        <f t="shared" si="44"/>
        <v>1708.768727833278</v>
      </c>
      <c r="Q208" s="7">
        <f t="shared" si="45"/>
        <v>626.87634897932651</v>
      </c>
      <c r="R208" s="7">
        <f t="shared" si="46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8"/>
        <v>68691</v>
      </c>
      <c r="X208" s="103">
        <f t="shared" si="49"/>
        <v>72124</v>
      </c>
      <c r="Y208" s="103"/>
      <c r="Z208" s="7">
        <v>2204</v>
      </c>
      <c r="AA208" s="7"/>
      <c r="AB208" s="2">
        <v>528</v>
      </c>
      <c r="AC208" s="103">
        <v>65355</v>
      </c>
      <c r="AD208" s="103">
        <v>69219</v>
      </c>
      <c r="AE208" s="64">
        <f t="shared" si="50"/>
        <v>3.1025629255604009E-2</v>
      </c>
      <c r="AF208" s="64">
        <f t="shared" si="51"/>
        <v>4.9581762232912933E-3</v>
      </c>
      <c r="AG208" s="20">
        <f t="shared" si="52"/>
        <v>18.607621146048501</v>
      </c>
      <c r="AH208" s="20">
        <f t="shared" si="53"/>
        <v>3.1236510206735146</v>
      </c>
      <c r="AI208" s="22"/>
    </row>
    <row r="209" spans="1:35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7">
        <f t="shared" si="47"/>
        <v>22.238105375790301</v>
      </c>
      <c r="O209" s="7">
        <f t="shared" si="43"/>
        <v>1391.3333333333335</v>
      </c>
      <c r="P209" s="7">
        <f t="shared" si="44"/>
        <v>1369.0952279575431</v>
      </c>
      <c r="Q209" s="7">
        <f t="shared" si="45"/>
        <v>568.51189462420984</v>
      </c>
      <c r="R209" s="7">
        <f t="shared" si="46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8"/>
        <v>53047</v>
      </c>
      <c r="X209" s="103">
        <f t="shared" si="49"/>
        <v>61822</v>
      </c>
      <c r="Y209" s="103"/>
      <c r="Z209" s="7">
        <v>0</v>
      </c>
      <c r="AB209" s="2">
        <v>3261</v>
      </c>
      <c r="AC209" s="103">
        <v>51606</v>
      </c>
      <c r="AD209" s="103">
        <v>56308</v>
      </c>
      <c r="AE209" s="64">
        <f t="shared" si="50"/>
        <v>0</v>
      </c>
      <c r="AF209" s="64">
        <f t="shared" si="51"/>
        <v>3.7643851672941681E-2</v>
      </c>
      <c r="AG209" s="20">
        <f t="shared" si="52"/>
        <v>0</v>
      </c>
      <c r="AH209" s="20">
        <f t="shared" si="53"/>
        <v>22.238105375790301</v>
      </c>
      <c r="AI209" s="22"/>
    </row>
    <row r="210" spans="1:35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7">
        <f t="shared" si="47"/>
        <v>19.708621225166453</v>
      </c>
      <c r="O210" s="7">
        <f t="shared" si="43"/>
        <v>3228.2500000000005</v>
      </c>
      <c r="P210" s="7">
        <f t="shared" si="44"/>
        <v>3208.5413787748339</v>
      </c>
      <c r="Q210" s="7">
        <f t="shared" si="45"/>
        <v>1286.4511102824185</v>
      </c>
      <c r="R210" s="7">
        <f t="shared" si="46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8"/>
        <v>115829</v>
      </c>
      <c r="X210" s="103">
        <f t="shared" si="49"/>
        <v>122307</v>
      </c>
      <c r="Y210" s="103"/>
      <c r="Z210" s="7">
        <v>968</v>
      </c>
      <c r="AB210" s="2">
        <v>1491</v>
      </c>
      <c r="AC210" s="103">
        <v>109252</v>
      </c>
      <c r="AD210" s="103">
        <v>117320</v>
      </c>
      <c r="AE210" s="64">
        <f t="shared" si="50"/>
        <v>8.1514297221103506E-3</v>
      </c>
      <c r="AF210" s="64">
        <f t="shared" si="51"/>
        <v>8.2607398568019103E-3</v>
      </c>
      <c r="AG210" s="20">
        <f t="shared" si="52"/>
        <v>8.9930648409182439</v>
      </c>
      <c r="AH210" s="20">
        <f t="shared" si="53"/>
        <v>10.715556384248211</v>
      </c>
      <c r="AI210" s="22"/>
    </row>
    <row r="211" spans="1:35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7">
        <f t="shared" si="47"/>
        <v>22.197614832592848</v>
      </c>
      <c r="O211" s="7">
        <f t="shared" si="43"/>
        <v>3247.6666666666665</v>
      </c>
      <c r="P211" s="7">
        <f t="shared" si="44"/>
        <v>3225.469051834074</v>
      </c>
      <c r="Q211" s="7">
        <f t="shared" si="45"/>
        <v>1181.4498689984143</v>
      </c>
      <c r="R211" s="7">
        <f t="shared" si="46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8"/>
        <v>91059</v>
      </c>
      <c r="X211" s="103">
        <f t="shared" si="49"/>
        <v>96343</v>
      </c>
      <c r="Y211" s="103"/>
      <c r="Z211" s="7">
        <v>696</v>
      </c>
      <c r="AB211" s="2">
        <v>1847</v>
      </c>
      <c r="AC211" s="103">
        <v>115705</v>
      </c>
      <c r="AD211" s="103">
        <v>92906</v>
      </c>
      <c r="AE211" s="64">
        <f t="shared" si="50"/>
        <v>5.534073721965343E-3</v>
      </c>
      <c r="AF211" s="64">
        <f t="shared" si="51"/>
        <v>1.2922200934277657E-2</v>
      </c>
      <c r="AG211" s="20">
        <f t="shared" si="52"/>
        <v>6.7308171643403476</v>
      </c>
      <c r="AH211" s="20">
        <f t="shared" si="53"/>
        <v>15.4667976682525</v>
      </c>
      <c r="AI211" s="22"/>
    </row>
    <row r="212" spans="1:35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7">
        <f t="shared" si="47"/>
        <v>72.98522065883175</v>
      </c>
      <c r="O212" s="7">
        <f t="shared" si="43"/>
        <v>3242.333333333333</v>
      </c>
      <c r="P212" s="7">
        <f t="shared" si="44"/>
        <v>3169.3481126745014</v>
      </c>
      <c r="Q212" s="7">
        <f t="shared" si="45"/>
        <v>1330.3385874193941</v>
      </c>
      <c r="R212" s="7">
        <f t="shared" si="46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8"/>
        <v>122340</v>
      </c>
      <c r="X212" s="103">
        <f t="shared" si="49"/>
        <v>130204</v>
      </c>
      <c r="Y212" s="103"/>
      <c r="Z212" s="7">
        <v>8298</v>
      </c>
      <c r="AB212" s="2">
        <v>945</v>
      </c>
      <c r="AC212" s="103">
        <v>125176</v>
      </c>
      <c r="AD212" s="103">
        <v>123285</v>
      </c>
      <c r="AE212" s="64">
        <f t="shared" si="50"/>
        <v>6.0987409727104237E-2</v>
      </c>
      <c r="AF212" s="64">
        <f t="shared" si="51"/>
        <v>4.98235795108894E-3</v>
      </c>
      <c r="AG212" s="20">
        <f t="shared" si="52"/>
        <v>66.323808078225838</v>
      </c>
      <c r="AH212" s="20">
        <f t="shared" si="53"/>
        <v>6.661412580605913</v>
      </c>
      <c r="AI212" s="22"/>
    </row>
    <row r="213" spans="1:35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7">
        <f t="shared" si="47"/>
        <v>193.79540847056364</v>
      </c>
      <c r="O213" s="7">
        <f t="shared" si="43"/>
        <v>3184.4166666666665</v>
      </c>
      <c r="P213" s="7">
        <f t="shared" si="44"/>
        <v>2990.6212581961031</v>
      </c>
      <c r="Q213" s="7">
        <f t="shared" si="45"/>
        <v>1327.4225063730541</v>
      </c>
      <c r="R213" s="7">
        <f t="shared" si="46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8"/>
        <v>109182</v>
      </c>
      <c r="X213" s="103">
        <f t="shared" si="49"/>
        <v>114530</v>
      </c>
      <c r="Y213" s="103"/>
      <c r="Z213" s="7">
        <v>26926</v>
      </c>
      <c r="AB213" s="2">
        <v>1440</v>
      </c>
      <c r="AC213" s="103">
        <v>145818</v>
      </c>
      <c r="AD213" s="103">
        <v>110622</v>
      </c>
      <c r="AE213" s="64">
        <f t="shared" si="50"/>
        <v>0.16988245621253892</v>
      </c>
      <c r="AF213" s="64">
        <f t="shared" si="51"/>
        <v>8.4612464066822161E-3</v>
      </c>
      <c r="AG213" s="20">
        <f t="shared" si="52"/>
        <v>182.46791484361782</v>
      </c>
      <c r="AH213" s="20">
        <f t="shared" si="53"/>
        <v>11.327493626945817</v>
      </c>
      <c r="AI213" s="22"/>
    </row>
    <row r="214" spans="1:35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7">
        <f t="shared" si="47"/>
        <v>513.4050005322373</v>
      </c>
      <c r="O214" s="7">
        <f t="shared" si="43"/>
        <v>3127.5</v>
      </c>
      <c r="P214" s="7">
        <f t="shared" si="44"/>
        <v>2614.0949994677626</v>
      </c>
      <c r="Q214" s="7">
        <f t="shared" si="45"/>
        <v>1036.8602870485347</v>
      </c>
      <c r="R214" s="7">
        <f t="shared" si="46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8"/>
        <v>87679</v>
      </c>
      <c r="X214" s="103">
        <f t="shared" si="49"/>
        <v>138060</v>
      </c>
      <c r="Y214" s="103"/>
      <c r="Z214" s="7">
        <v>36026</v>
      </c>
      <c r="AB214" s="2">
        <v>43588</v>
      </c>
      <c r="AC214" s="103">
        <v>147999</v>
      </c>
      <c r="AD214" s="103">
        <v>131267</v>
      </c>
      <c r="AE214" s="64">
        <f t="shared" si="50"/>
        <v>0.22394691856026055</v>
      </c>
      <c r="AF214" s="64">
        <f t="shared" si="51"/>
        <v>0.21583642499638142</v>
      </c>
      <c r="AG214" s="20">
        <f t="shared" si="52"/>
        <v>228.01528758077194</v>
      </c>
      <c r="AH214" s="20">
        <f t="shared" si="53"/>
        <v>285.38971295146536</v>
      </c>
      <c r="AI214" s="22"/>
    </row>
    <row r="215" spans="1:35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7">
        <f t="shared" si="47"/>
        <v>18.222185878922122</v>
      </c>
      <c r="O215" s="7">
        <f t="shared" si="43"/>
        <v>1757.8333333333333</v>
      </c>
      <c r="P215" s="7">
        <f t="shared" si="44"/>
        <v>1739.6111474544111</v>
      </c>
      <c r="Q215" s="7">
        <f t="shared" si="45"/>
        <v>636.07415775309551</v>
      </c>
      <c r="R215" s="7">
        <f t="shared" si="46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8"/>
        <v>61698</v>
      </c>
      <c r="X215" s="103">
        <f t="shared" si="49"/>
        <v>65557</v>
      </c>
      <c r="Y215" s="103"/>
      <c r="Z215" s="7">
        <v>954</v>
      </c>
      <c r="AB215" s="2">
        <v>1595</v>
      </c>
      <c r="AC215" s="103">
        <v>59684</v>
      </c>
      <c r="AD215" s="103">
        <v>63293</v>
      </c>
      <c r="AE215" s="64">
        <f t="shared" si="50"/>
        <v>1.4705448696468065E-2</v>
      </c>
      <c r="AF215" s="64">
        <f t="shared" si="51"/>
        <v>1.6380168423048364E-2</v>
      </c>
      <c r="AG215" s="20">
        <f t="shared" si="52"/>
        <v>7.6296769653508463</v>
      </c>
      <c r="AH215" s="20">
        <f t="shared" si="53"/>
        <v>10.592508913571276</v>
      </c>
      <c r="AI215" s="22"/>
    </row>
    <row r="216" spans="1:35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7">
        <f t="shared" si="47"/>
        <v>3.6153348447155129</v>
      </c>
      <c r="O216" s="7">
        <f t="shared" si="43"/>
        <v>1328.25</v>
      </c>
      <c r="P216" s="7">
        <f t="shared" si="44"/>
        <v>1324.6346651552844</v>
      </c>
      <c r="Q216" s="7">
        <f t="shared" si="45"/>
        <v>552.63466515528444</v>
      </c>
      <c r="R216" s="7">
        <f t="shared" si="46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8"/>
        <v>61682</v>
      </c>
      <c r="X216" s="103">
        <f t="shared" si="49"/>
        <v>65632</v>
      </c>
      <c r="Y216" s="103"/>
      <c r="Z216" s="7">
        <v>0</v>
      </c>
      <c r="AB216" s="2">
        <v>623</v>
      </c>
      <c r="AC216" s="103">
        <v>49041</v>
      </c>
      <c r="AD216" s="103">
        <v>62305</v>
      </c>
      <c r="AE216" s="64">
        <f t="shared" si="50"/>
        <v>0</v>
      </c>
      <c r="AF216" s="64">
        <f t="shared" si="51"/>
        <v>6.4994783725222703E-3</v>
      </c>
      <c r="AG216" s="20">
        <f t="shared" si="52"/>
        <v>0</v>
      </c>
      <c r="AH216" s="20">
        <f t="shared" si="53"/>
        <v>3.6153348447155129</v>
      </c>
      <c r="AI216" s="22"/>
    </row>
    <row r="217" spans="1:35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7">
        <f t="shared" si="47"/>
        <v>447.08568302999231</v>
      </c>
      <c r="O217" s="7">
        <f t="shared" si="43"/>
        <v>3235.5833333333335</v>
      </c>
      <c r="P217" s="7">
        <f t="shared" si="44"/>
        <v>2788.4976503033413</v>
      </c>
      <c r="Q217" s="7">
        <f t="shared" si="45"/>
        <v>997.27082347507621</v>
      </c>
      <c r="R217" s="7">
        <f t="shared" si="46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8"/>
        <v>77230</v>
      </c>
      <c r="X217" s="103">
        <f t="shared" si="49"/>
        <v>128110</v>
      </c>
      <c r="Y217" s="103"/>
      <c r="Z217" s="7">
        <v>16751</v>
      </c>
      <c r="AB217" s="2">
        <v>46186</v>
      </c>
      <c r="AC217" s="103">
        <v>153137</v>
      </c>
      <c r="AD217" s="103">
        <v>123416</v>
      </c>
      <c r="AE217" s="64">
        <f t="shared" si="50"/>
        <v>0.10063485637043955</v>
      </c>
      <c r="AF217" s="64">
        <f t="shared" si="51"/>
        <v>0.24324965968756079</v>
      </c>
      <c r="AG217" s="20">
        <f t="shared" si="52"/>
        <v>126.52317317173512</v>
      </c>
      <c r="AH217" s="20">
        <f t="shared" si="53"/>
        <v>320.56250985825722</v>
      </c>
      <c r="AI217" s="22"/>
    </row>
    <row r="218" spans="1:35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7">
        <f t="shared" si="47"/>
        <v>124.70838841534363</v>
      </c>
      <c r="O218" s="7">
        <f t="shared" si="43"/>
        <v>2885.5833333333335</v>
      </c>
      <c r="P218" s="7">
        <f t="shared" si="44"/>
        <v>2760.87494491799</v>
      </c>
      <c r="Q218" s="7">
        <f t="shared" si="45"/>
        <v>1129.2764661700455</v>
      </c>
      <c r="R218" s="7">
        <f t="shared" si="46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8"/>
        <v>104139</v>
      </c>
      <c r="X218" s="103">
        <f t="shared" si="49"/>
        <v>112558</v>
      </c>
      <c r="Y218" s="103"/>
      <c r="Z218" s="7">
        <v>15724</v>
      </c>
      <c r="AB218" s="2">
        <v>1374</v>
      </c>
      <c r="AC218" s="103">
        <v>120804</v>
      </c>
      <c r="AD218" s="103">
        <v>105513</v>
      </c>
      <c r="AE218" s="64">
        <f t="shared" si="50"/>
        <v>0.11974835270355287</v>
      </c>
      <c r="AF218" s="64">
        <f t="shared" si="51"/>
        <v>8.4643598419152141E-3</v>
      </c>
      <c r="AG218" s="20">
        <f t="shared" si="52"/>
        <v>115.06818791872236</v>
      </c>
      <c r="AH218" s="20">
        <f t="shared" si="53"/>
        <v>9.6402004966212704</v>
      </c>
      <c r="AI218" s="22"/>
    </row>
    <row r="219" spans="1:35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7">
        <f t="shared" si="47"/>
        <v>309.57224964029939</v>
      </c>
      <c r="O219" s="7">
        <f t="shared" si="43"/>
        <v>2913.25</v>
      </c>
      <c r="P219" s="7">
        <f t="shared" si="44"/>
        <v>2603.6777503597004</v>
      </c>
      <c r="Q219" s="7">
        <f t="shared" si="45"/>
        <v>1161.6284516692438</v>
      </c>
      <c r="R219" s="7">
        <f t="shared" si="46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8"/>
        <v>82983</v>
      </c>
      <c r="X219" s="103">
        <f t="shared" si="49"/>
        <v>107462</v>
      </c>
      <c r="Y219" s="103"/>
      <c r="Z219" s="7">
        <v>24582</v>
      </c>
      <c r="AB219" s="2">
        <v>18550</v>
      </c>
      <c r="AC219" s="103">
        <v>128569</v>
      </c>
      <c r="AD219" s="103">
        <v>101533</v>
      </c>
      <c r="AE219" s="64">
        <f t="shared" si="50"/>
        <v>0.17590118924468573</v>
      </c>
      <c r="AF219" s="64">
        <f t="shared" si="51"/>
        <v>0.11875449361291403</v>
      </c>
      <c r="AG219" s="20">
        <f t="shared" si="52"/>
        <v>153.03403464287658</v>
      </c>
      <c r="AH219" s="20">
        <f t="shared" si="53"/>
        <v>156.53821499742281</v>
      </c>
      <c r="AI219" s="22"/>
    </row>
    <row r="220" spans="1:35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7">
        <f t="shared" si="47"/>
        <v>74.337519239566205</v>
      </c>
      <c r="O220" s="7">
        <f t="shared" si="43"/>
        <v>2887.1666666666665</v>
      </c>
      <c r="P220" s="7">
        <f t="shared" si="44"/>
        <v>2812.8291474271005</v>
      </c>
      <c r="Q220" s="7">
        <f t="shared" si="45"/>
        <v>1304.3024373833102</v>
      </c>
      <c r="R220" s="7">
        <f t="shared" si="46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8"/>
        <v>90204</v>
      </c>
      <c r="X220" s="103">
        <f t="shared" si="49"/>
        <v>95038</v>
      </c>
      <c r="Y220" s="103"/>
      <c r="Z220" s="7">
        <v>8091</v>
      </c>
      <c r="AB220" s="2">
        <v>1385</v>
      </c>
      <c r="AC220" s="103">
        <v>104894</v>
      </c>
      <c r="AD220" s="103">
        <v>91589</v>
      </c>
      <c r="AE220" s="64">
        <f t="shared" si="50"/>
        <v>7.0964211489694354E-2</v>
      </c>
      <c r="AF220" s="64">
        <f t="shared" si="51"/>
        <v>9.8292371354638669E-3</v>
      </c>
      <c r="AG220" s="20">
        <f t="shared" si="52"/>
        <v>61.389956622876426</v>
      </c>
      <c r="AH220" s="20">
        <f t="shared" si="53"/>
        <v>12.947562616689778</v>
      </c>
      <c r="AI220" s="22"/>
    </row>
    <row r="221" spans="1:35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7">
        <f t="shared" si="47"/>
        <v>144.66605949197356</v>
      </c>
      <c r="O221" s="7">
        <f t="shared" si="43"/>
        <v>2859.666666666667</v>
      </c>
      <c r="P221" s="7">
        <f t="shared" si="44"/>
        <v>2715.000607174693</v>
      </c>
      <c r="Q221" s="7">
        <f t="shared" si="45"/>
        <v>1165.7556208565945</v>
      </c>
      <c r="R221" s="7">
        <f t="shared" si="46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8"/>
        <v>85671</v>
      </c>
      <c r="X221" s="103">
        <f t="shared" si="49"/>
        <v>107357</v>
      </c>
      <c r="Y221" s="103"/>
      <c r="Z221" s="7">
        <v>20</v>
      </c>
      <c r="AB221" s="2">
        <v>17505</v>
      </c>
      <c r="AC221" s="103">
        <v>88438</v>
      </c>
      <c r="AD221" s="103">
        <v>103176</v>
      </c>
      <c r="AE221" s="64">
        <f t="shared" si="50"/>
        <v>2.0805536081774803E-4</v>
      </c>
      <c r="AF221" s="64">
        <f t="shared" si="51"/>
        <v>0.11028000697836707</v>
      </c>
      <c r="AG221" s="20">
        <f t="shared" si="52"/>
        <v>0.17168034856811176</v>
      </c>
      <c r="AH221" s="20">
        <f t="shared" si="53"/>
        <v>144.49437914340544</v>
      </c>
      <c r="AI221" s="22"/>
    </row>
    <row r="222" spans="1:35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7">
        <f t="shared" si="47"/>
        <v>8.1644460698099159</v>
      </c>
      <c r="O222" s="7">
        <f t="shared" si="43"/>
        <v>1607.583333333333</v>
      </c>
      <c r="P222" s="7">
        <f t="shared" si="44"/>
        <v>1599.4188872635232</v>
      </c>
      <c r="Q222" s="7">
        <f t="shared" si="45"/>
        <v>590.33555393018992</v>
      </c>
      <c r="R222" s="7">
        <f t="shared" si="46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8"/>
        <v>57891</v>
      </c>
      <c r="X222" s="103">
        <f t="shared" si="49"/>
        <v>61082</v>
      </c>
      <c r="Y222" s="103"/>
      <c r="Z222" s="7">
        <v>0</v>
      </c>
      <c r="AB222" s="2">
        <v>1241</v>
      </c>
      <c r="AC222" s="103">
        <v>68473</v>
      </c>
      <c r="AD222" s="103">
        <v>59132</v>
      </c>
      <c r="AE222" s="64">
        <f t="shared" si="50"/>
        <v>0</v>
      </c>
      <c r="AF222" s="64">
        <f t="shared" si="51"/>
        <v>1.3641513901102619E-2</v>
      </c>
      <c r="AG222" s="20">
        <f t="shared" si="52"/>
        <v>0</v>
      </c>
      <c r="AH222" s="20">
        <f t="shared" si="53"/>
        <v>8.1644460698099159</v>
      </c>
      <c r="AI222" s="22"/>
    </row>
    <row r="223" spans="1:35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7">
        <f t="shared" si="47"/>
        <v>2.8593883136493559</v>
      </c>
      <c r="O223" s="7">
        <f t="shared" si="43"/>
        <v>1219.8333333333335</v>
      </c>
      <c r="P223" s="7">
        <f t="shared" si="44"/>
        <v>1216.9739450196839</v>
      </c>
      <c r="Q223" s="7">
        <f t="shared" si="45"/>
        <v>547.55727835301741</v>
      </c>
      <c r="R223" s="7">
        <f t="shared" si="46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8"/>
        <v>61316</v>
      </c>
      <c r="X223" s="103">
        <f t="shared" si="49"/>
        <v>64124</v>
      </c>
      <c r="Y223" s="103"/>
      <c r="Z223" s="7">
        <v>0</v>
      </c>
      <c r="AB223" s="2">
        <v>494</v>
      </c>
      <c r="AC223" s="103">
        <v>45570</v>
      </c>
      <c r="AD223" s="103">
        <v>61810</v>
      </c>
      <c r="AE223" s="64">
        <f t="shared" si="50"/>
        <v>0</v>
      </c>
      <c r="AF223" s="64">
        <f t="shared" si="51"/>
        <v>5.1949522730949686E-3</v>
      </c>
      <c r="AG223" s="20">
        <f t="shared" si="52"/>
        <v>0</v>
      </c>
      <c r="AH223" s="20">
        <f t="shared" si="53"/>
        <v>2.8593883136493559</v>
      </c>
      <c r="AI223" s="22"/>
    </row>
    <row r="224" spans="1:35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7">
        <f t="shared" si="47"/>
        <v>108.86459206707515</v>
      </c>
      <c r="O224" s="7">
        <f t="shared" si="43"/>
        <v>3020.583333333333</v>
      </c>
      <c r="P224" s="7">
        <f t="shared" si="44"/>
        <v>2911.7187412662579</v>
      </c>
      <c r="Q224" s="7">
        <f t="shared" si="45"/>
        <v>1200.6354079329249</v>
      </c>
      <c r="R224" s="7">
        <f t="shared" si="46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8"/>
        <v>105471</v>
      </c>
      <c r="X224" s="103">
        <f t="shared" si="49"/>
        <v>126492</v>
      </c>
      <c r="Y224" s="103"/>
      <c r="Z224" s="7">
        <v>0</v>
      </c>
      <c r="AB224" s="2">
        <v>15468</v>
      </c>
      <c r="AC224" s="103">
        <v>122561</v>
      </c>
      <c r="AD224" s="103">
        <v>120939</v>
      </c>
      <c r="AE224" s="64">
        <f t="shared" si="50"/>
        <v>0</v>
      </c>
      <c r="AF224" s="64">
        <f t="shared" si="51"/>
        <v>8.313447275072558E-2</v>
      </c>
      <c r="AG224" s="20">
        <f t="shared" si="52"/>
        <v>0</v>
      </c>
      <c r="AH224" s="20">
        <f t="shared" si="53"/>
        <v>108.86459206707515</v>
      </c>
      <c r="AI224" s="22"/>
    </row>
    <row r="225" spans="1:35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7">
        <f t="shared" si="47"/>
        <v>113.99904738880814</v>
      </c>
      <c r="O225" s="7">
        <f t="shared" si="43"/>
        <v>3041.7499999999995</v>
      </c>
      <c r="P225" s="7">
        <f t="shared" si="44"/>
        <v>2927.7509526111917</v>
      </c>
      <c r="Q225" s="7">
        <f t="shared" si="45"/>
        <v>1286.8539155481474</v>
      </c>
      <c r="R225" s="7">
        <f t="shared" si="46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8"/>
        <v>101457</v>
      </c>
      <c r="X225" s="103">
        <f t="shared" si="49"/>
        <v>113416</v>
      </c>
      <c r="Y225" s="103"/>
      <c r="Z225" s="7">
        <v>14531</v>
      </c>
      <c r="AB225" s="2">
        <v>1134</v>
      </c>
      <c r="AC225" s="103">
        <v>128169</v>
      </c>
      <c r="AD225" s="103">
        <v>102591</v>
      </c>
      <c r="AE225" s="64">
        <f t="shared" si="50"/>
        <v>0.10430384882459877</v>
      </c>
      <c r="AF225" s="64">
        <f t="shared" si="51"/>
        <v>7.1848407755066238E-3</v>
      </c>
      <c r="AG225" s="20">
        <f t="shared" si="52"/>
        <v>104.68629627028896</v>
      </c>
      <c r="AH225" s="20">
        <f t="shared" si="53"/>
        <v>9.3127511185191683</v>
      </c>
      <c r="AI225" s="22"/>
    </row>
    <row r="226" spans="1:35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7">
        <f t="shared" si="47"/>
        <v>242.18568403235855</v>
      </c>
      <c r="O226" s="7">
        <f t="shared" si="43"/>
        <v>2961.4166666666665</v>
      </c>
      <c r="P226" s="7">
        <f t="shared" si="44"/>
        <v>2719.230982634308</v>
      </c>
      <c r="Q226" s="7">
        <f t="shared" si="45"/>
        <v>1143.4358076340084</v>
      </c>
      <c r="R226" s="7">
        <f t="shared" si="46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8"/>
        <v>104894</v>
      </c>
      <c r="X226" s="103">
        <f t="shared" si="49"/>
        <v>129851</v>
      </c>
      <c r="Y226" s="103"/>
      <c r="Z226" s="7">
        <v>20954</v>
      </c>
      <c r="AB226" s="2">
        <v>16056</v>
      </c>
      <c r="AC226" s="103">
        <v>139095</v>
      </c>
      <c r="AD226" s="103">
        <v>120950</v>
      </c>
      <c r="AE226" s="64">
        <f t="shared" si="50"/>
        <v>0.13859362306337394</v>
      </c>
      <c r="AF226" s="64">
        <f t="shared" si="51"/>
        <v>8.6286895411326989E-2</v>
      </c>
      <c r="AG226" s="20">
        <f t="shared" si="52"/>
        <v>134.20482499970043</v>
      </c>
      <c r="AH226" s="20">
        <f t="shared" si="53"/>
        <v>107.9808590326581</v>
      </c>
      <c r="AI226" s="22"/>
    </row>
    <row r="227" spans="1:35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7">
        <f t="shared" si="47"/>
        <v>332.69958785457203</v>
      </c>
      <c r="O227" s="7">
        <f t="shared" si="43"/>
        <v>2970.4166666666665</v>
      </c>
      <c r="P227" s="7">
        <f t="shared" si="44"/>
        <v>2637.7170788120948</v>
      </c>
      <c r="Q227" s="7">
        <f t="shared" si="45"/>
        <v>1046.220308628014</v>
      </c>
      <c r="R227" s="7">
        <f t="shared" si="46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8"/>
        <v>76625</v>
      </c>
      <c r="X227" s="103">
        <f t="shared" si="49"/>
        <v>109390</v>
      </c>
      <c r="Y227" s="103"/>
      <c r="Z227" s="7">
        <v>17877</v>
      </c>
      <c r="AB227" s="2">
        <v>25067</v>
      </c>
      <c r="AC227" s="103">
        <v>119368</v>
      </c>
      <c r="AD227" s="103">
        <v>101692</v>
      </c>
      <c r="AE227" s="64">
        <f t="shared" si="50"/>
        <v>0.13778265531800818</v>
      </c>
      <c r="AF227" s="64">
        <f t="shared" si="51"/>
        <v>0.16022450143570782</v>
      </c>
      <c r="AG227" s="20">
        <f t="shared" si="52"/>
        <v>133.08656314925273</v>
      </c>
      <c r="AH227" s="20">
        <f t="shared" si="53"/>
        <v>199.6130247053193</v>
      </c>
      <c r="AI227" s="22"/>
    </row>
    <row r="228" spans="1:35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7">
        <f t="shared" si="47"/>
        <v>18.031655664608458</v>
      </c>
      <c r="O228" s="7">
        <f t="shared" si="43"/>
        <v>2662.333333333333</v>
      </c>
      <c r="P228" s="7">
        <f t="shared" si="44"/>
        <v>2644.3016776687246</v>
      </c>
      <c r="Q228" s="7">
        <f t="shared" si="45"/>
        <v>954.59276519550906</v>
      </c>
      <c r="R228" s="7">
        <f t="shared" si="46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8"/>
        <v>95494</v>
      </c>
      <c r="X228" s="103">
        <f t="shared" si="49"/>
        <v>101029</v>
      </c>
      <c r="Y228" s="103"/>
      <c r="Z228" s="7">
        <v>1156</v>
      </c>
      <c r="AB228" s="2">
        <v>938</v>
      </c>
      <c r="AC228" s="103">
        <v>86027</v>
      </c>
      <c r="AD228" s="103">
        <v>96432</v>
      </c>
      <c r="AE228" s="64">
        <f t="shared" si="50"/>
        <v>1.2362630336987226E-2</v>
      </c>
      <c r="AF228" s="64">
        <f t="shared" si="51"/>
        <v>6.3225900116144016E-3</v>
      </c>
      <c r="AG228" s="20">
        <f t="shared" si="52"/>
        <v>11.95775419345089</v>
      </c>
      <c r="AH228" s="20">
        <f t="shared" si="53"/>
        <v>6.0739014711575683</v>
      </c>
      <c r="AI228" s="22"/>
    </row>
    <row r="229" spans="1:35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7">
        <f t="shared" si="47"/>
        <v>16.329311442540163</v>
      </c>
      <c r="O229" s="7">
        <f t="shared" si="43"/>
        <v>1569.416666666667</v>
      </c>
      <c r="P229" s="7">
        <f t="shared" si="44"/>
        <v>1553.0873552241267</v>
      </c>
      <c r="Q229" s="7">
        <f t="shared" si="45"/>
        <v>590.48032570730015</v>
      </c>
      <c r="R229" s="7">
        <f t="shared" si="46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8"/>
        <v>55431</v>
      </c>
      <c r="X229" s="103">
        <f t="shared" si="49"/>
        <v>59960</v>
      </c>
      <c r="Y229" s="103"/>
      <c r="Z229" s="7">
        <v>434</v>
      </c>
      <c r="AB229" s="2">
        <v>1829</v>
      </c>
      <c r="AC229" s="103">
        <v>56736</v>
      </c>
      <c r="AD229" s="103">
        <v>57260</v>
      </c>
      <c r="AE229" s="64">
        <f t="shared" si="50"/>
        <v>7.0375070501974054E-3</v>
      </c>
      <c r="AF229" s="64">
        <f t="shared" si="51"/>
        <v>2.0762312259867272E-2</v>
      </c>
      <c r="AG229" s="20">
        <f t="shared" si="52"/>
        <v>3.8096371498401957</v>
      </c>
      <c r="AH229" s="20">
        <f t="shared" si="53"/>
        <v>12.519674292699968</v>
      </c>
      <c r="AI229" s="22"/>
    </row>
    <row r="230" spans="1:35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7">
        <f t="shared" si="47"/>
        <v>2.1483153657585379</v>
      </c>
      <c r="O230" s="7">
        <f t="shared" si="43"/>
        <v>1219.5</v>
      </c>
      <c r="P230" s="7">
        <f t="shared" si="44"/>
        <v>1217.3516846342413</v>
      </c>
      <c r="Q230" s="7">
        <f t="shared" si="45"/>
        <v>542.10168463424145</v>
      </c>
      <c r="R230" s="7">
        <f t="shared" si="46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si="48"/>
        <v>53520</v>
      </c>
      <c r="X230" s="103">
        <f t="shared" si="49"/>
        <v>55064</v>
      </c>
      <c r="Y230" s="103"/>
      <c r="Z230" s="7">
        <v>0</v>
      </c>
      <c r="AB230" s="2">
        <v>327</v>
      </c>
      <c r="AC230" s="103">
        <v>45814</v>
      </c>
      <c r="AD230" s="103">
        <v>53847</v>
      </c>
      <c r="AE230" s="64">
        <f t="shared" si="50"/>
        <v>0</v>
      </c>
      <c r="AF230" s="64">
        <f t="shared" si="51"/>
        <v>3.9472951139339239E-3</v>
      </c>
      <c r="AG230" s="20">
        <f t="shared" ref="AG230:AG261" si="54">+AE230*K230</f>
        <v>0</v>
      </c>
      <c r="AH230" s="20">
        <f t="shared" ref="AH230:AH261" si="55">+AF230*I230</f>
        <v>2.1483153657585379</v>
      </c>
      <c r="AI230" s="22"/>
    </row>
    <row r="231" spans="1:35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7">
        <f t="shared" si="47"/>
        <v>15.500161083314673</v>
      </c>
      <c r="O231" s="7">
        <f t="shared" si="43"/>
        <v>2870.8333333333335</v>
      </c>
      <c r="P231" s="7">
        <f t="shared" si="44"/>
        <v>2855.3331722500188</v>
      </c>
      <c r="Q231" s="7">
        <f t="shared" si="45"/>
        <v>1044.473331172039</v>
      </c>
      <c r="R231" s="7">
        <f t="shared" si="46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8"/>
        <v>95544</v>
      </c>
      <c r="X231" s="103">
        <f t="shared" si="49"/>
        <v>105397</v>
      </c>
      <c r="Y231" s="103"/>
      <c r="Z231" s="7">
        <v>453</v>
      </c>
      <c r="AB231" s="2">
        <v>1620</v>
      </c>
      <c r="AC231" s="103">
        <v>110033</v>
      </c>
      <c r="AD231" s="103">
        <v>97164</v>
      </c>
      <c r="AE231" s="64">
        <f t="shared" si="50"/>
        <v>3.7875909954286444E-3</v>
      </c>
      <c r="AF231" s="64">
        <f t="shared" si="51"/>
        <v>1.0837347165616896E-2</v>
      </c>
      <c r="AG231" s="20">
        <f t="shared" si="54"/>
        <v>4.0568255886870315</v>
      </c>
      <c r="AH231" s="20">
        <f t="shared" si="55"/>
        <v>11.443335494627641</v>
      </c>
      <c r="AI231" s="22"/>
    </row>
    <row r="232" spans="1:35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7">
        <f t="shared" si="47"/>
        <v>79.431602765733885</v>
      </c>
      <c r="O232" s="7">
        <f t="shared" si="43"/>
        <v>2926.0833333333335</v>
      </c>
      <c r="P232" s="7">
        <f t="shared" si="44"/>
        <v>2846.6517305675998</v>
      </c>
      <c r="Q232" s="7">
        <f t="shared" si="45"/>
        <v>1178.1365136673378</v>
      </c>
      <c r="R232" s="7">
        <f t="shared" si="46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8"/>
        <v>74754</v>
      </c>
      <c r="X232" s="103">
        <f t="shared" si="49"/>
        <v>82477</v>
      </c>
      <c r="Y232" s="103"/>
      <c r="Z232" s="7">
        <v>6461</v>
      </c>
      <c r="AB232" s="2">
        <v>2730</v>
      </c>
      <c r="AC232" s="103">
        <v>101529</v>
      </c>
      <c r="AD232" s="103">
        <v>77484</v>
      </c>
      <c r="AE232" s="64">
        <f t="shared" si="50"/>
        <v>5.8546031183208731E-2</v>
      </c>
      <c r="AF232" s="64">
        <f t="shared" si="51"/>
        <v>2.2901502245624903E-2</v>
      </c>
      <c r="AG232" s="20">
        <f t="shared" si="54"/>
        <v>51.818116433071665</v>
      </c>
      <c r="AH232" s="20">
        <f t="shared" si="55"/>
        <v>27.613486332662227</v>
      </c>
      <c r="AI232" s="22"/>
    </row>
    <row r="233" spans="1:35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7">
        <f t="shared" si="47"/>
        <v>131.62116538683509</v>
      </c>
      <c r="O233" s="7">
        <f t="shared" si="43"/>
        <v>2680.6666666666665</v>
      </c>
      <c r="P233" s="7">
        <f t="shared" si="44"/>
        <v>2549.0455012798316</v>
      </c>
      <c r="Q233" s="7">
        <f t="shared" si="45"/>
        <v>1201.6352609767609</v>
      </c>
      <c r="R233" s="7">
        <f t="shared" si="46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8"/>
        <v>94031</v>
      </c>
      <c r="X233" s="103">
        <f t="shared" si="49"/>
        <v>98667</v>
      </c>
      <c r="Y233" s="103"/>
      <c r="Z233" s="7">
        <v>15176</v>
      </c>
      <c r="AB233" s="2">
        <v>1284</v>
      </c>
      <c r="AC233" s="103">
        <v>98459</v>
      </c>
      <c r="AD233" s="103">
        <v>95315</v>
      </c>
      <c r="AE233" s="64">
        <f t="shared" si="50"/>
        <v>0.14180440589483947</v>
      </c>
      <c r="AF233" s="64">
        <f t="shared" si="51"/>
        <v>8.7562293448040715E-3</v>
      </c>
      <c r="AG233" s="20">
        <f t="shared" si="54"/>
        <v>121.00642636359636</v>
      </c>
      <c r="AH233" s="20">
        <f t="shared" si="55"/>
        <v>10.614739023238734</v>
      </c>
      <c r="AI233" s="22"/>
    </row>
    <row r="234" spans="1:35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7">
        <f t="shared" si="47"/>
        <v>207.87460879561507</v>
      </c>
      <c r="O234" s="7">
        <f t="shared" si="43"/>
        <v>3094.9166666666665</v>
      </c>
      <c r="P234" s="7">
        <f t="shared" si="44"/>
        <v>2887.0420578710514</v>
      </c>
      <c r="Q234" s="7">
        <f t="shared" si="45"/>
        <v>1309.3274487635629</v>
      </c>
      <c r="R234" s="7">
        <f t="shared" si="46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8"/>
        <v>110057</v>
      </c>
      <c r="X234" s="103">
        <f t="shared" si="49"/>
        <v>135820</v>
      </c>
      <c r="Y234" s="103"/>
      <c r="Z234" s="7">
        <v>8457</v>
      </c>
      <c r="AB234" s="2">
        <v>20075</v>
      </c>
      <c r="AC234" s="103">
        <v>107472</v>
      </c>
      <c r="AD234" s="103">
        <v>130132</v>
      </c>
      <c r="AE234" s="64">
        <f t="shared" si="50"/>
        <v>7.2395042429656095E-2</v>
      </c>
      <c r="AF234" s="64">
        <f t="shared" si="51"/>
        <v>0.10027318415147697</v>
      </c>
      <c r="AG234" s="20">
        <f t="shared" si="54"/>
        <v>61.952057559178215</v>
      </c>
      <c r="AH234" s="20">
        <f t="shared" si="55"/>
        <v>145.92255123643685</v>
      </c>
      <c r="AI234" s="22"/>
    </row>
    <row r="235" spans="1:35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7">
        <f t="shared" si="47"/>
        <v>140.2873909033618</v>
      </c>
      <c r="O235" s="7">
        <f t="shared" si="43"/>
        <v>2821.416666666667</v>
      </c>
      <c r="P235" s="7">
        <f t="shared" si="44"/>
        <v>2681.129275763305</v>
      </c>
      <c r="Q235" s="7">
        <f t="shared" si="45"/>
        <v>1180.3829326836637</v>
      </c>
      <c r="R235" s="7">
        <f t="shared" si="46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8"/>
        <v>109663</v>
      </c>
      <c r="X235" s="103">
        <f t="shared" si="49"/>
        <v>117300</v>
      </c>
      <c r="Y235" s="103"/>
      <c r="Z235" s="7">
        <v>17877</v>
      </c>
      <c r="AB235" s="2">
        <v>1573</v>
      </c>
      <c r="AC235" s="103">
        <v>111119</v>
      </c>
      <c r="AD235" s="103">
        <v>111236</v>
      </c>
      <c r="AE235" s="64">
        <f t="shared" si="50"/>
        <v>0.14801105121536373</v>
      </c>
      <c r="AF235" s="64">
        <f t="shared" si="51"/>
        <v>9.1917185083965625E-3</v>
      </c>
      <c r="AG235" s="20">
        <f t="shared" si="54"/>
        <v>129.33699025369202</v>
      </c>
      <c r="AH235" s="20">
        <f t="shared" si="55"/>
        <v>10.950400649669772</v>
      </c>
      <c r="AI235" s="22"/>
    </row>
    <row r="236" spans="1:35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7">
        <f t="shared" si="47"/>
        <v>154.24698107107247</v>
      </c>
      <c r="O236" s="7">
        <f t="shared" si="43"/>
        <v>2777.9166666666665</v>
      </c>
      <c r="P236" s="7">
        <f t="shared" si="44"/>
        <v>2623.6696855955943</v>
      </c>
      <c r="Q236" s="7">
        <f t="shared" si="45"/>
        <v>1035.0515182509409</v>
      </c>
      <c r="R236" s="7">
        <f t="shared" si="46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8"/>
        <v>97395</v>
      </c>
      <c r="X236" s="103">
        <f t="shared" si="49"/>
        <v>123319</v>
      </c>
      <c r="Y236" s="103"/>
      <c r="Z236" s="7">
        <v>3192</v>
      </c>
      <c r="AB236" s="2">
        <v>20051</v>
      </c>
      <c r="AC236" s="103">
        <v>98822</v>
      </c>
      <c r="AD236" s="103">
        <v>117446</v>
      </c>
      <c r="AE236" s="64">
        <f t="shared" si="50"/>
        <v>2.9716459897593653E-2</v>
      </c>
      <c r="AF236" s="64">
        <f t="shared" si="51"/>
        <v>0.11097142516560803</v>
      </c>
      <c r="AG236" s="20">
        <f t="shared" si="54"/>
        <v>25.048499322013317</v>
      </c>
      <c r="AH236" s="20">
        <f t="shared" si="55"/>
        <v>129.19848174905914</v>
      </c>
      <c r="AI236" s="22"/>
    </row>
    <row r="237" spans="1:35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7">
        <f t="shared" si="47"/>
        <v>133.53461996301732</v>
      </c>
      <c r="O237" s="7">
        <f t="shared" si="43"/>
        <v>2702.916666666667</v>
      </c>
      <c r="P237" s="7">
        <f t="shared" si="44"/>
        <v>2569.3820467036494</v>
      </c>
      <c r="Q237" s="7">
        <f t="shared" si="45"/>
        <v>1173.6403891633427</v>
      </c>
      <c r="R237" s="7">
        <f t="shared" si="46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8"/>
        <v>101139</v>
      </c>
      <c r="X237" s="103">
        <f t="shared" si="49"/>
        <v>107847</v>
      </c>
      <c r="Y237" s="103"/>
      <c r="Z237" s="7">
        <v>17016</v>
      </c>
      <c r="AB237" s="2">
        <v>1894</v>
      </c>
      <c r="AC237" s="103">
        <v>113773</v>
      </c>
      <c r="AD237" s="103">
        <v>103033</v>
      </c>
      <c r="AE237" s="64">
        <f t="shared" si="50"/>
        <v>0.13759609046082991</v>
      </c>
      <c r="AF237" s="64">
        <f t="shared" si="51"/>
        <v>1.1948598992555784E-2</v>
      </c>
      <c r="AG237" s="20">
        <f t="shared" si="54"/>
        <v>119.34167579302648</v>
      </c>
      <c r="AH237" s="20">
        <f t="shared" si="55"/>
        <v>14.192944169990847</v>
      </c>
      <c r="AI237" s="22"/>
    </row>
    <row r="238" spans="1:35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7">
        <f t="shared" si="47"/>
        <v>282.62587363570134</v>
      </c>
      <c r="O238" s="7">
        <f t="shared" si="43"/>
        <v>3163.5</v>
      </c>
      <c r="P238" s="7">
        <f t="shared" si="44"/>
        <v>2880.8741263642987</v>
      </c>
      <c r="Q238" s="7">
        <f t="shared" si="45"/>
        <v>1175.1601561670032</v>
      </c>
      <c r="R238" s="7">
        <f t="shared" si="46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8"/>
        <v>100015</v>
      </c>
      <c r="X238" s="103">
        <f t="shared" si="49"/>
        <v>126452</v>
      </c>
      <c r="Y238" s="103"/>
      <c r="Z238" s="7">
        <v>16554</v>
      </c>
      <c r="AB238" s="2">
        <v>22354</v>
      </c>
      <c r="AC238" s="103">
        <v>139182</v>
      </c>
      <c r="AD238" s="103">
        <v>122369</v>
      </c>
      <c r="AE238" s="64">
        <f t="shared" si="50"/>
        <v>0.10942277018579989</v>
      </c>
      <c r="AF238" s="64">
        <f t="shared" si="51"/>
        <v>0.11874004036970148</v>
      </c>
      <c r="AG238" s="20">
        <f t="shared" si="54"/>
        <v>124.28602980270439</v>
      </c>
      <c r="AH238" s="20">
        <f t="shared" si="55"/>
        <v>158.33984383299693</v>
      </c>
      <c r="AI238" s="22"/>
    </row>
    <row r="239" spans="1:35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7">
        <f t="shared" si="47"/>
        <v>153.35260979139591</v>
      </c>
      <c r="O239" s="7">
        <f t="shared" si="43"/>
        <v>3104.583333333333</v>
      </c>
      <c r="P239" s="7">
        <f t="shared" si="44"/>
        <v>2951.2307235419371</v>
      </c>
      <c r="Q239" s="7">
        <f t="shared" si="45"/>
        <v>1316.8881094094668</v>
      </c>
      <c r="R239" s="7">
        <f t="shared" si="46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8"/>
        <v>100925</v>
      </c>
      <c r="X239" s="103">
        <f t="shared" si="49"/>
        <v>108806</v>
      </c>
      <c r="Y239" s="103"/>
      <c r="Z239" s="7">
        <v>19878</v>
      </c>
      <c r="AB239" s="2">
        <v>1982</v>
      </c>
      <c r="AC239" s="103">
        <v>146825</v>
      </c>
      <c r="AD239" s="103">
        <v>102907</v>
      </c>
      <c r="AE239" s="64">
        <f t="shared" si="50"/>
        <v>0.12455481014813555</v>
      </c>
      <c r="AF239" s="64">
        <f t="shared" si="51"/>
        <v>1.2519070617159183E-2</v>
      </c>
      <c r="AG239" s="20">
        <f t="shared" si="54"/>
        <v>136.65738586752937</v>
      </c>
      <c r="AH239" s="20">
        <f t="shared" si="55"/>
        <v>16.695223923866532</v>
      </c>
      <c r="AI239" s="22"/>
    </row>
    <row r="240" spans="1:35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7">
        <f t="shared" si="47"/>
        <v>288.41856493942072</v>
      </c>
      <c r="O240" s="7">
        <f t="shared" si="43"/>
        <v>3699.25</v>
      </c>
      <c r="P240" s="7">
        <f t="shared" si="44"/>
        <v>3410.8314350605788</v>
      </c>
      <c r="Q240" s="7">
        <f t="shared" si="45"/>
        <v>1439.6698913764628</v>
      </c>
      <c r="R240" s="7">
        <f t="shared" si="46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8"/>
        <v>108140</v>
      </c>
      <c r="X240" s="103">
        <f t="shared" si="49"/>
        <v>147516</v>
      </c>
      <c r="Y240" s="103"/>
      <c r="Z240" s="7">
        <v>3297</v>
      </c>
      <c r="AB240" s="2">
        <v>33542</v>
      </c>
      <c r="AC240" s="103">
        <v>128731</v>
      </c>
      <c r="AD240" s="103">
        <v>141682</v>
      </c>
      <c r="AE240" s="64">
        <f t="shared" si="50"/>
        <v>2.3562622833660889E-2</v>
      </c>
      <c r="AF240" s="64">
        <f t="shared" si="51"/>
        <v>0.15388193277904039</v>
      </c>
      <c r="AG240" s="20">
        <f t="shared" si="54"/>
        <v>26.588456315883505</v>
      </c>
      <c r="AH240" s="20">
        <f t="shared" si="55"/>
        <v>261.83010862353723</v>
      </c>
      <c r="AI240" s="22"/>
    </row>
    <row r="241" spans="1:35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7">
        <f t="shared" si="47"/>
        <v>143.81350988066583</v>
      </c>
      <c r="O241" s="7">
        <f t="shared" si="43"/>
        <v>3660.666666666667</v>
      </c>
      <c r="P241" s="7">
        <f t="shared" si="44"/>
        <v>3516.8531567860005</v>
      </c>
      <c r="Q241" s="7">
        <f t="shared" si="45"/>
        <v>1679.2304502311758</v>
      </c>
      <c r="R241" s="7">
        <f t="shared" si="46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8"/>
        <v>135149</v>
      </c>
      <c r="X241" s="103">
        <f t="shared" si="49"/>
        <v>140935</v>
      </c>
      <c r="Y241" s="103"/>
      <c r="Z241" s="7">
        <v>18270</v>
      </c>
      <c r="AB241" s="2">
        <v>1255</v>
      </c>
      <c r="AC241" s="103">
        <v>147947</v>
      </c>
      <c r="AD241" s="103">
        <v>136404</v>
      </c>
      <c r="AE241" s="64">
        <f t="shared" si="50"/>
        <v>0.11361095527452399</v>
      </c>
      <c r="AF241" s="64">
        <f t="shared" si="51"/>
        <v>5.9803964693117499E-3</v>
      </c>
      <c r="AG241" s="20">
        <f t="shared" si="54"/>
        <v>133.71062677850853</v>
      </c>
      <c r="AH241" s="20">
        <f t="shared" si="55"/>
        <v>10.102883102157316</v>
      </c>
      <c r="AI241" s="22"/>
    </row>
    <row r="242" spans="1:35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7">
        <f t="shared" si="47"/>
        <v>14.839272738584048</v>
      </c>
      <c r="O242" s="7">
        <f t="shared" si="43"/>
        <v>3556.1666666666665</v>
      </c>
      <c r="P242" s="7">
        <f t="shared" si="44"/>
        <v>3541.3273939280825</v>
      </c>
      <c r="Q242" s="7">
        <f t="shared" si="45"/>
        <v>1775.5773939280828</v>
      </c>
      <c r="R242" s="7">
        <f t="shared" si="46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8"/>
        <v>132242</v>
      </c>
      <c r="X242" s="103">
        <f t="shared" si="49"/>
        <v>140064</v>
      </c>
      <c r="Y242" s="103"/>
      <c r="Z242" s="7">
        <v>0</v>
      </c>
      <c r="AB242" s="2">
        <v>1708</v>
      </c>
      <c r="AC242" s="103">
        <v>101385</v>
      </c>
      <c r="AD242" s="103">
        <v>133950</v>
      </c>
      <c r="AE242" s="64">
        <f t="shared" si="50"/>
        <v>0</v>
      </c>
      <c r="AF242" s="64">
        <f t="shared" si="51"/>
        <v>8.2881672265770808E-3</v>
      </c>
      <c r="AG242" s="20">
        <f t="shared" si="54"/>
        <v>0</v>
      </c>
      <c r="AH242" s="20">
        <f t="shared" si="55"/>
        <v>14.839272738584048</v>
      </c>
      <c r="AI242" s="22"/>
    </row>
    <row r="243" spans="1:35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7">
        <f t="shared" si="47"/>
        <v>4.0743193577274202</v>
      </c>
      <c r="O243" s="7">
        <f t="shared" si="43"/>
        <v>2953.0833333333335</v>
      </c>
      <c r="P243" s="7">
        <f t="shared" si="44"/>
        <v>2949.0090139756057</v>
      </c>
      <c r="Q243" s="7">
        <f t="shared" si="45"/>
        <v>1403.6756806422725</v>
      </c>
      <c r="R243" s="7">
        <f t="shared" si="46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8"/>
        <v>120066</v>
      </c>
      <c r="X243" s="103">
        <f t="shared" si="49"/>
        <v>124289</v>
      </c>
      <c r="Y243" s="103"/>
      <c r="Z243" s="7">
        <v>0</v>
      </c>
      <c r="AB243" s="2">
        <v>537</v>
      </c>
      <c r="AC243" s="103">
        <v>100795</v>
      </c>
      <c r="AD243" s="103">
        <v>120603</v>
      </c>
      <c r="AE243" s="64">
        <f t="shared" si="50"/>
        <v>0</v>
      </c>
      <c r="AF243" s="64">
        <f t="shared" si="51"/>
        <v>2.8942066117758269E-3</v>
      </c>
      <c r="AG243" s="20">
        <f t="shared" si="54"/>
        <v>0</v>
      </c>
      <c r="AH243" s="20">
        <f t="shared" si="55"/>
        <v>4.0743193577274202</v>
      </c>
      <c r="AI243" s="22"/>
    </row>
    <row r="244" spans="1:35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7">
        <f t="shared" si="47"/>
        <v>260.04071267182184</v>
      </c>
      <c r="O244" s="7">
        <f t="shared" si="43"/>
        <v>2785.5</v>
      </c>
      <c r="P244" s="7">
        <f t="shared" si="44"/>
        <v>2525.4592873281781</v>
      </c>
      <c r="Q244" s="7">
        <f t="shared" si="45"/>
        <v>1312.8383210036009</v>
      </c>
      <c r="R244" s="7">
        <f t="shared" si="46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8"/>
        <v>87423</v>
      </c>
      <c r="X244" s="103">
        <f t="shared" si="49"/>
        <v>108403</v>
      </c>
      <c r="Y244" s="103"/>
      <c r="Z244" s="7">
        <v>10182</v>
      </c>
      <c r="AB244" s="2">
        <v>19027</v>
      </c>
      <c r="AC244" s="103">
        <v>95589</v>
      </c>
      <c r="AD244" s="103">
        <v>106450</v>
      </c>
      <c r="AE244" s="64">
        <f t="shared" si="50"/>
        <v>9.7997049869754896E-2</v>
      </c>
      <c r="AF244" s="64">
        <f t="shared" si="51"/>
        <v>0.11618177548144669</v>
      </c>
      <c r="AG244" s="20">
        <f t="shared" si="54"/>
        <v>87.462367008756246</v>
      </c>
      <c r="AH244" s="20">
        <f t="shared" si="55"/>
        <v>172.57834566306559</v>
      </c>
      <c r="AI244" s="22"/>
    </row>
    <row r="245" spans="1:35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7">
        <f t="shared" si="47"/>
        <v>331.4767574425357</v>
      </c>
      <c r="O245" s="7">
        <f t="shared" si="43"/>
        <v>3153.333333333333</v>
      </c>
      <c r="P245" s="7">
        <f t="shared" si="44"/>
        <v>2821.8565758907971</v>
      </c>
      <c r="Q245" s="7">
        <f t="shared" si="45"/>
        <v>1127.0085335091439</v>
      </c>
      <c r="R245" s="7">
        <f t="shared" si="46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8"/>
        <v>100667</v>
      </c>
      <c r="X245" s="103">
        <f t="shared" si="49"/>
        <v>132554</v>
      </c>
      <c r="Y245" s="103"/>
      <c r="Z245" s="7">
        <v>27605</v>
      </c>
      <c r="AB245" s="2">
        <v>21434</v>
      </c>
      <c r="AC245" s="103">
        <v>137182</v>
      </c>
      <c r="AD245" s="103">
        <v>122101</v>
      </c>
      <c r="AE245" s="64">
        <f t="shared" si="50"/>
        <v>0.18513070227872463</v>
      </c>
      <c r="AF245" s="64">
        <f t="shared" si="51"/>
        <v>0.11410307859886488</v>
      </c>
      <c r="AG245" s="20">
        <f t="shared" si="54"/>
        <v>186.3186242850131</v>
      </c>
      <c r="AH245" s="20">
        <f t="shared" si="55"/>
        <v>145.1581331575226</v>
      </c>
      <c r="AI245" s="22"/>
    </row>
    <row r="246" spans="1:35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7">
        <f t="shared" si="47"/>
        <v>312.06984897006464</v>
      </c>
      <c r="O246" s="7">
        <f t="shared" si="43"/>
        <v>3255.583333333333</v>
      </c>
      <c r="P246" s="7">
        <f t="shared" si="44"/>
        <v>2943.5134843632686</v>
      </c>
      <c r="Q246" s="7">
        <f t="shared" si="45"/>
        <v>1190.1757299034268</v>
      </c>
      <c r="R246" s="7">
        <f t="shared" si="46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8"/>
        <v>105281</v>
      </c>
      <c r="X246" s="103">
        <f t="shared" si="49"/>
        <v>134458</v>
      </c>
      <c r="Y246" s="103"/>
      <c r="Z246" s="7">
        <v>22732</v>
      </c>
      <c r="AB246" s="2">
        <v>21117</v>
      </c>
      <c r="AC246" s="103">
        <v>145334</v>
      </c>
      <c r="AD246" s="103">
        <v>126398</v>
      </c>
      <c r="AE246" s="64">
        <f t="shared" si="50"/>
        <v>0.14389915642588796</v>
      </c>
      <c r="AF246" s="64">
        <f t="shared" si="51"/>
        <v>0.10859388597920855</v>
      </c>
      <c r="AG246" s="20">
        <f t="shared" si="54"/>
        <v>167.07891220682473</v>
      </c>
      <c r="AH246" s="20">
        <f t="shared" si="55"/>
        <v>144.99093676323994</v>
      </c>
      <c r="AI246" s="22"/>
    </row>
    <row r="247" spans="1:35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7">
        <f t="shared" si="47"/>
        <v>301.05682858165699</v>
      </c>
      <c r="O247" s="7">
        <f t="shared" si="43"/>
        <v>3229.25</v>
      </c>
      <c r="P247" s="7">
        <f t="shared" si="44"/>
        <v>2928.1931714183429</v>
      </c>
      <c r="Q247" s="7">
        <f t="shared" si="45"/>
        <v>1201.8962309698863</v>
      </c>
      <c r="R247" s="7">
        <f t="shared" si="46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8"/>
        <v>101162</v>
      </c>
      <c r="X247" s="103">
        <f t="shared" si="49"/>
        <v>126790</v>
      </c>
      <c r="Y247" s="103"/>
      <c r="Z247" s="7">
        <v>20671</v>
      </c>
      <c r="AB247" s="2">
        <v>21385</v>
      </c>
      <c r="AC247" s="103">
        <v>137360</v>
      </c>
      <c r="AD247" s="103">
        <v>122547</v>
      </c>
      <c r="AE247" s="64">
        <f t="shared" si="50"/>
        <v>0.13844874781595806</v>
      </c>
      <c r="AF247" s="64">
        <f t="shared" si="51"/>
        <v>0.11342790929194514</v>
      </c>
      <c r="AG247" s="20">
        <f t="shared" si="54"/>
        <v>147.28639288487673</v>
      </c>
      <c r="AH247" s="20">
        <f t="shared" si="55"/>
        <v>153.77043569678028</v>
      </c>
      <c r="AI247" s="22"/>
    </row>
    <row r="248" spans="1:35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7">
        <f t="shared" si="47"/>
        <v>249.85046025390204</v>
      </c>
      <c r="O248" s="7">
        <f t="shared" si="43"/>
        <v>3113.416666666667</v>
      </c>
      <c r="P248" s="7">
        <f t="shared" si="44"/>
        <v>2863.566206412765</v>
      </c>
      <c r="Q248" s="7">
        <f t="shared" si="45"/>
        <v>1142.8073850894464</v>
      </c>
      <c r="R248" s="7">
        <f t="shared" si="46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8"/>
        <v>99084</v>
      </c>
      <c r="X248" s="103">
        <f t="shared" si="49"/>
        <v>121637</v>
      </c>
      <c r="Y248" s="103"/>
      <c r="Z248" s="7">
        <v>16366</v>
      </c>
      <c r="AB248" s="2">
        <v>17746</v>
      </c>
      <c r="AC248" s="103">
        <v>127810</v>
      </c>
      <c r="AD248" s="103">
        <v>116830</v>
      </c>
      <c r="AE248" s="64">
        <f t="shared" si="50"/>
        <v>0.11780549252797122</v>
      </c>
      <c r="AF248" s="64">
        <f t="shared" si="51"/>
        <v>9.8732346143969876E-2</v>
      </c>
      <c r="AG248" s="20">
        <f t="shared" si="54"/>
        <v>124.65784534334823</v>
      </c>
      <c r="AH248" s="20">
        <f t="shared" si="55"/>
        <v>125.19261491055383</v>
      </c>
      <c r="AI248" s="22"/>
    </row>
    <row r="249" spans="1:35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7">
        <f t="shared" si="47"/>
        <v>194.05534312338006</v>
      </c>
      <c r="O249" s="7">
        <f t="shared" si="43"/>
        <v>3085.9166666666665</v>
      </c>
      <c r="P249" s="7">
        <f t="shared" si="44"/>
        <v>2891.8613235432863</v>
      </c>
      <c r="Q249" s="7">
        <f t="shared" si="45"/>
        <v>1262.1917883608287</v>
      </c>
      <c r="R249" s="7">
        <f t="shared" si="46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8"/>
        <v>92940</v>
      </c>
      <c r="X249" s="103">
        <f t="shared" si="49"/>
        <v>101770</v>
      </c>
      <c r="Y249" s="103"/>
      <c r="Z249" s="7">
        <v>22443</v>
      </c>
      <c r="AB249" s="2">
        <v>3682</v>
      </c>
      <c r="AC249" s="103">
        <v>122220</v>
      </c>
      <c r="AD249" s="103">
        <v>96622</v>
      </c>
      <c r="AE249" s="64">
        <f t="shared" si="50"/>
        <v>0.16893765341188025</v>
      </c>
      <c r="AF249" s="64">
        <f t="shared" si="51"/>
        <v>2.4769721181511457E-2</v>
      </c>
      <c r="AG249" s="20">
        <f t="shared" si="54"/>
        <v>161.99713148420884</v>
      </c>
      <c r="AH249" s="20">
        <f t="shared" si="55"/>
        <v>32.058211639171205</v>
      </c>
      <c r="AI249" s="22"/>
    </row>
    <row r="250" spans="1:35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7">
        <f t="shared" si="47"/>
        <v>348.59098949465226</v>
      </c>
      <c r="O250" s="7">
        <f t="shared" si="43"/>
        <v>2788.7500000000005</v>
      </c>
      <c r="P250" s="7">
        <f t="shared" si="44"/>
        <v>2440.1590105053479</v>
      </c>
      <c r="Q250" s="7">
        <f t="shared" si="45"/>
        <v>928.33359913915479</v>
      </c>
      <c r="R250" s="7">
        <f t="shared" si="46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8"/>
        <v>96635</v>
      </c>
      <c r="X250" s="103">
        <f t="shared" si="49"/>
        <v>145749</v>
      </c>
      <c r="Y250" s="103"/>
      <c r="Z250" s="7">
        <v>14545</v>
      </c>
      <c r="AB250" s="2">
        <v>44273</v>
      </c>
      <c r="AC250" s="103">
        <v>107852</v>
      </c>
      <c r="AD250" s="103">
        <v>140908</v>
      </c>
      <c r="AE250" s="64">
        <f t="shared" si="50"/>
        <v>0.12407187627489524</v>
      </c>
      <c r="AF250" s="64">
        <f t="shared" si="51"/>
        <v>0.20422864564112755</v>
      </c>
      <c r="AG250" s="20">
        <f t="shared" si="54"/>
        <v>110.34125530047352</v>
      </c>
      <c r="AH250" s="20">
        <f t="shared" si="55"/>
        <v>238.24973419417876</v>
      </c>
      <c r="AI250" s="22"/>
    </row>
    <row r="251" spans="1:35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7">
        <f t="shared" si="47"/>
        <v>72.070283282674779</v>
      </c>
      <c r="O251" s="7">
        <f t="shared" si="43"/>
        <v>2723</v>
      </c>
      <c r="P251" s="7">
        <f t="shared" si="44"/>
        <v>2650.9297167173254</v>
      </c>
      <c r="Q251" s="7">
        <f t="shared" si="45"/>
        <v>1021.0833333333335</v>
      </c>
      <c r="R251" s="7">
        <f t="shared" si="46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8"/>
        <v>94950</v>
      </c>
      <c r="X251" s="103">
        <f t="shared" si="49"/>
        <v>99087</v>
      </c>
      <c r="Y251" s="103"/>
      <c r="Z251" s="7">
        <v>8156</v>
      </c>
      <c r="AB251" s="2">
        <v>0</v>
      </c>
      <c r="AC251" s="103">
        <v>115150</v>
      </c>
      <c r="AD251" s="103">
        <v>94950</v>
      </c>
      <c r="AE251" s="64">
        <f t="shared" si="50"/>
        <v>6.5163004776378639E-2</v>
      </c>
      <c r="AF251" s="64">
        <f t="shared" si="51"/>
        <v>0</v>
      </c>
      <c r="AG251" s="20">
        <f t="shared" si="54"/>
        <v>72.070283282674779</v>
      </c>
      <c r="AH251" s="20">
        <f t="shared" si="55"/>
        <v>0</v>
      </c>
      <c r="AI251" s="22"/>
    </row>
    <row r="252" spans="1:35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7">
        <f t="shared" si="47"/>
        <v>56.838326097443314</v>
      </c>
      <c r="O252" s="7">
        <f t="shared" si="43"/>
        <v>3588.9166666666665</v>
      </c>
      <c r="P252" s="7">
        <f t="shared" si="44"/>
        <v>3532.0783405692232</v>
      </c>
      <c r="Q252" s="7">
        <f t="shared" si="45"/>
        <v>1570.0833333333335</v>
      </c>
      <c r="R252" s="7">
        <f t="shared" si="46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8"/>
        <v>114541</v>
      </c>
      <c r="X252" s="103">
        <f t="shared" si="49"/>
        <v>120281</v>
      </c>
      <c r="Y252" s="103"/>
      <c r="Z252" s="7">
        <v>5710</v>
      </c>
      <c r="AB252" s="2">
        <v>0</v>
      </c>
      <c r="AC252" s="103">
        <v>127144</v>
      </c>
      <c r="AD252" s="103">
        <v>114541</v>
      </c>
      <c r="AE252" s="64">
        <f t="shared" si="50"/>
        <v>4.1316931982633864E-2</v>
      </c>
      <c r="AF252" s="64">
        <f t="shared" si="51"/>
        <v>0</v>
      </c>
      <c r="AG252" s="20">
        <f t="shared" si="54"/>
        <v>56.838326097443314</v>
      </c>
      <c r="AH252" s="20">
        <f t="shared" si="55"/>
        <v>0</v>
      </c>
      <c r="AI252" s="22"/>
    </row>
    <row r="253" spans="1:35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7">
        <f t="shared" si="47"/>
        <v>298.22447839302077</v>
      </c>
      <c r="O253" s="7">
        <f t="shared" si="43"/>
        <v>4049</v>
      </c>
      <c r="P253" s="7">
        <f t="shared" si="44"/>
        <v>3750.7755216069791</v>
      </c>
      <c r="Q253" s="7">
        <f t="shared" si="45"/>
        <v>1572.2238639943785</v>
      </c>
      <c r="R253" s="7">
        <f t="shared" si="46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8"/>
        <v>112662</v>
      </c>
      <c r="X253" s="103">
        <f t="shared" si="49"/>
        <v>143028</v>
      </c>
      <c r="Y253" s="103"/>
      <c r="Z253" s="7">
        <v>10674</v>
      </c>
      <c r="AB253" s="2">
        <v>22765</v>
      </c>
      <c r="AC253" s="103">
        <v>139164</v>
      </c>
      <c r="AD253" s="103">
        <v>135427</v>
      </c>
      <c r="AE253" s="64">
        <f t="shared" si="50"/>
        <v>7.0564801241700434E-2</v>
      </c>
      <c r="AF253" s="64">
        <f t="shared" si="51"/>
        <v>0.1092636623420736</v>
      </c>
      <c r="AG253" s="20">
        <f t="shared" si="54"/>
        <v>105.36500905406568</v>
      </c>
      <c r="AH253" s="20">
        <f t="shared" si="55"/>
        <v>192.85946933895511</v>
      </c>
      <c r="AI253" s="22"/>
    </row>
    <row r="254" spans="1:35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7">
        <f t="shared" si="47"/>
        <v>124.83017465153969</v>
      </c>
      <c r="O254" s="7">
        <f t="shared" si="43"/>
        <v>4636</v>
      </c>
      <c r="P254" s="7">
        <f t="shared" si="44"/>
        <v>4511.169825348461</v>
      </c>
      <c r="Q254" s="7">
        <f t="shared" si="45"/>
        <v>2144.166666666667</v>
      </c>
      <c r="R254" s="7">
        <f t="shared" si="46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8"/>
        <v>160569</v>
      </c>
      <c r="X254" s="103">
        <f t="shared" si="49"/>
        <v>165327</v>
      </c>
      <c r="Y254" s="103"/>
      <c r="Z254" s="7">
        <v>12756</v>
      </c>
      <c r="AB254" s="2">
        <v>0</v>
      </c>
      <c r="AC254" s="103">
        <v>154250</v>
      </c>
      <c r="AD254" s="103">
        <v>160569</v>
      </c>
      <c r="AE254" s="64">
        <f t="shared" si="50"/>
        <v>7.6081166936790928E-2</v>
      </c>
      <c r="AF254" s="64">
        <f t="shared" si="51"/>
        <v>0</v>
      </c>
      <c r="AG254" s="20">
        <f t="shared" si="54"/>
        <v>124.83017465153969</v>
      </c>
      <c r="AH254" s="20">
        <f t="shared" si="55"/>
        <v>0</v>
      </c>
      <c r="AI254" s="22"/>
    </row>
    <row r="255" spans="1:35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7">
        <f t="shared" si="47"/>
        <v>399.28815704133029</v>
      </c>
      <c r="O255" s="7">
        <f t="shared" si="43"/>
        <v>5028.3333333333339</v>
      </c>
      <c r="P255" s="7">
        <f t="shared" si="44"/>
        <v>4629.0451762920038</v>
      </c>
      <c r="Q255" s="7">
        <f t="shared" si="45"/>
        <v>2456.666666666667</v>
      </c>
      <c r="R255" s="7">
        <f t="shared" si="46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8"/>
        <v>161724</v>
      </c>
      <c r="X255" s="103">
        <f t="shared" si="49"/>
        <v>171410</v>
      </c>
      <c r="Y255" s="103"/>
      <c r="Z255" s="7">
        <v>51007</v>
      </c>
      <c r="AB255" s="2">
        <v>0</v>
      </c>
      <c r="AC255" s="103">
        <v>212564</v>
      </c>
      <c r="AD255" s="103">
        <v>161724</v>
      </c>
      <c r="AE255" s="64">
        <f t="shared" si="50"/>
        <v>0.22076381701511075</v>
      </c>
      <c r="AF255" s="64">
        <f t="shared" si="51"/>
        <v>0</v>
      </c>
      <c r="AG255" s="20">
        <f t="shared" si="54"/>
        <v>399.28815704133029</v>
      </c>
      <c r="AH255" s="20">
        <f t="shared" si="55"/>
        <v>0</v>
      </c>
      <c r="AI255" s="22"/>
    </row>
    <row r="256" spans="1:35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7">
        <f t="shared" si="47"/>
        <v>644.79580594680135</v>
      </c>
      <c r="O256" s="7">
        <f t="shared" si="43"/>
        <v>4383.1666666666661</v>
      </c>
      <c r="P256" s="7">
        <f t="shared" si="44"/>
        <v>3738.370860719865</v>
      </c>
      <c r="Q256" s="7">
        <f t="shared" si="45"/>
        <v>1744.825215300441</v>
      </c>
      <c r="R256" s="7">
        <f t="shared" si="46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8"/>
        <v>122683</v>
      </c>
      <c r="X256" s="103">
        <f t="shared" si="49"/>
        <v>177632</v>
      </c>
      <c r="Y256" s="103"/>
      <c r="Z256" s="7">
        <v>29741</v>
      </c>
      <c r="AB256" s="2">
        <v>48299</v>
      </c>
      <c r="AC256" s="103">
        <v>158499</v>
      </c>
      <c r="AD256" s="103">
        <v>170982</v>
      </c>
      <c r="AE256" s="64">
        <f t="shared" si="50"/>
        <v>0.17263023741474709</v>
      </c>
      <c r="AF256" s="64">
        <f t="shared" si="51"/>
        <v>0.18361201763928367</v>
      </c>
      <c r="AG256" s="20">
        <f t="shared" si="54"/>
        <v>252.37102124724231</v>
      </c>
      <c r="AH256" s="20">
        <f t="shared" si="55"/>
        <v>392.42478469955904</v>
      </c>
      <c r="AI256" s="22"/>
    </row>
    <row r="257" spans="1:35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7">
        <f t="shared" si="47"/>
        <v>313.15095967869991</v>
      </c>
      <c r="O257" s="7">
        <f t="shared" si="43"/>
        <v>2933.583333333333</v>
      </c>
      <c r="P257" s="7">
        <f t="shared" si="44"/>
        <v>2620.4323736546335</v>
      </c>
      <c r="Q257" s="7">
        <f t="shared" si="45"/>
        <v>1326.3265816412149</v>
      </c>
      <c r="R257" s="7">
        <f t="shared" si="46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8"/>
        <v>94924</v>
      </c>
      <c r="X257" s="103">
        <f t="shared" si="49"/>
        <v>116155</v>
      </c>
      <c r="Y257" s="103"/>
      <c r="Z257" s="7">
        <v>16984</v>
      </c>
      <c r="AB257" s="2">
        <v>18297</v>
      </c>
      <c r="AC257" s="103">
        <v>103340</v>
      </c>
      <c r="AD257" s="103">
        <v>113221</v>
      </c>
      <c r="AE257" s="64">
        <f t="shared" si="50"/>
        <v>0.15120263208825238</v>
      </c>
      <c r="AF257" s="64">
        <f t="shared" si="51"/>
        <v>0.1050427924148347</v>
      </c>
      <c r="AG257" s="20">
        <f t="shared" si="54"/>
        <v>157.47754131991485</v>
      </c>
      <c r="AH257" s="20">
        <f t="shared" si="55"/>
        <v>155.67341835878503</v>
      </c>
      <c r="AI257" s="22"/>
    </row>
    <row r="258" spans="1:35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7">
        <f t="shared" si="47"/>
        <v>35.583225806451615</v>
      </c>
      <c r="O258" s="7">
        <f t="shared" ref="O258:O321" si="56">+B258+C258+D258+F258+I258+K258+J258</f>
        <v>1883.3333333333333</v>
      </c>
      <c r="P258" s="7">
        <f t="shared" ref="P258:P321" si="57">+B258+C258+D258+F258+J258+Q258+R258</f>
        <v>1847.7501075268815</v>
      </c>
      <c r="Q258" s="7">
        <f t="shared" ref="Q258:Q321" si="58">+I258-AH258</f>
        <v>792.83333333333326</v>
      </c>
      <c r="R258" s="7">
        <f t="shared" ref="R258:R321" si="59">+K258-AG258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8"/>
        <v>55861</v>
      </c>
      <c r="X258" s="103">
        <f t="shared" si="49"/>
        <v>57650</v>
      </c>
      <c r="Y258" s="103"/>
      <c r="Z258" s="7">
        <v>3706</v>
      </c>
      <c r="AB258" s="2">
        <v>0</v>
      </c>
      <c r="AC258" s="103">
        <v>60605</v>
      </c>
      <c r="AD258" s="103">
        <v>55861</v>
      </c>
      <c r="AE258" s="64">
        <f t="shared" si="50"/>
        <v>5.6258064516129039E-2</v>
      </c>
      <c r="AF258" s="64">
        <f t="shared" si="51"/>
        <v>0</v>
      </c>
      <c r="AG258" s="20">
        <f t="shared" si="54"/>
        <v>35.583225806451615</v>
      </c>
      <c r="AH258" s="20">
        <f t="shared" si="55"/>
        <v>0</v>
      </c>
      <c r="AI258" s="22"/>
    </row>
    <row r="259" spans="1:35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7">
        <f t="shared" ref="N259:N322" si="60">+AH259+AG259</f>
        <v>327.37882297406014</v>
      </c>
      <c r="O259" s="7">
        <f t="shared" si="56"/>
        <v>3980.666666666667</v>
      </c>
      <c r="P259" s="7">
        <f t="shared" si="57"/>
        <v>3653.2878436926067</v>
      </c>
      <c r="Q259" s="7">
        <f t="shared" si="58"/>
        <v>1605.3577366771199</v>
      </c>
      <c r="R259" s="7">
        <f t="shared" si="59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ref="W259:W322" si="61">+V259-U259-S259+AA259</f>
        <v>113870</v>
      </c>
      <c r="X259" s="103">
        <f t="shared" ref="X259:X322" si="62">+V259+AB259+AA259</f>
        <v>146853</v>
      </c>
      <c r="Y259" s="103"/>
      <c r="Z259" s="7">
        <v>12523</v>
      </c>
      <c r="AB259" s="2">
        <v>25483</v>
      </c>
      <c r="AC259" s="103">
        <v>136460</v>
      </c>
      <c r="AD259" s="103">
        <v>139353</v>
      </c>
      <c r="AE259" s="64">
        <f t="shared" ref="AE259:AE322" si="63">+(Z259/AC259*0.92)</f>
        <v>8.4428843617177202E-2</v>
      </c>
      <c r="AF259" s="64">
        <f t="shared" ref="AF259:AF322" si="64">+(AB259/AD259*0.65)</f>
        <v>0.11886324657524418</v>
      </c>
      <c r="AG259" s="20">
        <f t="shared" si="54"/>
        <v>110.81989298451317</v>
      </c>
      <c r="AH259" s="20">
        <f t="shared" si="55"/>
        <v>216.55892998954695</v>
      </c>
      <c r="AI259" s="22"/>
    </row>
    <row r="260" spans="1:35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7">
        <f t="shared" si="60"/>
        <v>121.24624583829797</v>
      </c>
      <c r="O260" s="7">
        <f t="shared" si="56"/>
        <v>4040</v>
      </c>
      <c r="P260" s="7">
        <f t="shared" si="57"/>
        <v>3918.7537541617021</v>
      </c>
      <c r="Q260" s="7">
        <f t="shared" si="58"/>
        <v>1850.1666666666665</v>
      </c>
      <c r="R260" s="7">
        <f t="shared" si="59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61"/>
        <v>133449</v>
      </c>
      <c r="X260" s="103">
        <f t="shared" si="62"/>
        <v>143001</v>
      </c>
      <c r="Y260" s="103"/>
      <c r="Z260" s="7">
        <v>13679</v>
      </c>
      <c r="AB260" s="2">
        <v>0</v>
      </c>
      <c r="AC260" s="103">
        <v>135962</v>
      </c>
      <c r="AD260" s="103">
        <v>133449</v>
      </c>
      <c r="AE260" s="64">
        <f t="shared" si="63"/>
        <v>9.2560274194260161E-2</v>
      </c>
      <c r="AF260" s="64">
        <f t="shared" si="64"/>
        <v>0</v>
      </c>
      <c r="AG260" s="20">
        <f t="shared" si="54"/>
        <v>121.24624583829797</v>
      </c>
      <c r="AH260" s="20">
        <f t="shared" si="55"/>
        <v>0</v>
      </c>
      <c r="AI260" s="22"/>
    </row>
    <row r="261" spans="1:35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7">
        <f t="shared" si="60"/>
        <v>384.24659736360184</v>
      </c>
      <c r="O261" s="7">
        <f t="shared" si="56"/>
        <v>3851.4166666666661</v>
      </c>
      <c r="P261" s="7">
        <f t="shared" si="57"/>
        <v>3467.1700693030648</v>
      </c>
      <c r="Q261" s="7">
        <f t="shared" si="58"/>
        <v>1576.5210639022516</v>
      </c>
      <c r="R261" s="7">
        <f t="shared" si="59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61"/>
        <v>138100</v>
      </c>
      <c r="X261" s="103">
        <f t="shared" si="62"/>
        <v>181505</v>
      </c>
      <c r="Y261" s="103"/>
      <c r="Z261" s="7">
        <v>19175</v>
      </c>
      <c r="AB261" s="2">
        <v>34643</v>
      </c>
      <c r="AC261" s="103">
        <v>137325</v>
      </c>
      <c r="AD261" s="103">
        <v>172743</v>
      </c>
      <c r="AE261" s="64">
        <f t="shared" si="63"/>
        <v>0.12846167849990897</v>
      </c>
      <c r="AF261" s="64">
        <f t="shared" si="64"/>
        <v>0.13035520976247952</v>
      </c>
      <c r="AG261" s="20">
        <f t="shared" si="54"/>
        <v>147.93432793252018</v>
      </c>
      <c r="AH261" s="20">
        <f t="shared" si="55"/>
        <v>236.31226943108163</v>
      </c>
      <c r="AI261" s="22"/>
    </row>
    <row r="262" spans="1:35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7">
        <f t="shared" si="60"/>
        <v>229.50346422272128</v>
      </c>
      <c r="O262" s="7">
        <f t="shared" si="56"/>
        <v>3562.8333333333335</v>
      </c>
      <c r="P262" s="7">
        <f t="shared" si="57"/>
        <v>3333.329869110612</v>
      </c>
      <c r="Q262" s="7">
        <f t="shared" si="58"/>
        <v>1471.1348317665042</v>
      </c>
      <c r="R262" s="7">
        <f t="shared" si="59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si="61"/>
        <v>123171</v>
      </c>
      <c r="X262" s="103">
        <f t="shared" si="62"/>
        <v>151021</v>
      </c>
      <c r="Y262" s="103"/>
      <c r="Z262" s="7">
        <v>10007</v>
      </c>
      <c r="AB262" s="2">
        <v>20112</v>
      </c>
      <c r="AC262" s="103">
        <v>114342</v>
      </c>
      <c r="AD262" s="103">
        <v>143283</v>
      </c>
      <c r="AE262" s="64">
        <f t="shared" si="63"/>
        <v>8.0516695527452734E-2</v>
      </c>
      <c r="AF262" s="64">
        <f t="shared" si="64"/>
        <v>9.1237620652833903E-2</v>
      </c>
      <c r="AG262" s="20">
        <f t="shared" ref="AG262:AG293" si="65">+AE262*K262</f>
        <v>81.80496265589197</v>
      </c>
      <c r="AH262" s="20">
        <f t="shared" ref="AH262:AH293" si="66">+AF262*I262</f>
        <v>147.69850156682929</v>
      </c>
      <c r="AI262" s="22"/>
    </row>
    <row r="263" spans="1:35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7">
        <f t="shared" si="60"/>
        <v>135.18659529052789</v>
      </c>
      <c r="O263" s="7">
        <f t="shared" si="56"/>
        <v>3515.666666666667</v>
      </c>
      <c r="P263" s="7">
        <f t="shared" si="57"/>
        <v>3380.4800713761388</v>
      </c>
      <c r="Q263" s="7">
        <f t="shared" si="58"/>
        <v>1487.9041862796792</v>
      </c>
      <c r="R263" s="7">
        <f t="shared" si="59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61"/>
        <v>97939</v>
      </c>
      <c r="X263" s="103">
        <f t="shared" si="62"/>
        <v>112709</v>
      </c>
      <c r="Y263" s="103"/>
      <c r="Z263" s="7">
        <v>8888</v>
      </c>
      <c r="AB263" s="2">
        <v>6371</v>
      </c>
      <c r="AC263" s="103">
        <v>113208</v>
      </c>
      <c r="AD263" s="103">
        <v>104310</v>
      </c>
      <c r="AE263" s="64">
        <f t="shared" si="63"/>
        <v>7.2229524415235682E-2</v>
      </c>
      <c r="AF263" s="64">
        <f t="shared" si="64"/>
        <v>3.9700412232767712E-2</v>
      </c>
      <c r="AG263" s="20">
        <f t="shared" si="65"/>
        <v>73.674114903540385</v>
      </c>
      <c r="AH263" s="20">
        <f t="shared" si="66"/>
        <v>61.512480386987512</v>
      </c>
      <c r="AI263" s="22"/>
    </row>
    <row r="264" spans="1:35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7">
        <f t="shared" si="60"/>
        <v>9.9724958347579253</v>
      </c>
      <c r="O264" s="7">
        <f t="shared" si="56"/>
        <v>1894.5</v>
      </c>
      <c r="P264" s="7">
        <f t="shared" si="57"/>
        <v>1884.5275041652421</v>
      </c>
      <c r="Q264" s="7">
        <f t="shared" si="58"/>
        <v>845.75</v>
      </c>
      <c r="R264" s="7">
        <f t="shared" si="59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61"/>
        <v>79824</v>
      </c>
      <c r="X264" s="103">
        <f t="shared" si="62"/>
        <v>83419</v>
      </c>
      <c r="Y264" s="103"/>
      <c r="Z264" s="7">
        <v>1075</v>
      </c>
      <c r="AB264" s="2">
        <v>0</v>
      </c>
      <c r="AC264" s="103">
        <v>61421</v>
      </c>
      <c r="AD264" s="103">
        <v>79824</v>
      </c>
      <c r="AE264" s="64">
        <f t="shared" si="63"/>
        <v>1.6101984663225932E-2</v>
      </c>
      <c r="AF264" s="64">
        <f t="shared" si="64"/>
        <v>0</v>
      </c>
      <c r="AG264" s="20">
        <f t="shared" si="65"/>
        <v>9.9724958347579253</v>
      </c>
      <c r="AH264" s="20">
        <f t="shared" si="66"/>
        <v>0</v>
      </c>
      <c r="AI264" s="22"/>
    </row>
    <row r="265" spans="1:35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7">
        <f t="shared" si="60"/>
        <v>0</v>
      </c>
      <c r="O265" s="7">
        <f t="shared" si="56"/>
        <v>1812.0833333333335</v>
      </c>
      <c r="P265" s="7">
        <f t="shared" si="57"/>
        <v>1812.0833333333335</v>
      </c>
      <c r="Q265" s="7">
        <f t="shared" si="58"/>
        <v>812.83333333333348</v>
      </c>
      <c r="R265" s="7">
        <f t="shared" si="59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61"/>
        <v>72897</v>
      </c>
      <c r="X265" s="103">
        <f t="shared" si="62"/>
        <v>74482</v>
      </c>
      <c r="Y265" s="103"/>
      <c r="Z265" s="7">
        <v>0</v>
      </c>
      <c r="AB265" s="2">
        <v>0</v>
      </c>
      <c r="AC265" s="103">
        <v>60708</v>
      </c>
      <c r="AD265" s="103">
        <v>72897</v>
      </c>
      <c r="AE265" s="64">
        <f t="shared" si="63"/>
        <v>0</v>
      </c>
      <c r="AF265" s="64">
        <f t="shared" si="64"/>
        <v>0</v>
      </c>
      <c r="AG265" s="20">
        <f t="shared" si="65"/>
        <v>0</v>
      </c>
      <c r="AH265" s="20">
        <f t="shared" si="66"/>
        <v>0</v>
      </c>
      <c r="AI265" s="22"/>
    </row>
    <row r="266" spans="1:35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7">
        <f t="shared" si="60"/>
        <v>0</v>
      </c>
      <c r="O266" s="7">
        <f t="shared" si="56"/>
        <v>3681.5833333333335</v>
      </c>
      <c r="P266" s="7">
        <f t="shared" si="57"/>
        <v>3681.5833333333335</v>
      </c>
      <c r="Q266" s="7">
        <f t="shared" si="58"/>
        <v>1607.5833333333335</v>
      </c>
      <c r="R266" s="7">
        <f t="shared" si="59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61"/>
        <v>122924</v>
      </c>
      <c r="X266" s="103">
        <f t="shared" si="62"/>
        <v>133599</v>
      </c>
      <c r="Y266" s="103"/>
      <c r="Z266" s="7">
        <v>0</v>
      </c>
      <c r="AB266" s="2">
        <v>0</v>
      </c>
      <c r="AC266" s="103">
        <v>120167</v>
      </c>
      <c r="AD266" s="103">
        <v>122924</v>
      </c>
      <c r="AE266" s="64">
        <f t="shared" si="63"/>
        <v>0</v>
      </c>
      <c r="AF266" s="64">
        <f t="shared" si="64"/>
        <v>0</v>
      </c>
      <c r="AG266" s="20">
        <f t="shared" si="65"/>
        <v>0</v>
      </c>
      <c r="AH266" s="20">
        <f t="shared" si="66"/>
        <v>0</v>
      </c>
      <c r="AI266" s="22"/>
    </row>
    <row r="267" spans="1:35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7">
        <f t="shared" si="60"/>
        <v>0</v>
      </c>
      <c r="O267" s="7">
        <f t="shared" si="56"/>
        <v>4170.5</v>
      </c>
      <c r="P267" s="7">
        <f t="shared" si="57"/>
        <v>4170.5</v>
      </c>
      <c r="Q267" s="7">
        <f t="shared" si="58"/>
        <v>1727.9166666666667</v>
      </c>
      <c r="R267" s="7">
        <f t="shared" si="59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61"/>
        <v>162105</v>
      </c>
      <c r="X267" s="103">
        <f t="shared" si="62"/>
        <v>173594</v>
      </c>
      <c r="Y267" s="103"/>
      <c r="Z267" s="7">
        <v>0</v>
      </c>
      <c r="AB267" s="2">
        <v>0</v>
      </c>
      <c r="AC267" s="103">
        <v>148785</v>
      </c>
      <c r="AD267" s="103">
        <v>162105</v>
      </c>
      <c r="AE267" s="64">
        <f t="shared" si="63"/>
        <v>0</v>
      </c>
      <c r="AF267" s="64">
        <f t="shared" si="64"/>
        <v>0</v>
      </c>
      <c r="AG267" s="20">
        <f t="shared" si="65"/>
        <v>0</v>
      </c>
      <c r="AH267" s="20">
        <f t="shared" si="66"/>
        <v>0</v>
      </c>
      <c r="AI267" s="22"/>
    </row>
    <row r="268" spans="1:35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7">
        <f t="shared" si="60"/>
        <v>0</v>
      </c>
      <c r="O268" s="7">
        <f t="shared" si="56"/>
        <v>4376.0833333333339</v>
      </c>
      <c r="P268" s="7">
        <f t="shared" si="57"/>
        <v>4376.0833333333339</v>
      </c>
      <c r="Q268" s="7">
        <f t="shared" si="58"/>
        <v>2022.25</v>
      </c>
      <c r="R268" s="7">
        <f t="shared" si="59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61"/>
        <v>155098</v>
      </c>
      <c r="X268" s="103">
        <f t="shared" si="62"/>
        <v>162614</v>
      </c>
      <c r="Y268" s="103"/>
      <c r="Z268" s="7">
        <v>0</v>
      </c>
      <c r="AB268" s="2">
        <v>0</v>
      </c>
      <c r="AC268" s="103">
        <v>136203</v>
      </c>
      <c r="AD268" s="103">
        <v>155098</v>
      </c>
      <c r="AE268" s="64">
        <f t="shared" si="63"/>
        <v>0</v>
      </c>
      <c r="AF268" s="64">
        <f t="shared" si="64"/>
        <v>0</v>
      </c>
      <c r="AG268" s="20">
        <f t="shared" si="65"/>
        <v>0</v>
      </c>
      <c r="AH268" s="20">
        <f t="shared" si="66"/>
        <v>0</v>
      </c>
      <c r="AI268" s="22"/>
    </row>
    <row r="269" spans="1:35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7">
        <f t="shared" si="60"/>
        <v>0</v>
      </c>
      <c r="O269" s="7">
        <f t="shared" si="56"/>
        <v>4421.5</v>
      </c>
      <c r="P269" s="7">
        <f t="shared" si="57"/>
        <v>4421.5</v>
      </c>
      <c r="Q269" s="7">
        <f t="shared" si="58"/>
        <v>2003.166666666667</v>
      </c>
      <c r="R269" s="7">
        <f t="shared" si="59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61"/>
        <v>175438</v>
      </c>
      <c r="X269" s="103">
        <f t="shared" si="62"/>
        <v>183167</v>
      </c>
      <c r="Y269" s="103"/>
      <c r="Z269" s="7">
        <v>0</v>
      </c>
      <c r="AB269" s="2">
        <v>0</v>
      </c>
      <c r="AC269" s="103">
        <v>132615</v>
      </c>
      <c r="AD269" s="103">
        <v>175438</v>
      </c>
      <c r="AE269" s="64">
        <f t="shared" si="63"/>
        <v>0</v>
      </c>
      <c r="AF269" s="64">
        <f t="shared" si="64"/>
        <v>0</v>
      </c>
      <c r="AG269" s="20">
        <f t="shared" si="65"/>
        <v>0</v>
      </c>
      <c r="AH269" s="20">
        <f t="shared" si="66"/>
        <v>0</v>
      </c>
      <c r="AI269" s="22"/>
    </row>
    <row r="270" spans="1:35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7">
        <f t="shared" si="60"/>
        <v>0.36420758975657092</v>
      </c>
      <c r="O270" s="7">
        <f t="shared" si="56"/>
        <v>3969.0833333333335</v>
      </c>
      <c r="P270" s="7">
        <f t="shared" si="57"/>
        <v>3968.719125743577</v>
      </c>
      <c r="Q270" s="7">
        <f t="shared" si="58"/>
        <v>1947.5524590769103</v>
      </c>
      <c r="R270" s="7">
        <f t="shared" si="59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61"/>
        <v>173772</v>
      </c>
      <c r="X270" s="103">
        <f t="shared" si="62"/>
        <v>180234</v>
      </c>
      <c r="Y270" s="103"/>
      <c r="Z270" s="7">
        <v>0</v>
      </c>
      <c r="AB270" s="2">
        <v>50</v>
      </c>
      <c r="AC270" s="103">
        <v>92775</v>
      </c>
      <c r="AD270" s="103">
        <v>173822</v>
      </c>
      <c r="AE270" s="64">
        <f t="shared" si="63"/>
        <v>0</v>
      </c>
      <c r="AF270" s="64">
        <f t="shared" si="64"/>
        <v>1.8697288030283853E-4</v>
      </c>
      <c r="AG270" s="20">
        <f t="shared" si="65"/>
        <v>0</v>
      </c>
      <c r="AH270" s="20">
        <f t="shared" si="66"/>
        <v>0.36420758975657092</v>
      </c>
      <c r="AI270" s="22"/>
    </row>
    <row r="271" spans="1:35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7">
        <f t="shared" si="60"/>
        <v>0</v>
      </c>
      <c r="O271" s="7">
        <f t="shared" si="56"/>
        <v>1929.8333333333333</v>
      </c>
      <c r="P271" s="7">
        <f t="shared" si="57"/>
        <v>1929.8333333333333</v>
      </c>
      <c r="Q271" s="7">
        <f t="shared" si="58"/>
        <v>861.33333333333326</v>
      </c>
      <c r="R271" s="7">
        <f t="shared" si="59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61"/>
        <v>81824</v>
      </c>
      <c r="X271" s="103">
        <f t="shared" si="62"/>
        <v>84488</v>
      </c>
      <c r="Y271" s="103"/>
      <c r="Z271" s="7">
        <v>0</v>
      </c>
      <c r="AB271" s="2">
        <v>0</v>
      </c>
      <c r="AC271" s="103">
        <v>59180</v>
      </c>
      <c r="AD271" s="103">
        <v>81824</v>
      </c>
      <c r="AE271" s="64">
        <f t="shared" si="63"/>
        <v>0</v>
      </c>
      <c r="AF271" s="64">
        <f t="shared" si="64"/>
        <v>0</v>
      </c>
      <c r="AG271" s="20">
        <f t="shared" si="65"/>
        <v>0</v>
      </c>
      <c r="AH271" s="20">
        <f t="shared" si="66"/>
        <v>0</v>
      </c>
      <c r="AI271" s="22"/>
    </row>
    <row r="272" spans="1:35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7">
        <f t="shared" si="60"/>
        <v>0</v>
      </c>
      <c r="O272" s="7">
        <f t="shared" si="56"/>
        <v>1846.5833333333333</v>
      </c>
      <c r="P272" s="7">
        <f t="shared" si="57"/>
        <v>1846.5833333333333</v>
      </c>
      <c r="Q272" s="7">
        <f t="shared" si="58"/>
        <v>772.08333333333326</v>
      </c>
      <c r="R272" s="7">
        <f t="shared" si="59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61"/>
        <v>63789</v>
      </c>
      <c r="X272" s="103">
        <f t="shared" si="62"/>
        <v>67238</v>
      </c>
      <c r="Y272" s="103"/>
      <c r="Z272" s="7">
        <v>0</v>
      </c>
      <c r="AB272" s="2">
        <v>0</v>
      </c>
      <c r="AC272" s="103">
        <v>65127</v>
      </c>
      <c r="AD272" s="103">
        <v>63789</v>
      </c>
      <c r="AE272" s="64">
        <f t="shared" si="63"/>
        <v>0</v>
      </c>
      <c r="AF272" s="64">
        <f t="shared" si="64"/>
        <v>0</v>
      </c>
      <c r="AG272" s="20">
        <f t="shared" si="65"/>
        <v>0</v>
      </c>
      <c r="AH272" s="20">
        <f t="shared" si="66"/>
        <v>0</v>
      </c>
      <c r="AI272" s="22"/>
    </row>
    <row r="273" spans="1:35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7">
        <f t="shared" si="60"/>
        <v>0</v>
      </c>
      <c r="O273" s="7">
        <f t="shared" si="56"/>
        <v>4461.333333333333</v>
      </c>
      <c r="P273" s="7">
        <f t="shared" si="57"/>
        <v>4461.333333333333</v>
      </c>
      <c r="Q273" s="7">
        <f t="shared" si="58"/>
        <v>1839.7499999999998</v>
      </c>
      <c r="R273" s="7">
        <f t="shared" si="59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61"/>
        <v>137330</v>
      </c>
      <c r="X273" s="103">
        <f t="shared" si="62"/>
        <v>145944</v>
      </c>
      <c r="Y273" s="103"/>
      <c r="Z273" s="7">
        <v>0</v>
      </c>
      <c r="AB273" s="2">
        <v>0</v>
      </c>
      <c r="AC273" s="103">
        <v>153072</v>
      </c>
      <c r="AD273" s="103">
        <v>137330</v>
      </c>
      <c r="AE273" s="64">
        <f t="shared" si="63"/>
        <v>0</v>
      </c>
      <c r="AF273" s="64">
        <f t="shared" si="64"/>
        <v>0</v>
      </c>
      <c r="AG273" s="20">
        <f t="shared" si="65"/>
        <v>0</v>
      </c>
      <c r="AH273" s="20">
        <f t="shared" si="66"/>
        <v>0</v>
      </c>
      <c r="AI273" s="22"/>
    </row>
    <row r="274" spans="1:35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7">
        <f t="shared" si="60"/>
        <v>0</v>
      </c>
      <c r="O274" s="7">
        <f t="shared" si="56"/>
        <v>4649.416666666667</v>
      </c>
      <c r="P274" s="7">
        <f t="shared" si="57"/>
        <v>4649.416666666667</v>
      </c>
      <c r="Q274" s="7">
        <f t="shared" si="58"/>
        <v>2059.916666666667</v>
      </c>
      <c r="R274" s="7">
        <f t="shared" si="59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61"/>
        <v>180857</v>
      </c>
      <c r="X274" s="103">
        <f t="shared" si="62"/>
        <v>189656</v>
      </c>
      <c r="Y274" s="103"/>
      <c r="Z274" s="7">
        <v>0</v>
      </c>
      <c r="AB274" s="2">
        <v>0</v>
      </c>
      <c r="AC274" s="103">
        <v>161820</v>
      </c>
      <c r="AD274" s="103">
        <v>180857</v>
      </c>
      <c r="AE274" s="64">
        <f t="shared" si="63"/>
        <v>0</v>
      </c>
      <c r="AF274" s="64">
        <f t="shared" si="64"/>
        <v>0</v>
      </c>
      <c r="AG274" s="20">
        <f t="shared" si="65"/>
        <v>0</v>
      </c>
      <c r="AH274" s="20">
        <f t="shared" si="66"/>
        <v>0</v>
      </c>
      <c r="AI274" s="22"/>
    </row>
    <row r="275" spans="1:35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7">
        <f t="shared" si="60"/>
        <v>64.320674319945439</v>
      </c>
      <c r="O275" s="7">
        <f t="shared" si="56"/>
        <v>4449.583333333333</v>
      </c>
      <c r="P275" s="7">
        <f t="shared" si="57"/>
        <v>4385.2626590133877</v>
      </c>
      <c r="Q275" s="7">
        <f t="shared" si="58"/>
        <v>2015</v>
      </c>
      <c r="R275" s="7">
        <f t="shared" si="59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61"/>
        <v>153693</v>
      </c>
      <c r="X275" s="103">
        <f t="shared" si="62"/>
        <v>162989</v>
      </c>
      <c r="Y275" s="103"/>
      <c r="Z275" s="7">
        <v>7201</v>
      </c>
      <c r="AB275" s="2">
        <v>0</v>
      </c>
      <c r="AC275" s="103">
        <v>156360</v>
      </c>
      <c r="AD275" s="103">
        <v>153693</v>
      </c>
      <c r="AE275" s="64">
        <f t="shared" si="63"/>
        <v>4.2369659759529298E-2</v>
      </c>
      <c r="AF275" s="64">
        <f t="shared" si="64"/>
        <v>0</v>
      </c>
      <c r="AG275" s="20">
        <f t="shared" si="65"/>
        <v>64.320674319945439</v>
      </c>
      <c r="AH275" s="20">
        <f t="shared" si="66"/>
        <v>0</v>
      </c>
      <c r="AI275" s="22"/>
    </row>
    <row r="276" spans="1:35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7">
        <f t="shared" si="60"/>
        <v>94.518567992175619</v>
      </c>
      <c r="O276" s="7">
        <f t="shared" si="56"/>
        <v>4199.666666666667</v>
      </c>
      <c r="P276" s="7">
        <f t="shared" si="57"/>
        <v>4105.1480986744918</v>
      </c>
      <c r="Q276" s="7">
        <f t="shared" si="58"/>
        <v>2074.75</v>
      </c>
      <c r="R276" s="7">
        <f t="shared" si="59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61"/>
        <v>160271</v>
      </c>
      <c r="X276" s="103">
        <f t="shared" si="62"/>
        <v>168481</v>
      </c>
      <c r="Y276" s="103"/>
      <c r="Z276" s="7">
        <v>9615</v>
      </c>
      <c r="AB276" s="2">
        <v>0</v>
      </c>
      <c r="AC276" s="103">
        <v>113491</v>
      </c>
      <c r="AD276" s="103">
        <v>160271</v>
      </c>
      <c r="AE276" s="64">
        <f t="shared" si="63"/>
        <v>7.7942744358583504E-2</v>
      </c>
      <c r="AF276" s="64">
        <f t="shared" si="64"/>
        <v>0</v>
      </c>
      <c r="AG276" s="20">
        <f t="shared" si="65"/>
        <v>94.518567992175619</v>
      </c>
      <c r="AH276" s="20">
        <f t="shared" si="66"/>
        <v>0</v>
      </c>
      <c r="AI276" s="22"/>
    </row>
    <row r="277" spans="1:35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7">
        <f t="shared" si="60"/>
        <v>32.371833248050372</v>
      </c>
      <c r="O277" s="7">
        <f t="shared" si="56"/>
        <v>3876.0833333333335</v>
      </c>
      <c r="P277" s="7">
        <f t="shared" si="57"/>
        <v>3843.7115000852832</v>
      </c>
      <c r="Q277" s="7">
        <f t="shared" si="58"/>
        <v>1789.3333333333335</v>
      </c>
      <c r="R277" s="7">
        <f t="shared" si="59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61"/>
        <v>130407</v>
      </c>
      <c r="X277" s="103">
        <f t="shared" si="62"/>
        <v>137762</v>
      </c>
      <c r="Y277" s="103"/>
      <c r="Z277" s="7">
        <v>3442</v>
      </c>
      <c r="AB277" s="2">
        <v>0</v>
      </c>
      <c r="AC277" s="103">
        <v>119211</v>
      </c>
      <c r="AD277" s="103">
        <v>130407</v>
      </c>
      <c r="AE277" s="64">
        <f t="shared" si="63"/>
        <v>2.6563320498947246E-2</v>
      </c>
      <c r="AF277" s="64">
        <f t="shared" si="64"/>
        <v>0</v>
      </c>
      <c r="AG277" s="20">
        <f t="shared" si="65"/>
        <v>32.371833248050372</v>
      </c>
      <c r="AH277" s="20">
        <f t="shared" si="66"/>
        <v>0</v>
      </c>
      <c r="AI277" s="22"/>
    </row>
    <row r="278" spans="1:35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7">
        <f t="shared" si="60"/>
        <v>9.8745532963647555</v>
      </c>
      <c r="O278" s="7">
        <f t="shared" si="56"/>
        <v>1967.5</v>
      </c>
      <c r="P278" s="7">
        <f t="shared" si="57"/>
        <v>1957.6254467036351</v>
      </c>
      <c r="Q278" s="7">
        <f t="shared" si="58"/>
        <v>913.16666666666674</v>
      </c>
      <c r="R278" s="7">
        <f t="shared" si="59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61"/>
        <v>80175</v>
      </c>
      <c r="X278" s="103">
        <f t="shared" si="62"/>
        <v>84001</v>
      </c>
      <c r="Y278" s="103"/>
      <c r="Z278" s="7">
        <v>1072</v>
      </c>
      <c r="AB278" s="2">
        <v>0</v>
      </c>
      <c r="AC278" s="103">
        <v>64379</v>
      </c>
      <c r="AD278" s="103">
        <v>80175</v>
      </c>
      <c r="AE278" s="64">
        <f t="shared" si="63"/>
        <v>1.5319281132046164E-2</v>
      </c>
      <c r="AF278" s="64">
        <f t="shared" si="64"/>
        <v>0</v>
      </c>
      <c r="AG278" s="20">
        <f t="shared" si="65"/>
        <v>9.8745532963647555</v>
      </c>
      <c r="AH278" s="20">
        <f t="shared" si="66"/>
        <v>0</v>
      </c>
      <c r="AI278" s="22"/>
    </row>
    <row r="279" spans="1:35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7">
        <f t="shared" si="60"/>
        <v>0</v>
      </c>
      <c r="O279" s="7">
        <f t="shared" si="56"/>
        <v>1850.9166666666667</v>
      </c>
      <c r="P279" s="7">
        <f t="shared" si="57"/>
        <v>1850.9166666666667</v>
      </c>
      <c r="Q279" s="7">
        <f t="shared" si="58"/>
        <v>816.33333333333348</v>
      </c>
      <c r="R279" s="7">
        <f t="shared" si="59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61"/>
        <v>69509</v>
      </c>
      <c r="X279" s="103">
        <f t="shared" si="62"/>
        <v>72512</v>
      </c>
      <c r="Y279" s="103"/>
      <c r="Z279" s="7">
        <v>0</v>
      </c>
      <c r="AB279" s="2">
        <v>0</v>
      </c>
      <c r="AC279" s="103">
        <v>59694</v>
      </c>
      <c r="AD279" s="103">
        <v>69509</v>
      </c>
      <c r="AE279" s="64">
        <f t="shared" si="63"/>
        <v>0</v>
      </c>
      <c r="AF279" s="64">
        <f t="shared" si="64"/>
        <v>0</v>
      </c>
      <c r="AG279" s="20">
        <f t="shared" si="65"/>
        <v>0</v>
      </c>
      <c r="AH279" s="20">
        <f t="shared" si="66"/>
        <v>0</v>
      </c>
      <c r="AI279" s="22"/>
    </row>
    <row r="280" spans="1:35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7">
        <f t="shared" si="60"/>
        <v>11.693124491970169</v>
      </c>
      <c r="O280" s="7">
        <f t="shared" si="56"/>
        <v>3892.5833333333335</v>
      </c>
      <c r="P280" s="7">
        <f t="shared" si="57"/>
        <v>3880.8902088413633</v>
      </c>
      <c r="Q280" s="7">
        <f t="shared" si="58"/>
        <v>1716.3333333333335</v>
      </c>
      <c r="R280" s="7">
        <f t="shared" si="59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61"/>
        <v>140091</v>
      </c>
      <c r="X280" s="103">
        <f t="shared" si="62"/>
        <v>149075</v>
      </c>
      <c r="Y280" s="103"/>
      <c r="Z280" s="7">
        <v>1281</v>
      </c>
      <c r="AB280" s="2">
        <v>0</v>
      </c>
      <c r="AC280" s="103">
        <v>126715</v>
      </c>
      <c r="AD280" s="103">
        <v>140091</v>
      </c>
      <c r="AE280" s="64">
        <f t="shared" si="63"/>
        <v>9.3005563666495681E-3</v>
      </c>
      <c r="AF280" s="64">
        <f t="shared" si="64"/>
        <v>0</v>
      </c>
      <c r="AG280" s="20">
        <f t="shared" si="65"/>
        <v>11.693124491970169</v>
      </c>
      <c r="AH280" s="20">
        <f t="shared" si="66"/>
        <v>0</v>
      </c>
      <c r="AI280" s="22"/>
    </row>
    <row r="281" spans="1:35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7">
        <f t="shared" si="60"/>
        <v>5.1083379928400783</v>
      </c>
      <c r="O281" s="7">
        <f t="shared" si="56"/>
        <v>3933.6833333333334</v>
      </c>
      <c r="P281" s="7">
        <f t="shared" si="57"/>
        <v>3928.5749953404938</v>
      </c>
      <c r="Q281" s="7">
        <f t="shared" si="58"/>
        <v>1711.0833333333335</v>
      </c>
      <c r="R281" s="7">
        <f t="shared" si="59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61"/>
        <v>152437</v>
      </c>
      <c r="X281" s="103">
        <f t="shared" si="62"/>
        <v>164266</v>
      </c>
      <c r="Y281" s="103"/>
      <c r="Z281" s="7">
        <v>556</v>
      </c>
      <c r="AB281" s="2">
        <v>0</v>
      </c>
      <c r="AC281" s="103">
        <v>125979</v>
      </c>
      <c r="AD281" s="103">
        <v>152437</v>
      </c>
      <c r="AE281" s="64">
        <f t="shared" si="63"/>
        <v>4.0603592662269115E-3</v>
      </c>
      <c r="AF281" s="64">
        <f t="shared" si="64"/>
        <v>0</v>
      </c>
      <c r="AG281" s="20">
        <f t="shared" si="65"/>
        <v>5.1083379928400783</v>
      </c>
      <c r="AH281" s="20">
        <f t="shared" si="66"/>
        <v>0</v>
      </c>
      <c r="AI281" s="22"/>
    </row>
    <row r="282" spans="1:35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7">
        <f t="shared" si="60"/>
        <v>16.751611171345068</v>
      </c>
      <c r="O282" s="7">
        <f t="shared" si="56"/>
        <v>4912.416666666667</v>
      </c>
      <c r="P282" s="7">
        <f t="shared" si="57"/>
        <v>4895.6650554953221</v>
      </c>
      <c r="Q282" s="7">
        <f t="shared" si="58"/>
        <v>2011.666666666667</v>
      </c>
      <c r="R282" s="7">
        <f t="shared" si="59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61"/>
        <v>165264</v>
      </c>
      <c r="X282" s="103">
        <f t="shared" si="62"/>
        <v>173891</v>
      </c>
      <c r="Y282" s="103"/>
      <c r="Z282" s="7">
        <v>1720</v>
      </c>
      <c r="AB282" s="2">
        <v>0</v>
      </c>
      <c r="AC282" s="103">
        <v>159563</v>
      </c>
      <c r="AD282" s="103">
        <v>165264</v>
      </c>
      <c r="AE282" s="64">
        <f t="shared" si="63"/>
        <v>9.917086041250165E-3</v>
      </c>
      <c r="AF282" s="64">
        <f t="shared" si="64"/>
        <v>0</v>
      </c>
      <c r="AG282" s="20">
        <f t="shared" si="65"/>
        <v>16.751611171345068</v>
      </c>
      <c r="AH282" s="20">
        <f t="shared" si="66"/>
        <v>0</v>
      </c>
      <c r="AI282" s="22"/>
    </row>
    <row r="283" spans="1:35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7">
        <f t="shared" si="60"/>
        <v>243.17628858759696</v>
      </c>
      <c r="O283" s="7">
        <f t="shared" si="56"/>
        <v>5112.166666666667</v>
      </c>
      <c r="P283" s="7">
        <f t="shared" si="57"/>
        <v>4868.9903780790692</v>
      </c>
      <c r="Q283" s="7">
        <f t="shared" si="58"/>
        <v>2001.6519163925268</v>
      </c>
      <c r="R283" s="7">
        <f t="shared" si="59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61"/>
        <v>166804</v>
      </c>
      <c r="X283" s="103">
        <f t="shared" si="62"/>
        <v>187607</v>
      </c>
      <c r="Y283" s="103"/>
      <c r="Z283" s="7">
        <v>17585</v>
      </c>
      <c r="AB283" s="2">
        <v>10417</v>
      </c>
      <c r="AC283" s="103">
        <v>173155</v>
      </c>
      <c r="AD283" s="103">
        <v>177221</v>
      </c>
      <c r="AE283" s="64">
        <f t="shared" si="63"/>
        <v>9.3431896277901313E-2</v>
      </c>
      <c r="AF283" s="64">
        <f t="shared" si="64"/>
        <v>3.820681521941531E-2</v>
      </c>
      <c r="AG283" s="20">
        <f t="shared" si="65"/>
        <v>163.66153831345713</v>
      </c>
      <c r="AH283" s="20">
        <f t="shared" si="66"/>
        <v>79.514750274139828</v>
      </c>
      <c r="AI283" s="22"/>
    </row>
    <row r="284" spans="1:35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7">
        <f t="shared" si="60"/>
        <v>56.16725544942107</v>
      </c>
      <c r="O284" s="7">
        <f t="shared" si="56"/>
        <v>4887.5</v>
      </c>
      <c r="P284" s="7">
        <f t="shared" si="57"/>
        <v>4831.3327445505784</v>
      </c>
      <c r="Q284" s="7">
        <f t="shared" si="58"/>
        <v>1922.1666666666665</v>
      </c>
      <c r="R284" s="7">
        <f t="shared" si="59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61"/>
        <v>169997</v>
      </c>
      <c r="X284" s="103">
        <f t="shared" si="62"/>
        <v>179760</v>
      </c>
      <c r="Y284" s="103"/>
      <c r="Z284" s="7">
        <v>5473</v>
      </c>
      <c r="AB284" s="2">
        <v>0</v>
      </c>
      <c r="AC284" s="103">
        <v>145413</v>
      </c>
      <c r="AD284" s="103">
        <v>169997</v>
      </c>
      <c r="AE284" s="64">
        <f t="shared" si="63"/>
        <v>3.4626615226974203E-2</v>
      </c>
      <c r="AF284" s="64">
        <f t="shared" si="64"/>
        <v>0</v>
      </c>
      <c r="AG284" s="20">
        <f t="shared" si="65"/>
        <v>56.16725544942107</v>
      </c>
      <c r="AH284" s="20">
        <f t="shared" si="66"/>
        <v>0</v>
      </c>
      <c r="AI284" s="22"/>
    </row>
    <row r="285" spans="1:35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7">
        <f t="shared" si="60"/>
        <v>11.311845625993048</v>
      </c>
      <c r="O285" s="7">
        <f t="shared" si="56"/>
        <v>3191.583333333333</v>
      </c>
      <c r="P285" s="7">
        <f t="shared" si="57"/>
        <v>3180.2714877073399</v>
      </c>
      <c r="Q285" s="7">
        <f t="shared" si="58"/>
        <v>1327.5</v>
      </c>
      <c r="R285" s="7">
        <f t="shared" si="59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61"/>
        <v>97826</v>
      </c>
      <c r="X285" s="103">
        <f t="shared" si="62"/>
        <v>103215</v>
      </c>
      <c r="Y285" s="103"/>
      <c r="Z285" s="7">
        <v>1048</v>
      </c>
      <c r="AB285" s="2">
        <v>0</v>
      </c>
      <c r="AC285" s="103">
        <v>86854</v>
      </c>
      <c r="AD285" s="103">
        <v>97826</v>
      </c>
      <c r="AE285" s="64">
        <f t="shared" si="63"/>
        <v>1.1100927994105052E-2</v>
      </c>
      <c r="AF285" s="64">
        <f t="shared" si="64"/>
        <v>0</v>
      </c>
      <c r="AG285" s="20">
        <f t="shared" si="65"/>
        <v>11.311845625993048</v>
      </c>
      <c r="AH285" s="20">
        <f t="shared" si="66"/>
        <v>0</v>
      </c>
      <c r="AI285" s="22"/>
    </row>
    <row r="286" spans="1:35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7">
        <f t="shared" si="60"/>
        <v>61.038421756117621</v>
      </c>
      <c r="O286" s="7">
        <f t="shared" si="56"/>
        <v>1811.4166666666665</v>
      </c>
      <c r="P286" s="7">
        <f t="shared" si="57"/>
        <v>1750.3782449105488</v>
      </c>
      <c r="Q286" s="7">
        <f t="shared" si="58"/>
        <v>722.79491157721566</v>
      </c>
      <c r="R286" s="7">
        <f t="shared" si="59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61"/>
        <v>64206</v>
      </c>
      <c r="X286" s="103">
        <f t="shared" si="62"/>
        <v>76354</v>
      </c>
      <c r="Y286" s="103"/>
      <c r="Z286" s="7">
        <v>0</v>
      </c>
      <c r="AB286" s="2">
        <v>8739</v>
      </c>
      <c r="AC286" s="103">
        <v>56169</v>
      </c>
      <c r="AD286" s="103">
        <v>72945</v>
      </c>
      <c r="AE286" s="64">
        <f t="shared" si="63"/>
        <v>0</v>
      </c>
      <c r="AF286" s="64">
        <f t="shared" si="64"/>
        <v>7.7871684145589148E-2</v>
      </c>
      <c r="AG286" s="20">
        <f t="shared" si="65"/>
        <v>0</v>
      </c>
      <c r="AH286" s="20">
        <f t="shared" si="66"/>
        <v>61.038421756117621</v>
      </c>
      <c r="AI286" s="22"/>
    </row>
    <row r="287" spans="1:35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7">
        <f t="shared" si="60"/>
        <v>15.167342262048145</v>
      </c>
      <c r="O287" s="7">
        <f t="shared" si="56"/>
        <v>5555.75</v>
      </c>
      <c r="P287" s="7">
        <f t="shared" si="57"/>
        <v>5540.5826577379521</v>
      </c>
      <c r="Q287" s="7">
        <f t="shared" si="58"/>
        <v>2053.416666666667</v>
      </c>
      <c r="R287" s="7">
        <f t="shared" si="59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61"/>
        <v>170708</v>
      </c>
      <c r="X287" s="103">
        <f t="shared" si="62"/>
        <v>181138</v>
      </c>
      <c r="Y287" s="103"/>
      <c r="Z287" s="7">
        <v>1304</v>
      </c>
      <c r="AB287" s="2">
        <v>0</v>
      </c>
      <c r="AC287" s="103">
        <v>166056</v>
      </c>
      <c r="AD287" s="103">
        <v>170708</v>
      </c>
      <c r="AE287" s="64">
        <f t="shared" si="63"/>
        <v>7.2245507539625189E-3</v>
      </c>
      <c r="AF287" s="64">
        <f t="shared" si="64"/>
        <v>0</v>
      </c>
      <c r="AG287" s="20">
        <f t="shared" si="65"/>
        <v>15.167342262048145</v>
      </c>
      <c r="AH287" s="20">
        <f t="shared" si="66"/>
        <v>0</v>
      </c>
      <c r="AI287" s="22"/>
    </row>
    <row r="288" spans="1:35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7">
        <f t="shared" si="60"/>
        <v>9.8458928627011577</v>
      </c>
      <c r="O288" s="7">
        <f t="shared" si="56"/>
        <v>5620.166666666667</v>
      </c>
      <c r="P288" s="7">
        <f t="shared" si="57"/>
        <v>5610.3207738039655</v>
      </c>
      <c r="Q288" s="7">
        <f t="shared" si="58"/>
        <v>1988.5</v>
      </c>
      <c r="R288" s="7">
        <f t="shared" si="59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61"/>
        <v>158008</v>
      </c>
      <c r="X288" s="103">
        <f t="shared" si="62"/>
        <v>171842</v>
      </c>
      <c r="Y288" s="103"/>
      <c r="Z288" s="7">
        <v>809</v>
      </c>
      <c r="AB288" s="2">
        <v>0</v>
      </c>
      <c r="AC288" s="103">
        <v>171344</v>
      </c>
      <c r="AD288" s="103">
        <v>158008</v>
      </c>
      <c r="AE288" s="64">
        <f t="shared" si="63"/>
        <v>4.3437762629563925E-3</v>
      </c>
      <c r="AF288" s="64">
        <f t="shared" si="64"/>
        <v>0</v>
      </c>
      <c r="AG288" s="20">
        <f t="shared" si="65"/>
        <v>9.8458928627011577</v>
      </c>
      <c r="AH288" s="20">
        <f t="shared" si="66"/>
        <v>0</v>
      </c>
      <c r="AI288" s="22"/>
    </row>
    <row r="289" spans="1:35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7">
        <f t="shared" si="60"/>
        <v>4.8666061619728911</v>
      </c>
      <c r="O289" s="7">
        <f t="shared" si="56"/>
        <v>6043.75</v>
      </c>
      <c r="P289" s="7">
        <f t="shared" si="57"/>
        <v>6038.8833938380267</v>
      </c>
      <c r="Q289" s="7">
        <f t="shared" si="58"/>
        <v>2624.5</v>
      </c>
      <c r="R289" s="7">
        <f t="shared" si="59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61"/>
        <v>192530</v>
      </c>
      <c r="X289" s="103">
        <f t="shared" si="62"/>
        <v>203447</v>
      </c>
      <c r="Y289" s="103"/>
      <c r="Z289" s="7">
        <v>387</v>
      </c>
      <c r="AB289" s="2">
        <v>0</v>
      </c>
      <c r="AC289" s="103">
        <v>166213</v>
      </c>
      <c r="AD289" s="103">
        <v>192530</v>
      </c>
      <c r="AE289" s="64">
        <f t="shared" si="63"/>
        <v>2.1420707164902866E-3</v>
      </c>
      <c r="AF289" s="64">
        <f t="shared" si="64"/>
        <v>0</v>
      </c>
      <c r="AG289" s="20">
        <f t="shared" si="65"/>
        <v>4.8666061619728911</v>
      </c>
      <c r="AH289" s="20">
        <f t="shared" si="66"/>
        <v>0</v>
      </c>
      <c r="AI289" s="22"/>
    </row>
    <row r="290" spans="1:35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7">
        <f t="shared" si="60"/>
        <v>1.7300178413828788</v>
      </c>
      <c r="O290" s="7">
        <f t="shared" si="56"/>
        <v>6085.9166666666679</v>
      </c>
      <c r="P290" s="7">
        <f t="shared" si="57"/>
        <v>6084.1866488252845</v>
      </c>
      <c r="Q290" s="7">
        <f t="shared" si="58"/>
        <v>2686.8333333333335</v>
      </c>
      <c r="R290" s="7">
        <f t="shared" si="59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61"/>
        <v>203784</v>
      </c>
      <c r="X290" s="103">
        <f t="shared" si="62"/>
        <v>213845</v>
      </c>
      <c r="Y290" s="103"/>
      <c r="Z290" s="7">
        <v>139</v>
      </c>
      <c r="AB290" s="2">
        <v>0</v>
      </c>
      <c r="AC290" s="103">
        <v>175248</v>
      </c>
      <c r="AD290" s="103">
        <v>203784</v>
      </c>
      <c r="AE290" s="64">
        <f t="shared" si="63"/>
        <v>7.2970875559207526E-4</v>
      </c>
      <c r="AF290" s="64">
        <f t="shared" si="64"/>
        <v>0</v>
      </c>
      <c r="AG290" s="20">
        <f t="shared" si="65"/>
        <v>1.7300178413828788</v>
      </c>
      <c r="AH290" s="20">
        <f t="shared" si="66"/>
        <v>0</v>
      </c>
      <c r="AI290" s="22"/>
    </row>
    <row r="291" spans="1:35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7">
        <f t="shared" si="60"/>
        <v>7.8908222658350367</v>
      </c>
      <c r="O291" s="7">
        <f t="shared" si="56"/>
        <v>5746.0000000000009</v>
      </c>
      <c r="P291" s="7">
        <f t="shared" si="57"/>
        <v>5738.1091777341653</v>
      </c>
      <c r="Q291" s="7">
        <f t="shared" si="58"/>
        <v>2613.166666666667</v>
      </c>
      <c r="R291" s="7">
        <f t="shared" si="59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61"/>
        <v>204396</v>
      </c>
      <c r="X291" s="103">
        <f t="shared" si="62"/>
        <v>214373</v>
      </c>
      <c r="Y291" s="103"/>
      <c r="Z291" s="7">
        <v>630</v>
      </c>
      <c r="AB291" s="2">
        <v>0</v>
      </c>
      <c r="AC291" s="103">
        <v>148784</v>
      </c>
      <c r="AD291" s="103">
        <v>204396</v>
      </c>
      <c r="AE291" s="64">
        <f t="shared" si="63"/>
        <v>3.8955801699107431E-3</v>
      </c>
      <c r="AF291" s="64">
        <f t="shared" si="64"/>
        <v>0</v>
      </c>
      <c r="AG291" s="20">
        <f t="shared" si="65"/>
        <v>7.8908222658350367</v>
      </c>
      <c r="AH291" s="20">
        <f t="shared" si="66"/>
        <v>0</v>
      </c>
      <c r="AI291" s="22"/>
    </row>
    <row r="292" spans="1:35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7">
        <f t="shared" si="60"/>
        <v>0</v>
      </c>
      <c r="O292" s="7">
        <f t="shared" si="56"/>
        <v>5581.583333333333</v>
      </c>
      <c r="P292" s="7">
        <f t="shared" si="57"/>
        <v>5581.583333333333</v>
      </c>
      <c r="Q292" s="7">
        <f t="shared" si="58"/>
        <v>2747</v>
      </c>
      <c r="R292" s="7">
        <f t="shared" si="59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61"/>
        <v>208851</v>
      </c>
      <c r="X292" s="103">
        <f t="shared" si="62"/>
        <v>216578</v>
      </c>
      <c r="Y292" s="103"/>
      <c r="Z292" s="7">
        <v>0</v>
      </c>
      <c r="AB292" s="2">
        <v>0</v>
      </c>
      <c r="AC292" s="103">
        <v>139944</v>
      </c>
      <c r="AD292" s="103">
        <v>208851</v>
      </c>
      <c r="AE292" s="64">
        <f t="shared" si="63"/>
        <v>0</v>
      </c>
      <c r="AF292" s="64">
        <f t="shared" si="64"/>
        <v>0</v>
      </c>
      <c r="AG292" s="20">
        <f t="shared" si="65"/>
        <v>0</v>
      </c>
      <c r="AH292" s="20">
        <f t="shared" si="66"/>
        <v>0</v>
      </c>
      <c r="AI292" s="22"/>
    </row>
    <row r="293" spans="1:35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7">
        <f t="shared" si="60"/>
        <v>0</v>
      </c>
      <c r="O293" s="7">
        <f t="shared" si="56"/>
        <v>3893.9999999999995</v>
      </c>
      <c r="P293" s="7">
        <f t="shared" si="57"/>
        <v>3893.9999999999995</v>
      </c>
      <c r="Q293" s="7">
        <f t="shared" si="58"/>
        <v>1844.583333333333</v>
      </c>
      <c r="R293" s="7">
        <f t="shared" si="59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61"/>
        <v>148569</v>
      </c>
      <c r="X293" s="103">
        <f t="shared" si="62"/>
        <v>153818</v>
      </c>
      <c r="Y293" s="103"/>
      <c r="Z293" s="7">
        <v>0</v>
      </c>
      <c r="AB293" s="2">
        <v>0</v>
      </c>
      <c r="AC293" s="103">
        <v>111545</v>
      </c>
      <c r="AD293" s="103">
        <v>148569</v>
      </c>
      <c r="AE293" s="64">
        <f t="shared" si="63"/>
        <v>0</v>
      </c>
      <c r="AF293" s="64">
        <f t="shared" si="64"/>
        <v>0</v>
      </c>
      <c r="AG293" s="20">
        <f t="shared" si="65"/>
        <v>0</v>
      </c>
      <c r="AH293" s="20">
        <f t="shared" si="66"/>
        <v>0</v>
      </c>
      <c r="AI293" s="22"/>
    </row>
    <row r="294" spans="1:35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7">
        <f t="shared" si="60"/>
        <v>0</v>
      </c>
      <c r="O294" s="7">
        <f t="shared" si="56"/>
        <v>5604.833333333333</v>
      </c>
      <c r="P294" s="7">
        <f t="shared" si="57"/>
        <v>5604.833333333333</v>
      </c>
      <c r="Q294" s="7">
        <f t="shared" si="58"/>
        <v>2561</v>
      </c>
      <c r="R294" s="7">
        <f t="shared" si="59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si="61"/>
        <v>186515</v>
      </c>
      <c r="X294" s="103">
        <f t="shared" si="62"/>
        <v>199107</v>
      </c>
      <c r="Y294" s="103"/>
      <c r="Z294" s="7">
        <v>0</v>
      </c>
      <c r="AB294" s="2">
        <v>0</v>
      </c>
      <c r="AC294" s="103">
        <v>159219</v>
      </c>
      <c r="AD294" s="103">
        <v>186515</v>
      </c>
      <c r="AE294" s="64">
        <f t="shared" si="63"/>
        <v>0</v>
      </c>
      <c r="AF294" s="64">
        <f t="shared" si="64"/>
        <v>0</v>
      </c>
      <c r="AG294" s="20">
        <f t="shared" ref="AG294:AG325" si="67">+AE294*K294</f>
        <v>0</v>
      </c>
      <c r="AH294" s="20">
        <f t="shared" ref="AH294:AH325" si="68">+AF294*I294</f>
        <v>0</v>
      </c>
      <c r="AI294" s="22"/>
    </row>
    <row r="295" spans="1:35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7">
        <f t="shared" si="60"/>
        <v>0</v>
      </c>
      <c r="O295" s="7">
        <f t="shared" si="56"/>
        <v>5822.3333333333339</v>
      </c>
      <c r="P295" s="7">
        <f t="shared" si="57"/>
        <v>5822.3333333333339</v>
      </c>
      <c r="Q295" s="7">
        <f t="shared" si="58"/>
        <v>2707.3333333333335</v>
      </c>
      <c r="R295" s="7">
        <f t="shared" si="59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61"/>
        <v>204510</v>
      </c>
      <c r="X295" s="103">
        <f t="shared" si="62"/>
        <v>215894</v>
      </c>
      <c r="Y295" s="103"/>
      <c r="Z295" s="7">
        <v>0</v>
      </c>
      <c r="AB295" s="2">
        <v>0</v>
      </c>
      <c r="AC295" s="103">
        <v>152775</v>
      </c>
      <c r="AD295" s="103">
        <v>204510</v>
      </c>
      <c r="AE295" s="64">
        <f t="shared" si="63"/>
        <v>0</v>
      </c>
      <c r="AF295" s="64">
        <f t="shared" si="64"/>
        <v>0</v>
      </c>
      <c r="AG295" s="20">
        <f t="shared" si="67"/>
        <v>0</v>
      </c>
      <c r="AH295" s="20">
        <f t="shared" si="68"/>
        <v>0</v>
      </c>
      <c r="AI295" s="22"/>
    </row>
    <row r="296" spans="1:35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7">
        <f t="shared" si="60"/>
        <v>0</v>
      </c>
      <c r="O296" s="7">
        <f t="shared" si="56"/>
        <v>6061</v>
      </c>
      <c r="P296" s="7">
        <f t="shared" si="57"/>
        <v>6061</v>
      </c>
      <c r="Q296" s="7">
        <f t="shared" si="58"/>
        <v>3011.0833333333335</v>
      </c>
      <c r="R296" s="7">
        <f t="shared" si="59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61"/>
        <v>193440</v>
      </c>
      <c r="X296" s="103">
        <f t="shared" si="62"/>
        <v>203954</v>
      </c>
      <c r="Y296" s="103"/>
      <c r="Z296" s="7">
        <v>0</v>
      </c>
      <c r="AB296" s="2">
        <v>0</v>
      </c>
      <c r="AC296" s="103">
        <v>151971</v>
      </c>
      <c r="AD296" s="103">
        <v>193440</v>
      </c>
      <c r="AE296" s="64">
        <f t="shared" si="63"/>
        <v>0</v>
      </c>
      <c r="AF296" s="64">
        <f t="shared" si="64"/>
        <v>0</v>
      </c>
      <c r="AG296" s="20">
        <f t="shared" si="67"/>
        <v>0</v>
      </c>
      <c r="AH296" s="20">
        <f t="shared" si="68"/>
        <v>0</v>
      </c>
      <c r="AI296" s="22"/>
    </row>
    <row r="297" spans="1:35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7">
        <f t="shared" si="60"/>
        <v>0</v>
      </c>
      <c r="O297" s="7">
        <f t="shared" si="56"/>
        <v>5999.833333333333</v>
      </c>
      <c r="P297" s="7">
        <f t="shared" si="57"/>
        <v>5999.833333333333</v>
      </c>
      <c r="Q297" s="7">
        <f t="shared" si="58"/>
        <v>3002.583333333333</v>
      </c>
      <c r="R297" s="7">
        <f t="shared" si="59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61"/>
        <v>201113</v>
      </c>
      <c r="X297" s="103">
        <f t="shared" si="62"/>
        <v>212985</v>
      </c>
      <c r="Y297" s="103"/>
      <c r="Z297" s="7">
        <v>0</v>
      </c>
      <c r="AB297" s="2">
        <v>0</v>
      </c>
      <c r="AC297" s="103">
        <v>150861</v>
      </c>
      <c r="AD297" s="103">
        <v>201113</v>
      </c>
      <c r="AE297" s="64">
        <f t="shared" si="63"/>
        <v>0</v>
      </c>
      <c r="AF297" s="64">
        <f t="shared" si="64"/>
        <v>0</v>
      </c>
      <c r="AG297" s="20">
        <f t="shared" si="67"/>
        <v>0</v>
      </c>
      <c r="AH297" s="20">
        <f t="shared" si="68"/>
        <v>0</v>
      </c>
      <c r="AI297" s="22"/>
    </row>
    <row r="298" spans="1:35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7">
        <f t="shared" si="60"/>
        <v>0</v>
      </c>
      <c r="O298" s="7">
        <f t="shared" si="56"/>
        <v>5780.1666666666679</v>
      </c>
      <c r="P298" s="7">
        <f t="shared" si="57"/>
        <v>5780.1666666666679</v>
      </c>
      <c r="Q298" s="7">
        <f t="shared" si="58"/>
        <v>2854.4166666666674</v>
      </c>
      <c r="R298" s="7">
        <f t="shared" si="59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61"/>
        <v>186788</v>
      </c>
      <c r="X298" s="103">
        <f t="shared" si="62"/>
        <v>197455</v>
      </c>
      <c r="Y298" s="103"/>
      <c r="Z298" s="7">
        <v>0</v>
      </c>
      <c r="AB298" s="2">
        <v>0</v>
      </c>
      <c r="AC298" s="103">
        <v>144865</v>
      </c>
      <c r="AD298" s="103">
        <v>186788</v>
      </c>
      <c r="AE298" s="64">
        <f t="shared" si="63"/>
        <v>0</v>
      </c>
      <c r="AF298" s="64">
        <f t="shared" si="64"/>
        <v>0</v>
      </c>
      <c r="AG298" s="20">
        <f t="shared" si="67"/>
        <v>0</v>
      </c>
      <c r="AH298" s="20">
        <f t="shared" si="68"/>
        <v>0</v>
      </c>
      <c r="AI298" s="22"/>
    </row>
    <row r="299" spans="1:35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7">
        <f t="shared" si="60"/>
        <v>0</v>
      </c>
      <c r="O299" s="7">
        <f t="shared" si="56"/>
        <v>3728.1666666666665</v>
      </c>
      <c r="P299" s="7">
        <f t="shared" si="57"/>
        <v>3728.1666666666665</v>
      </c>
      <c r="Q299" s="7">
        <f t="shared" si="58"/>
        <v>1892.4999999999998</v>
      </c>
      <c r="R299" s="7">
        <f t="shared" si="59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61"/>
        <v>140491</v>
      </c>
      <c r="X299" s="103">
        <f t="shared" si="62"/>
        <v>145735</v>
      </c>
      <c r="Y299" s="103"/>
      <c r="Z299" s="7">
        <v>0</v>
      </c>
      <c r="AB299" s="2">
        <v>0</v>
      </c>
      <c r="AC299" s="103">
        <v>99281</v>
      </c>
      <c r="AD299" s="103">
        <v>140491</v>
      </c>
      <c r="AE299" s="64">
        <f t="shared" si="63"/>
        <v>0</v>
      </c>
      <c r="AF299" s="64">
        <f t="shared" si="64"/>
        <v>0</v>
      </c>
      <c r="AG299" s="20">
        <f t="shared" si="67"/>
        <v>0</v>
      </c>
      <c r="AH299" s="20">
        <f t="shared" si="68"/>
        <v>0</v>
      </c>
      <c r="AI299" s="22"/>
    </row>
    <row r="300" spans="1:35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7">
        <f t="shared" si="60"/>
        <v>0</v>
      </c>
      <c r="O300" s="7">
        <f t="shared" si="56"/>
        <v>2947.5000000000005</v>
      </c>
      <c r="P300" s="7">
        <f t="shared" si="57"/>
        <v>2947.5000000000005</v>
      </c>
      <c r="Q300" s="7">
        <f t="shared" si="58"/>
        <v>1438.5833333333335</v>
      </c>
      <c r="R300" s="7">
        <f t="shared" si="59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61"/>
        <v>110068</v>
      </c>
      <c r="X300" s="103">
        <f t="shared" si="62"/>
        <v>112433</v>
      </c>
      <c r="Y300" s="103"/>
      <c r="Z300" s="7">
        <v>0</v>
      </c>
      <c r="AB300" s="2">
        <v>0</v>
      </c>
      <c r="AC300" s="103">
        <v>81435</v>
      </c>
      <c r="AD300" s="103">
        <v>110068</v>
      </c>
      <c r="AE300" s="64">
        <f t="shared" si="63"/>
        <v>0</v>
      </c>
      <c r="AF300" s="64">
        <f t="shared" si="64"/>
        <v>0</v>
      </c>
      <c r="AG300" s="20">
        <f t="shared" si="67"/>
        <v>0</v>
      </c>
      <c r="AH300" s="20">
        <f t="shared" si="68"/>
        <v>0</v>
      </c>
      <c r="AI300" s="22"/>
    </row>
    <row r="301" spans="1:35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7">
        <f t="shared" si="60"/>
        <v>0</v>
      </c>
      <c r="O301" s="7">
        <f t="shared" si="56"/>
        <v>6445.6666666666661</v>
      </c>
      <c r="P301" s="7">
        <f t="shared" si="57"/>
        <v>6445.6666666666661</v>
      </c>
      <c r="Q301" s="7">
        <f t="shared" si="58"/>
        <v>3049.833333333333</v>
      </c>
      <c r="R301" s="7">
        <f t="shared" si="59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61"/>
        <v>185052</v>
      </c>
      <c r="X301" s="103">
        <f t="shared" si="62"/>
        <v>196571</v>
      </c>
      <c r="Y301" s="103"/>
      <c r="Z301" s="7">
        <v>0</v>
      </c>
      <c r="AB301" s="2">
        <v>0</v>
      </c>
      <c r="AC301" s="103">
        <v>184895</v>
      </c>
      <c r="AD301" s="103">
        <v>185052</v>
      </c>
      <c r="AE301" s="64">
        <f t="shared" si="63"/>
        <v>0</v>
      </c>
      <c r="AF301" s="64">
        <f t="shared" si="64"/>
        <v>0</v>
      </c>
      <c r="AG301" s="20">
        <f t="shared" si="67"/>
        <v>0</v>
      </c>
      <c r="AH301" s="20">
        <f t="shared" si="68"/>
        <v>0</v>
      </c>
      <c r="AI301" s="22"/>
    </row>
    <row r="302" spans="1:35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7">
        <f t="shared" si="60"/>
        <v>0</v>
      </c>
      <c r="O302" s="7">
        <f t="shared" si="56"/>
        <v>6124.3333333333339</v>
      </c>
      <c r="P302" s="7">
        <f t="shared" si="57"/>
        <v>6124.3333333333339</v>
      </c>
      <c r="Q302" s="7">
        <f t="shared" si="58"/>
        <v>3047.5</v>
      </c>
      <c r="R302" s="7">
        <f t="shared" si="59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61"/>
        <v>192934</v>
      </c>
      <c r="X302" s="103">
        <f t="shared" si="62"/>
        <v>202583</v>
      </c>
      <c r="Y302" s="103"/>
      <c r="Z302" s="7">
        <v>0</v>
      </c>
      <c r="AB302" s="2">
        <v>0</v>
      </c>
      <c r="AC302" s="103">
        <v>150273</v>
      </c>
      <c r="AD302" s="103">
        <v>192934</v>
      </c>
      <c r="AE302" s="64">
        <f t="shared" si="63"/>
        <v>0</v>
      </c>
      <c r="AF302" s="64">
        <f t="shared" si="64"/>
        <v>0</v>
      </c>
      <c r="AG302" s="20">
        <f t="shared" si="67"/>
        <v>0</v>
      </c>
      <c r="AH302" s="20">
        <f t="shared" si="68"/>
        <v>0</v>
      </c>
      <c r="AI302" s="22"/>
    </row>
    <row r="303" spans="1:35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7">
        <f t="shared" si="60"/>
        <v>341.70964895100241</v>
      </c>
      <c r="O303" s="7">
        <f t="shared" si="56"/>
        <v>6044.25</v>
      </c>
      <c r="P303" s="7">
        <f t="shared" si="57"/>
        <v>5702.5403510489978</v>
      </c>
      <c r="Q303" s="7">
        <f t="shared" si="58"/>
        <v>2712.8333333333335</v>
      </c>
      <c r="R303" s="7">
        <f t="shared" si="59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61"/>
        <v>199740</v>
      </c>
      <c r="X303" s="103">
        <f t="shared" si="62"/>
        <v>211064</v>
      </c>
      <c r="Y303" s="103"/>
      <c r="Z303" s="7">
        <v>38629</v>
      </c>
      <c r="AB303" s="2">
        <v>0</v>
      </c>
      <c r="AC303" s="103">
        <v>229759</v>
      </c>
      <c r="AD303" s="103">
        <v>199740</v>
      </c>
      <c r="AE303" s="64">
        <f t="shared" si="63"/>
        <v>0.15467807572282263</v>
      </c>
      <c r="AF303" s="64">
        <f t="shared" si="64"/>
        <v>0</v>
      </c>
      <c r="AG303" s="20">
        <f t="shared" si="67"/>
        <v>341.70964895100241</v>
      </c>
      <c r="AH303" s="20">
        <f t="shared" si="68"/>
        <v>0</v>
      </c>
      <c r="AI303" s="22"/>
    </row>
    <row r="304" spans="1:35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7">
        <f t="shared" si="60"/>
        <v>603.64139114233546</v>
      </c>
      <c r="O304" s="7">
        <f t="shared" si="56"/>
        <v>5837.4166666666661</v>
      </c>
      <c r="P304" s="7">
        <f t="shared" si="57"/>
        <v>5233.7752755243309</v>
      </c>
      <c r="Q304" s="7">
        <f t="shared" si="58"/>
        <v>2493.25</v>
      </c>
      <c r="R304" s="7">
        <f t="shared" si="59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61"/>
        <v>166702</v>
      </c>
      <c r="X304" s="103">
        <f t="shared" si="62"/>
        <v>174986</v>
      </c>
      <c r="Y304" s="103"/>
      <c r="Z304" s="7">
        <v>82363</v>
      </c>
      <c r="AB304" s="2">
        <v>0</v>
      </c>
      <c r="AC304" s="103">
        <v>277846</v>
      </c>
      <c r="AD304" s="103">
        <v>166702</v>
      </c>
      <c r="AE304" s="64">
        <f t="shared" si="63"/>
        <v>0.27271927614577862</v>
      </c>
      <c r="AF304" s="64">
        <f t="shared" si="64"/>
        <v>0</v>
      </c>
      <c r="AG304" s="20">
        <f t="shared" si="67"/>
        <v>603.64139114233546</v>
      </c>
      <c r="AH304" s="20">
        <f t="shared" si="68"/>
        <v>0</v>
      </c>
      <c r="AI304" s="22"/>
    </row>
    <row r="305" spans="1:35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7">
        <f t="shared" si="60"/>
        <v>646.3293631392155</v>
      </c>
      <c r="O305" s="7">
        <f t="shared" si="56"/>
        <v>6469.25</v>
      </c>
      <c r="P305" s="7">
        <f t="shared" si="57"/>
        <v>5822.9206368607838</v>
      </c>
      <c r="Q305" s="7">
        <f t="shared" si="58"/>
        <v>2495.9166666666665</v>
      </c>
      <c r="R305" s="7">
        <f t="shared" si="59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61"/>
        <v>147594</v>
      </c>
      <c r="X305" s="103">
        <f t="shared" si="62"/>
        <v>156181</v>
      </c>
      <c r="Y305" s="103"/>
      <c r="Z305" s="7">
        <v>81462</v>
      </c>
      <c r="AB305" s="2">
        <v>0</v>
      </c>
      <c r="AC305" s="103">
        <v>279229</v>
      </c>
      <c r="AD305" s="103">
        <v>147594</v>
      </c>
      <c r="AE305" s="64">
        <f t="shared" si="63"/>
        <v>0.26839991548155817</v>
      </c>
      <c r="AF305" s="64">
        <f t="shared" si="64"/>
        <v>0</v>
      </c>
      <c r="AG305" s="20">
        <f t="shared" si="67"/>
        <v>646.3293631392155</v>
      </c>
      <c r="AH305" s="20">
        <f t="shared" si="68"/>
        <v>0</v>
      </c>
      <c r="AI305" s="22"/>
    </row>
    <row r="306" spans="1:35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7">
        <f t="shared" si="60"/>
        <v>319.57293461147157</v>
      </c>
      <c r="O306" s="7">
        <f t="shared" si="56"/>
        <v>3621.8333333333335</v>
      </c>
      <c r="P306" s="7">
        <f t="shared" si="57"/>
        <v>3302.2603987218617</v>
      </c>
      <c r="Q306" s="7">
        <f t="shared" si="58"/>
        <v>1248.9166666666667</v>
      </c>
      <c r="R306" s="7">
        <f t="shared" si="59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61"/>
        <v>94938</v>
      </c>
      <c r="X306" s="103">
        <f t="shared" si="62"/>
        <v>99474</v>
      </c>
      <c r="Y306" s="103"/>
      <c r="Z306" s="7">
        <v>47114</v>
      </c>
      <c r="AB306" s="2">
        <v>0</v>
      </c>
      <c r="AC306" s="103">
        <v>172334</v>
      </c>
      <c r="AD306" s="103">
        <v>94938</v>
      </c>
      <c r="AE306" s="64">
        <f t="shared" si="63"/>
        <v>0.2515167059315051</v>
      </c>
      <c r="AF306" s="64">
        <f t="shared" si="64"/>
        <v>0</v>
      </c>
      <c r="AG306" s="20">
        <f t="shared" si="67"/>
        <v>319.57293461147157</v>
      </c>
      <c r="AH306" s="20">
        <f t="shared" si="68"/>
        <v>0</v>
      </c>
      <c r="AI306" s="22"/>
    </row>
    <row r="307" spans="1:35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7">
        <f t="shared" si="60"/>
        <v>0</v>
      </c>
      <c r="O307" s="7">
        <f t="shared" si="56"/>
        <v>2225.5</v>
      </c>
      <c r="P307" s="7">
        <f t="shared" si="57"/>
        <v>2225.5</v>
      </c>
      <c r="Q307" s="7">
        <f t="shared" si="58"/>
        <v>1163.5833333333335</v>
      </c>
      <c r="R307" s="7">
        <f t="shared" si="59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61"/>
        <v>81593</v>
      </c>
      <c r="X307" s="103">
        <f t="shared" si="62"/>
        <v>84537</v>
      </c>
      <c r="Y307" s="103"/>
      <c r="Z307" s="7">
        <v>0</v>
      </c>
      <c r="AB307" s="2">
        <v>0</v>
      </c>
      <c r="AC307" s="103">
        <v>63453</v>
      </c>
      <c r="AD307" s="103">
        <v>81593</v>
      </c>
      <c r="AE307" s="64">
        <f t="shared" si="63"/>
        <v>0</v>
      </c>
      <c r="AF307" s="64">
        <f t="shared" si="64"/>
        <v>0</v>
      </c>
      <c r="AG307" s="20">
        <f t="shared" si="67"/>
        <v>0</v>
      </c>
      <c r="AH307" s="20">
        <f t="shared" si="68"/>
        <v>0</v>
      </c>
      <c r="AI307" s="22"/>
    </row>
    <row r="308" spans="1:35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7">
        <f t="shared" si="60"/>
        <v>2.5094806472448417</v>
      </c>
      <c r="O308" s="7">
        <f t="shared" si="56"/>
        <v>6449.3333333333339</v>
      </c>
      <c r="P308" s="7">
        <f t="shared" si="57"/>
        <v>6446.8238526860896</v>
      </c>
      <c r="Q308" s="7">
        <f t="shared" si="58"/>
        <v>2305.416666666667</v>
      </c>
      <c r="R308" s="7">
        <f t="shared" si="59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61"/>
        <v>142687</v>
      </c>
      <c r="X308" s="103">
        <f t="shared" si="62"/>
        <v>158534</v>
      </c>
      <c r="Y308" s="103"/>
      <c r="Z308" s="7">
        <v>205</v>
      </c>
      <c r="AB308" s="2">
        <v>0</v>
      </c>
      <c r="AC308" s="103">
        <v>178562</v>
      </c>
      <c r="AD308" s="103">
        <v>142687</v>
      </c>
      <c r="AE308" s="64">
        <f t="shared" si="63"/>
        <v>1.0562157681925607E-3</v>
      </c>
      <c r="AF308" s="64">
        <f t="shared" si="64"/>
        <v>0</v>
      </c>
      <c r="AG308" s="20">
        <f t="shared" si="67"/>
        <v>2.5094806472448417</v>
      </c>
      <c r="AH308" s="20">
        <f t="shared" si="68"/>
        <v>0</v>
      </c>
      <c r="AI308" s="22"/>
    </row>
    <row r="309" spans="1:35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7">
        <f t="shared" si="60"/>
        <v>0</v>
      </c>
      <c r="O309" s="7">
        <f t="shared" si="56"/>
        <v>6655.1666666666679</v>
      </c>
      <c r="P309" s="7">
        <f t="shared" si="57"/>
        <v>6655.1666666666679</v>
      </c>
      <c r="Q309" s="7">
        <f t="shared" si="58"/>
        <v>2774.75</v>
      </c>
      <c r="R309" s="7">
        <f t="shared" si="59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61"/>
        <v>180621</v>
      </c>
      <c r="X309" s="103">
        <f t="shared" si="62"/>
        <v>194645</v>
      </c>
      <c r="Y309" s="103"/>
      <c r="Z309" s="7">
        <v>0</v>
      </c>
      <c r="AB309" s="2">
        <v>0</v>
      </c>
      <c r="AC309" s="103">
        <v>170652</v>
      </c>
      <c r="AD309" s="103">
        <v>180621</v>
      </c>
      <c r="AE309" s="64">
        <f t="shared" si="63"/>
        <v>0</v>
      </c>
      <c r="AF309" s="64">
        <f t="shared" si="64"/>
        <v>0</v>
      </c>
      <c r="AG309" s="20">
        <f t="shared" si="67"/>
        <v>0</v>
      </c>
      <c r="AH309" s="20">
        <f t="shared" si="68"/>
        <v>0</v>
      </c>
      <c r="AI309" s="22"/>
    </row>
    <row r="310" spans="1:35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7">
        <f t="shared" si="60"/>
        <v>236.59197809475296</v>
      </c>
      <c r="O310" s="7">
        <f t="shared" si="56"/>
        <v>5885.3333333333339</v>
      </c>
      <c r="P310" s="7">
        <f t="shared" si="57"/>
        <v>5648.7413552385806</v>
      </c>
      <c r="Q310" s="7">
        <f t="shared" si="58"/>
        <v>2485.666666666667</v>
      </c>
      <c r="R310" s="7">
        <f t="shared" si="59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61"/>
        <v>175107</v>
      </c>
      <c r="X310" s="103">
        <f t="shared" si="62"/>
        <v>188010</v>
      </c>
      <c r="Y310" s="103"/>
      <c r="Z310" s="7">
        <v>24093</v>
      </c>
      <c r="AB310" s="2">
        <v>0</v>
      </c>
      <c r="AC310" s="103">
        <v>176670</v>
      </c>
      <c r="AD310" s="103">
        <v>175107</v>
      </c>
      <c r="AE310" s="64">
        <f t="shared" si="63"/>
        <v>0.12546306673458993</v>
      </c>
      <c r="AF310" s="64">
        <f t="shared" si="64"/>
        <v>0</v>
      </c>
      <c r="AG310" s="20">
        <f t="shared" si="67"/>
        <v>236.59197809475296</v>
      </c>
      <c r="AH310" s="20">
        <f t="shared" si="68"/>
        <v>0</v>
      </c>
      <c r="AI310" s="22"/>
    </row>
    <row r="311" spans="1:35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7">
        <f t="shared" si="60"/>
        <v>213.79090779075855</v>
      </c>
      <c r="O311" s="7">
        <f t="shared" si="56"/>
        <v>4790.25</v>
      </c>
      <c r="P311" s="7">
        <f t="shared" si="57"/>
        <v>4576.4590922092411</v>
      </c>
      <c r="Q311" s="7">
        <f t="shared" si="58"/>
        <v>2383</v>
      </c>
      <c r="R311" s="7">
        <f t="shared" si="59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61"/>
        <v>154797</v>
      </c>
      <c r="X311" s="103">
        <f t="shared" si="62"/>
        <v>167672</v>
      </c>
      <c r="Y311" s="103"/>
      <c r="Z311" s="7">
        <v>26374</v>
      </c>
      <c r="AB311" s="2">
        <v>0</v>
      </c>
      <c r="AC311" s="103">
        <v>146370</v>
      </c>
      <c r="AD311" s="103">
        <v>154797</v>
      </c>
      <c r="AE311" s="64">
        <f t="shared" si="63"/>
        <v>0.16577222108355538</v>
      </c>
      <c r="AF311" s="64">
        <f t="shared" si="64"/>
        <v>0</v>
      </c>
      <c r="AG311" s="20">
        <f t="shared" si="67"/>
        <v>213.79090779075855</v>
      </c>
      <c r="AH311" s="20">
        <f t="shared" si="68"/>
        <v>0</v>
      </c>
      <c r="AI311" s="22"/>
    </row>
    <row r="312" spans="1:35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7">
        <f t="shared" si="60"/>
        <v>142.0489276120839</v>
      </c>
      <c r="O312" s="7">
        <f t="shared" si="56"/>
        <v>4658.25</v>
      </c>
      <c r="P312" s="7">
        <f t="shared" si="57"/>
        <v>4516.2010723879157</v>
      </c>
      <c r="Q312" s="7">
        <f t="shared" si="58"/>
        <v>2125.0833333333335</v>
      </c>
      <c r="R312" s="7">
        <f t="shared" si="59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61"/>
        <v>74868</v>
      </c>
      <c r="X312" s="103">
        <f t="shared" si="62"/>
        <v>86129</v>
      </c>
      <c r="Y312" s="103"/>
      <c r="Z312" s="7">
        <v>14492</v>
      </c>
      <c r="AB312" s="2">
        <v>0</v>
      </c>
      <c r="AC312" s="103">
        <v>129925</v>
      </c>
      <c r="AD312" s="103">
        <v>74868</v>
      </c>
      <c r="AE312" s="64">
        <f t="shared" si="63"/>
        <v>0.10261797190686936</v>
      </c>
      <c r="AF312" s="64">
        <f t="shared" si="64"/>
        <v>0</v>
      </c>
      <c r="AG312" s="20">
        <f t="shared" si="67"/>
        <v>142.0489276120839</v>
      </c>
      <c r="AH312" s="20">
        <f t="shared" si="68"/>
        <v>0</v>
      </c>
      <c r="AI312" s="22"/>
    </row>
    <row r="313" spans="1:35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7">
        <f t="shared" si="60"/>
        <v>7.6778786900529106</v>
      </c>
      <c r="O313" s="7">
        <f t="shared" si="56"/>
        <v>2626</v>
      </c>
      <c r="P313" s="7">
        <f t="shared" si="57"/>
        <v>2618.3221213099473</v>
      </c>
      <c r="Q313" s="7">
        <f t="shared" si="58"/>
        <v>1287.1657324569098</v>
      </c>
      <c r="R313" s="7">
        <f t="shared" si="59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61"/>
        <v>96851</v>
      </c>
      <c r="X313" s="103">
        <f t="shared" si="62"/>
        <v>99585</v>
      </c>
      <c r="Y313" s="103"/>
      <c r="Z313" s="7">
        <v>674</v>
      </c>
      <c r="AB313" s="2">
        <v>58</v>
      </c>
      <c r="AC313" s="103">
        <v>61984</v>
      </c>
      <c r="AD313" s="103">
        <v>96909</v>
      </c>
      <c r="AE313" s="64">
        <f t="shared" si="63"/>
        <v>1.0003871966959217E-2</v>
      </c>
      <c r="AF313" s="64">
        <f t="shared" si="64"/>
        <v>3.8902475518269716E-4</v>
      </c>
      <c r="AG313" s="20">
        <f t="shared" si="67"/>
        <v>7.1769444802959912</v>
      </c>
      <c r="AH313" s="20">
        <f t="shared" si="68"/>
        <v>0.50093420975691971</v>
      </c>
      <c r="AI313" s="22"/>
    </row>
    <row r="314" spans="1:35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7">
        <f t="shared" si="60"/>
        <v>0</v>
      </c>
      <c r="O314" s="7">
        <f t="shared" si="56"/>
        <v>2390.166666666667</v>
      </c>
      <c r="P314" s="7">
        <f t="shared" si="57"/>
        <v>2390.166666666667</v>
      </c>
      <c r="Q314" s="7">
        <f t="shared" si="58"/>
        <v>1258.8333333333333</v>
      </c>
      <c r="R314" s="7">
        <f t="shared" si="59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61"/>
        <v>86491</v>
      </c>
      <c r="X314" s="103">
        <f t="shared" si="62"/>
        <v>89670</v>
      </c>
      <c r="Y314" s="103"/>
      <c r="Z314" s="7">
        <v>0</v>
      </c>
      <c r="AB314" s="2">
        <v>0</v>
      </c>
      <c r="AC314" s="103">
        <v>62095</v>
      </c>
      <c r="AD314" s="103">
        <v>86491</v>
      </c>
      <c r="AE314" s="64">
        <f t="shared" si="63"/>
        <v>0</v>
      </c>
      <c r="AF314" s="64">
        <f t="shared" si="64"/>
        <v>0</v>
      </c>
      <c r="AG314" s="20">
        <f t="shared" si="67"/>
        <v>0</v>
      </c>
      <c r="AH314" s="20">
        <f t="shared" si="68"/>
        <v>0</v>
      </c>
      <c r="AI314" s="22"/>
    </row>
    <row r="315" spans="1:35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7">
        <f t="shared" si="60"/>
        <v>0</v>
      </c>
      <c r="O315" s="7">
        <f t="shared" si="56"/>
        <v>4880.666666666667</v>
      </c>
      <c r="P315" s="7">
        <f t="shared" si="57"/>
        <v>4880.6666666666661</v>
      </c>
      <c r="Q315" s="7">
        <f t="shared" si="58"/>
        <v>1936.2499999999998</v>
      </c>
      <c r="R315" s="7">
        <f t="shared" si="59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61"/>
        <v>106192</v>
      </c>
      <c r="X315" s="103">
        <f t="shared" si="62"/>
        <v>115079</v>
      </c>
      <c r="Y315" s="103"/>
      <c r="Z315" s="7">
        <v>0</v>
      </c>
      <c r="AB315" s="2">
        <v>0</v>
      </c>
      <c r="AC315" s="103">
        <v>116212</v>
      </c>
      <c r="AD315" s="103">
        <v>106192</v>
      </c>
      <c r="AE315" s="64">
        <f t="shared" si="63"/>
        <v>0</v>
      </c>
      <c r="AF315" s="64">
        <f t="shared" si="64"/>
        <v>0</v>
      </c>
      <c r="AG315" s="20">
        <f t="shared" si="67"/>
        <v>0</v>
      </c>
      <c r="AH315" s="20">
        <f t="shared" si="68"/>
        <v>0</v>
      </c>
      <c r="AI315" s="22"/>
    </row>
    <row r="316" spans="1:35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7">
        <f t="shared" si="60"/>
        <v>0</v>
      </c>
      <c r="O316" s="7">
        <f t="shared" si="56"/>
        <v>4930</v>
      </c>
      <c r="P316" s="7">
        <f t="shared" si="57"/>
        <v>4930</v>
      </c>
      <c r="Q316" s="7">
        <f t="shared" si="58"/>
        <v>1967.2499999999998</v>
      </c>
      <c r="R316" s="7">
        <f t="shared" si="59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61"/>
        <v>107346</v>
      </c>
      <c r="X316" s="103">
        <f t="shared" si="62"/>
        <v>117252</v>
      </c>
      <c r="Y316" s="103"/>
      <c r="Z316" s="7">
        <v>0</v>
      </c>
      <c r="AB316" s="2">
        <v>0</v>
      </c>
      <c r="AC316" s="103">
        <v>91725</v>
      </c>
      <c r="AD316" s="103">
        <v>107346</v>
      </c>
      <c r="AE316" s="64">
        <f t="shared" si="63"/>
        <v>0</v>
      </c>
      <c r="AF316" s="64">
        <f t="shared" si="64"/>
        <v>0</v>
      </c>
      <c r="AG316" s="20">
        <f t="shared" si="67"/>
        <v>0</v>
      </c>
      <c r="AH316" s="20">
        <f t="shared" si="68"/>
        <v>0</v>
      </c>
      <c r="AI316" s="22"/>
    </row>
    <row r="317" spans="1:35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7">
        <f t="shared" si="60"/>
        <v>149.66398030724815</v>
      </c>
      <c r="O317" s="7">
        <f t="shared" si="56"/>
        <v>4868.4999999999991</v>
      </c>
      <c r="P317" s="7">
        <f t="shared" si="57"/>
        <v>4718.8360196927515</v>
      </c>
      <c r="Q317" s="7">
        <f t="shared" si="58"/>
        <v>1980.0833333333328</v>
      </c>
      <c r="R317" s="7">
        <f t="shared" si="59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61"/>
        <v>120419</v>
      </c>
      <c r="X317" s="103">
        <f t="shared" si="62"/>
        <v>130169</v>
      </c>
      <c r="Y317" s="103"/>
      <c r="Z317" s="7">
        <v>15239</v>
      </c>
      <c r="AB317" s="2">
        <v>0</v>
      </c>
      <c r="AC317" s="103">
        <v>148718</v>
      </c>
      <c r="AD317" s="103">
        <v>120419</v>
      </c>
      <c r="AE317" s="64">
        <f t="shared" si="63"/>
        <v>9.4271574389112281E-2</v>
      </c>
      <c r="AF317" s="64">
        <f t="shared" si="64"/>
        <v>0</v>
      </c>
      <c r="AG317" s="20">
        <f t="shared" si="67"/>
        <v>149.66398030724815</v>
      </c>
      <c r="AH317" s="20">
        <f t="shared" si="68"/>
        <v>0</v>
      </c>
      <c r="AI317" s="22"/>
    </row>
    <row r="318" spans="1:35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7">
        <f t="shared" si="60"/>
        <v>615.95715500673896</v>
      </c>
      <c r="O318" s="7">
        <f t="shared" si="56"/>
        <v>5041.25</v>
      </c>
      <c r="P318" s="7">
        <f t="shared" si="57"/>
        <v>4425.2928449932615</v>
      </c>
      <c r="Q318" s="7">
        <f t="shared" si="58"/>
        <v>1841.6077145222901</v>
      </c>
      <c r="R318" s="7">
        <f t="shared" si="59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61"/>
        <v>120474</v>
      </c>
      <c r="X318" s="103">
        <f t="shared" si="62"/>
        <v>159640</v>
      </c>
      <c r="Y318" s="103"/>
      <c r="Z318" s="7">
        <v>49278</v>
      </c>
      <c r="AB318" s="2">
        <v>27269</v>
      </c>
      <c r="AC318" s="103">
        <v>195433</v>
      </c>
      <c r="AD318" s="103">
        <v>147743</v>
      </c>
      <c r="AE318" s="64">
        <f t="shared" si="63"/>
        <v>0.23197597130474382</v>
      </c>
      <c r="AF318" s="64">
        <f t="shared" si="64"/>
        <v>0.1199708277211103</v>
      </c>
      <c r="AG318" s="20">
        <f t="shared" si="67"/>
        <v>364.8982028623621</v>
      </c>
      <c r="AH318" s="20">
        <f t="shared" si="68"/>
        <v>251.05895214437686</v>
      </c>
      <c r="AI318" s="22"/>
    </row>
    <row r="319" spans="1:35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7">
        <f t="shared" si="60"/>
        <v>465.83280224554363</v>
      </c>
      <c r="O319" s="7">
        <f t="shared" si="56"/>
        <v>4971.5833333333339</v>
      </c>
      <c r="P319" s="7">
        <f t="shared" si="57"/>
        <v>4505.7505310877896</v>
      </c>
      <c r="Q319" s="7">
        <f t="shared" si="58"/>
        <v>1872.0173632521382</v>
      </c>
      <c r="R319" s="7">
        <f t="shared" si="59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61"/>
        <v>110058</v>
      </c>
      <c r="X319" s="103">
        <f t="shared" si="62"/>
        <v>141938</v>
      </c>
      <c r="Y319" s="103"/>
      <c r="Z319" s="7">
        <v>25121</v>
      </c>
      <c r="AB319" s="2">
        <v>23899</v>
      </c>
      <c r="AC319" s="103">
        <v>161251</v>
      </c>
      <c r="AD319" s="103">
        <v>133957</v>
      </c>
      <c r="AE319" s="64">
        <f t="shared" si="63"/>
        <v>0.14332512666588115</v>
      </c>
      <c r="AF319" s="64">
        <f t="shared" si="64"/>
        <v>0.11596519778734968</v>
      </c>
      <c r="AG319" s="20">
        <f t="shared" si="67"/>
        <v>220.26683216434839</v>
      </c>
      <c r="AH319" s="20">
        <f t="shared" si="68"/>
        <v>245.56597008119525</v>
      </c>
      <c r="AI319" s="22"/>
    </row>
    <row r="320" spans="1:35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7">
        <f t="shared" si="60"/>
        <v>0</v>
      </c>
      <c r="O320" s="7">
        <f t="shared" si="56"/>
        <v>2696.4166666666665</v>
      </c>
      <c r="P320" s="7">
        <f t="shared" si="57"/>
        <v>2696.4166666666665</v>
      </c>
      <c r="Q320" s="7">
        <f t="shared" si="58"/>
        <v>1271.5</v>
      </c>
      <c r="R320" s="7">
        <f t="shared" si="59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61"/>
        <v>95001</v>
      </c>
      <c r="X320" s="103">
        <f t="shared" si="62"/>
        <v>97736</v>
      </c>
      <c r="Y320" s="103"/>
      <c r="Z320" s="7">
        <v>0</v>
      </c>
      <c r="AB320" s="2">
        <v>0</v>
      </c>
      <c r="AC320" s="103">
        <v>67954</v>
      </c>
      <c r="AD320" s="103">
        <v>95001</v>
      </c>
      <c r="AE320" s="64">
        <f t="shared" si="63"/>
        <v>0</v>
      </c>
      <c r="AF320" s="64">
        <f t="shared" si="64"/>
        <v>0</v>
      </c>
      <c r="AG320" s="20">
        <f t="shared" si="67"/>
        <v>0</v>
      </c>
      <c r="AH320" s="20">
        <f t="shared" si="68"/>
        <v>0</v>
      </c>
      <c r="AI320" s="22"/>
    </row>
    <row r="321" spans="1:35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7">
        <f t="shared" si="60"/>
        <v>0</v>
      </c>
      <c r="O321" s="7">
        <f t="shared" si="56"/>
        <v>2383.75</v>
      </c>
      <c r="P321" s="7">
        <f t="shared" si="57"/>
        <v>2383.75</v>
      </c>
      <c r="Q321" s="7">
        <f t="shared" si="58"/>
        <v>1232.6666666666667</v>
      </c>
      <c r="R321" s="7">
        <f t="shared" si="59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61"/>
        <v>95369</v>
      </c>
      <c r="X321" s="103">
        <f t="shared" si="62"/>
        <v>97473</v>
      </c>
      <c r="Y321" s="103"/>
      <c r="Z321" s="7">
        <v>0</v>
      </c>
      <c r="AB321" s="2">
        <v>0</v>
      </c>
      <c r="AC321" s="103">
        <v>73071</v>
      </c>
      <c r="AD321" s="103">
        <v>95369</v>
      </c>
      <c r="AE321" s="64">
        <f t="shared" si="63"/>
        <v>0</v>
      </c>
      <c r="AF321" s="64">
        <f t="shared" si="64"/>
        <v>0</v>
      </c>
      <c r="AG321" s="20">
        <f t="shared" si="67"/>
        <v>0</v>
      </c>
      <c r="AH321" s="20">
        <f t="shared" si="68"/>
        <v>0</v>
      </c>
      <c r="AI321" s="22"/>
    </row>
    <row r="322" spans="1:35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7">
        <f t="shared" si="60"/>
        <v>318.94134751615212</v>
      </c>
      <c r="O322" s="7">
        <f t="shared" ref="O322:O370" si="69">+B322+C322+D322+F322+I322+K322+J322</f>
        <v>5505.583333333333</v>
      </c>
      <c r="P322" s="7">
        <f t="shared" ref="P322:P385" si="70">+B322+C322+D322+F322+J322+Q322+R322</f>
        <v>5186.6419858171812</v>
      </c>
      <c r="Q322" s="7">
        <f t="shared" ref="Q322:Q385" si="71">+I322-AH322</f>
        <v>1750.6019461869641</v>
      </c>
      <c r="R322" s="7">
        <f t="shared" ref="R322:R385" si="72">+K322-AG322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61"/>
        <v>113534</v>
      </c>
      <c r="X322" s="103">
        <f t="shared" si="62"/>
        <v>161106</v>
      </c>
      <c r="Y322" s="103"/>
      <c r="Z322" s="7">
        <v>61</v>
      </c>
      <c r="AB322" s="2">
        <v>35197</v>
      </c>
      <c r="AC322" s="103">
        <v>178988</v>
      </c>
      <c r="AD322" s="103">
        <v>148731</v>
      </c>
      <c r="AE322" s="64">
        <f t="shared" si="63"/>
        <v>3.1354057255234989E-4</v>
      </c>
      <c r="AF322" s="64">
        <f t="shared" si="64"/>
        <v>0.15382166461598457</v>
      </c>
      <c r="AG322" s="20">
        <f t="shared" si="67"/>
        <v>0.70996036978270416</v>
      </c>
      <c r="AH322" s="20">
        <f t="shared" si="68"/>
        <v>318.2313871463694</v>
      </c>
      <c r="AI322" s="22"/>
    </row>
    <row r="323" spans="1:35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7">
        <f t="shared" ref="N323:N363" si="73">+AH323+AG323</f>
        <v>116.57367557537943</v>
      </c>
      <c r="O323" s="7">
        <f t="shared" si="69"/>
        <v>5401.3333333333339</v>
      </c>
      <c r="P323" s="7">
        <f t="shared" si="70"/>
        <v>5284.7596577579543</v>
      </c>
      <c r="Q323" s="7">
        <f t="shared" si="71"/>
        <v>2367.9166666666665</v>
      </c>
      <c r="R323" s="7">
        <f t="shared" si="72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ref="W323:W386" si="74">+V323-U323-S323+AA323</f>
        <v>163202</v>
      </c>
      <c r="X323" s="103">
        <f t="shared" ref="X323:X386" si="75">+V323+AB323+AA323</f>
        <v>176181</v>
      </c>
      <c r="Y323" s="103"/>
      <c r="Z323" s="7">
        <v>13246</v>
      </c>
      <c r="AB323" s="2">
        <v>0</v>
      </c>
      <c r="AC323" s="103">
        <v>166354</v>
      </c>
      <c r="AD323" s="103">
        <v>163202</v>
      </c>
      <c r="AE323" s="64">
        <f t="shared" ref="AE323:AE374" si="76">+(Z323/AC323*0.92)</f>
        <v>7.3255347031030218E-2</v>
      </c>
      <c r="AF323" s="64">
        <f t="shared" ref="AF323:AF374" si="77">+(AB323/AD323*0.65)</f>
        <v>0</v>
      </c>
      <c r="AG323" s="20">
        <f t="shared" si="67"/>
        <v>116.57367557537943</v>
      </c>
      <c r="AH323" s="20">
        <f t="shared" si="68"/>
        <v>0</v>
      </c>
      <c r="AI323" s="22"/>
    </row>
    <row r="324" spans="1:35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7">
        <f t="shared" si="73"/>
        <v>364.04768590970787</v>
      </c>
      <c r="O324" s="7">
        <f t="shared" si="69"/>
        <v>4922.333333333333</v>
      </c>
      <c r="P324" s="7">
        <f t="shared" si="70"/>
        <v>4558.2856474236251</v>
      </c>
      <c r="Q324" s="7">
        <f t="shared" si="71"/>
        <v>2367.4365078094484</v>
      </c>
      <c r="R324" s="7">
        <f t="shared" si="72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74"/>
        <v>142964</v>
      </c>
      <c r="X324" s="103">
        <f t="shared" si="75"/>
        <v>169266</v>
      </c>
      <c r="Y324" s="103"/>
      <c r="Z324" s="7">
        <v>32379</v>
      </c>
      <c r="AB324" s="2">
        <v>13193</v>
      </c>
      <c r="AC324" s="103">
        <v>170009</v>
      </c>
      <c r="AD324" s="103">
        <v>156157</v>
      </c>
      <c r="AE324" s="64">
        <f t="shared" si="76"/>
        <v>0.17521825315130377</v>
      </c>
      <c r="AF324" s="64">
        <f t="shared" si="77"/>
        <v>5.4915565744731269E-2</v>
      </c>
      <c r="AG324" s="20">
        <f t="shared" si="67"/>
        <v>226.48419371915605</v>
      </c>
      <c r="AH324" s="20">
        <f t="shared" si="68"/>
        <v>137.56349219055184</v>
      </c>
      <c r="AI324" s="22"/>
    </row>
    <row r="325" spans="1:35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7">
        <f t="shared" si="73"/>
        <v>157.9678101630833</v>
      </c>
      <c r="O325" s="7">
        <f t="shared" si="69"/>
        <v>4853.916666666667</v>
      </c>
      <c r="P325" s="7">
        <f t="shared" si="70"/>
        <v>4695.9488565035845</v>
      </c>
      <c r="Q325" s="7">
        <f t="shared" si="71"/>
        <v>2002.9962332313585</v>
      </c>
      <c r="R325" s="7">
        <f t="shared" si="72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74"/>
        <v>116997</v>
      </c>
      <c r="X325" s="103">
        <f t="shared" si="75"/>
        <v>139131</v>
      </c>
      <c r="Y325" s="103"/>
      <c r="Z325" s="7">
        <v>5493</v>
      </c>
      <c r="AB325" s="2">
        <v>9504</v>
      </c>
      <c r="AC325" s="103">
        <v>122243</v>
      </c>
      <c r="AD325" s="103">
        <v>126501</v>
      </c>
      <c r="AE325" s="64">
        <f t="shared" si="76"/>
        <v>4.1340281243097771E-2</v>
      </c>
      <c r="AF325" s="64">
        <f t="shared" si="77"/>
        <v>4.8834396566035054E-2</v>
      </c>
      <c r="AG325" s="20">
        <f t="shared" si="67"/>
        <v>55.130710061107798</v>
      </c>
      <c r="AH325" s="20">
        <f t="shared" si="68"/>
        <v>102.83710010197551</v>
      </c>
      <c r="AI325" s="22"/>
    </row>
    <row r="326" spans="1:35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7">
        <f t="shared" si="73"/>
        <v>233.6807968511045</v>
      </c>
      <c r="O326" s="7">
        <f t="shared" si="69"/>
        <v>4865.5</v>
      </c>
      <c r="P326" s="7">
        <f t="shared" si="70"/>
        <v>4631.8192031488952</v>
      </c>
      <c r="Q326" s="7">
        <f t="shared" si="71"/>
        <v>1812.7287389699259</v>
      </c>
      <c r="R326" s="7">
        <f t="shared" si="72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si="74"/>
        <v>125370</v>
      </c>
      <c r="X326" s="103">
        <f t="shared" si="75"/>
        <v>159346</v>
      </c>
      <c r="Y326" s="103"/>
      <c r="Z326" s="7">
        <v>1338</v>
      </c>
      <c r="AB326" s="2">
        <v>24561</v>
      </c>
      <c r="AC326" s="103">
        <v>88328</v>
      </c>
      <c r="AD326" s="103">
        <v>149931</v>
      </c>
      <c r="AE326" s="64">
        <f t="shared" si="76"/>
        <v>1.3936237659632282E-2</v>
      </c>
      <c r="AF326" s="64">
        <f t="shared" si="77"/>
        <v>0.10647998079116394</v>
      </c>
      <c r="AG326" s="20">
        <f t="shared" ref="AG326:AG357" si="78">+AE326*K326</f>
        <v>17.659535821030708</v>
      </c>
      <c r="AH326" s="20">
        <f t="shared" ref="AH326:AH357" si="79">+AF326*I326</f>
        <v>216.02126103007379</v>
      </c>
      <c r="AI326" s="22"/>
    </row>
    <row r="327" spans="1:35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7">
        <f t="shared" si="73"/>
        <v>9.4279126808928145E-3</v>
      </c>
      <c r="O327" s="7">
        <f t="shared" si="69"/>
        <v>2653.0833333333335</v>
      </c>
      <c r="P327" s="7">
        <f t="shared" si="70"/>
        <v>2653.0739054206524</v>
      </c>
      <c r="Q327" s="7">
        <f t="shared" si="71"/>
        <v>1264</v>
      </c>
      <c r="R327" s="7">
        <f t="shared" si="72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74"/>
        <v>78188</v>
      </c>
      <c r="X327" s="103">
        <f t="shared" si="75"/>
        <v>81720</v>
      </c>
      <c r="Y327" s="103"/>
      <c r="Z327" s="7">
        <v>1</v>
      </c>
      <c r="AB327" s="2">
        <v>0</v>
      </c>
      <c r="AC327" s="103">
        <v>67950</v>
      </c>
      <c r="AD327" s="103">
        <v>78188</v>
      </c>
      <c r="AE327" s="64">
        <f t="shared" si="76"/>
        <v>1.3539367181751287E-5</v>
      </c>
      <c r="AF327" s="64">
        <f t="shared" si="77"/>
        <v>0</v>
      </c>
      <c r="AG327" s="20">
        <f t="shared" si="78"/>
        <v>9.4279126808928145E-3</v>
      </c>
      <c r="AH327" s="20">
        <f t="shared" si="79"/>
        <v>0</v>
      </c>
      <c r="AI327" s="22"/>
    </row>
    <row r="328" spans="1:35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7">
        <f t="shared" si="73"/>
        <v>0</v>
      </c>
      <c r="O328" s="7">
        <f t="shared" si="69"/>
        <v>2377.583333333333</v>
      </c>
      <c r="P328" s="7">
        <f t="shared" si="70"/>
        <v>2377.583333333333</v>
      </c>
      <c r="Q328" s="7">
        <f t="shared" si="71"/>
        <v>1182.0833333333333</v>
      </c>
      <c r="R328" s="7">
        <f t="shared" si="72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74"/>
        <v>72542</v>
      </c>
      <c r="X328" s="103">
        <f t="shared" si="75"/>
        <v>75000</v>
      </c>
      <c r="Y328" s="103"/>
      <c r="Z328" s="7">
        <v>0</v>
      </c>
      <c r="AB328" s="2">
        <v>0</v>
      </c>
      <c r="AC328" s="103">
        <v>77429</v>
      </c>
      <c r="AD328" s="103">
        <v>72542</v>
      </c>
      <c r="AE328" s="64">
        <f t="shared" si="76"/>
        <v>0</v>
      </c>
      <c r="AF328" s="64">
        <f t="shared" si="77"/>
        <v>0</v>
      </c>
      <c r="AG328" s="20">
        <f t="shared" si="78"/>
        <v>0</v>
      </c>
      <c r="AH328" s="20">
        <f t="shared" si="79"/>
        <v>0</v>
      </c>
      <c r="AI328" s="22"/>
    </row>
    <row r="329" spans="1:35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7">
        <f t="shared" si="73"/>
        <v>6.6411296121364218</v>
      </c>
      <c r="O329" s="7">
        <f t="shared" si="69"/>
        <v>4677.25</v>
      </c>
      <c r="P329" s="7">
        <f t="shared" si="70"/>
        <v>4670.6088703878631</v>
      </c>
      <c r="Q329" s="7">
        <f t="shared" si="71"/>
        <v>1627.2499999999998</v>
      </c>
      <c r="R329" s="7">
        <f t="shared" si="72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74"/>
        <v>97062</v>
      </c>
      <c r="X329" s="103">
        <f t="shared" si="75"/>
        <v>111431</v>
      </c>
      <c r="Y329" s="103"/>
      <c r="Z329" s="7">
        <v>660</v>
      </c>
      <c r="AB329" s="2">
        <v>0</v>
      </c>
      <c r="AC329" s="103">
        <v>141854</v>
      </c>
      <c r="AD329" s="103">
        <v>97062</v>
      </c>
      <c r="AE329" s="64">
        <f t="shared" si="76"/>
        <v>4.2804573716638235E-3</v>
      </c>
      <c r="AF329" s="64">
        <f t="shared" si="77"/>
        <v>0</v>
      </c>
      <c r="AG329" s="20">
        <f t="shared" si="78"/>
        <v>6.6411296121364218</v>
      </c>
      <c r="AH329" s="20">
        <f t="shared" si="79"/>
        <v>0</v>
      </c>
      <c r="AI329" s="22"/>
    </row>
    <row r="330" spans="1:35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7">
        <f t="shared" si="73"/>
        <v>105.51633869365224</v>
      </c>
      <c r="O330" s="7">
        <f t="shared" si="69"/>
        <v>4656.916666666667</v>
      </c>
      <c r="P330" s="7">
        <f t="shared" si="70"/>
        <v>4551.400327973015</v>
      </c>
      <c r="Q330" s="7">
        <f t="shared" si="71"/>
        <v>2129.8333333333335</v>
      </c>
      <c r="R330" s="7">
        <f t="shared" si="72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74"/>
        <v>135522</v>
      </c>
      <c r="X330" s="103">
        <f t="shared" si="75"/>
        <v>145629</v>
      </c>
      <c r="Y330" s="103"/>
      <c r="Z330" s="7">
        <v>11439</v>
      </c>
      <c r="AB330" s="2">
        <v>0</v>
      </c>
      <c r="AC330" s="103">
        <v>135875</v>
      </c>
      <c r="AD330" s="103">
        <v>135522</v>
      </c>
      <c r="AE330" s="64">
        <f t="shared" si="76"/>
        <v>7.7452658693652254E-2</v>
      </c>
      <c r="AF330" s="64">
        <f t="shared" si="77"/>
        <v>0</v>
      </c>
      <c r="AG330" s="20">
        <f t="shared" si="78"/>
        <v>105.51633869365224</v>
      </c>
      <c r="AH330" s="20">
        <f t="shared" si="79"/>
        <v>0</v>
      </c>
      <c r="AI330" s="22"/>
    </row>
    <row r="331" spans="1:35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7">
        <f t="shared" si="73"/>
        <v>172.2970301170364</v>
      </c>
      <c r="O331" s="7">
        <f t="shared" si="69"/>
        <v>4679.1666666666661</v>
      </c>
      <c r="P331" s="7">
        <f t="shared" si="70"/>
        <v>4506.8696365496298</v>
      </c>
      <c r="Q331" s="7">
        <f t="shared" si="71"/>
        <v>2071.5833333333335</v>
      </c>
      <c r="R331" s="7">
        <f t="shared" si="72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74"/>
        <v>148071</v>
      </c>
      <c r="X331" s="103">
        <f t="shared" si="75"/>
        <v>159338</v>
      </c>
      <c r="Y331" s="103"/>
      <c r="Z331" s="7">
        <v>21030</v>
      </c>
      <c r="AB331" s="2">
        <v>0</v>
      </c>
      <c r="AC331" s="103">
        <v>162599</v>
      </c>
      <c r="AD331" s="103">
        <v>148071</v>
      </c>
      <c r="AE331" s="64">
        <f t="shared" si="76"/>
        <v>0.11898966168303619</v>
      </c>
      <c r="AF331" s="64">
        <f t="shared" si="77"/>
        <v>0</v>
      </c>
      <c r="AG331" s="20">
        <f t="shared" si="78"/>
        <v>172.2970301170364</v>
      </c>
      <c r="AH331" s="20">
        <f t="shared" si="79"/>
        <v>0</v>
      </c>
      <c r="AI331" s="22"/>
    </row>
    <row r="332" spans="1:35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7">
        <f t="shared" si="73"/>
        <v>269.03272444035571</v>
      </c>
      <c r="O332" s="7">
        <f t="shared" si="69"/>
        <v>5295.4999999999991</v>
      </c>
      <c r="P332" s="7">
        <f t="shared" si="70"/>
        <v>5026.4672755596439</v>
      </c>
      <c r="Q332" s="7">
        <f t="shared" si="71"/>
        <v>2149.8811055796491</v>
      </c>
      <c r="R332" s="7">
        <f t="shared" si="72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74"/>
        <v>149634</v>
      </c>
      <c r="X332" s="103">
        <f t="shared" si="75"/>
        <v>187738</v>
      </c>
      <c r="Y332" s="103"/>
      <c r="Z332" s="7">
        <v>3731</v>
      </c>
      <c r="AB332" s="2">
        <v>26530</v>
      </c>
      <c r="AC332" s="103">
        <v>138632</v>
      </c>
      <c r="AD332" s="103">
        <v>176164</v>
      </c>
      <c r="AE332" s="64">
        <f t="shared" si="76"/>
        <v>2.4759939984996249E-2</v>
      </c>
      <c r="AF332" s="64">
        <f t="shared" si="77"/>
        <v>9.7888898980495451E-2</v>
      </c>
      <c r="AG332" s="20">
        <f t="shared" si="78"/>
        <v>35.747163353338337</v>
      </c>
      <c r="AH332" s="20">
        <f t="shared" si="79"/>
        <v>233.28556108701738</v>
      </c>
      <c r="AI332" s="22"/>
    </row>
    <row r="333" spans="1:35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7">
        <f t="shared" si="73"/>
        <v>7.4296764158749706</v>
      </c>
      <c r="O333" s="7">
        <f t="shared" si="69"/>
        <v>5260.5</v>
      </c>
      <c r="P333" s="7">
        <f t="shared" si="70"/>
        <v>5253.0703235841247</v>
      </c>
      <c r="Q333" s="7">
        <f t="shared" si="71"/>
        <v>2097.75</v>
      </c>
      <c r="R333" s="7">
        <f t="shared" si="72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74"/>
        <v>134967</v>
      </c>
      <c r="X333" s="103">
        <f t="shared" si="75"/>
        <v>143780</v>
      </c>
      <c r="Y333" s="103"/>
      <c r="Z333" s="7">
        <v>743</v>
      </c>
      <c r="AB333" s="2">
        <v>0</v>
      </c>
      <c r="AC333" s="103">
        <v>160731</v>
      </c>
      <c r="AD333" s="103">
        <v>134967</v>
      </c>
      <c r="AE333" s="64">
        <f t="shared" si="76"/>
        <v>4.2528199289496114E-3</v>
      </c>
      <c r="AF333" s="64">
        <f t="shared" si="77"/>
        <v>0</v>
      </c>
      <c r="AG333" s="20">
        <f t="shared" si="78"/>
        <v>7.4296764158749706</v>
      </c>
      <c r="AH333" s="20">
        <f t="shared" si="79"/>
        <v>0</v>
      </c>
      <c r="AI333" s="22"/>
    </row>
    <row r="334" spans="1:35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7">
        <f t="shared" si="73"/>
        <v>3.3649114502570803</v>
      </c>
      <c r="O334" s="7">
        <f t="shared" si="69"/>
        <v>3251.6666666666665</v>
      </c>
      <c r="P334" s="7">
        <f t="shared" si="70"/>
        <v>3248.3017552164092</v>
      </c>
      <c r="Q334" s="7">
        <f t="shared" si="71"/>
        <v>1219</v>
      </c>
      <c r="R334" s="7">
        <f t="shared" si="72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74"/>
        <v>80883</v>
      </c>
      <c r="X334" s="103">
        <f t="shared" si="75"/>
        <v>87582</v>
      </c>
      <c r="Y334" s="103"/>
      <c r="Z334" s="7">
        <v>322</v>
      </c>
      <c r="AB334" s="2">
        <v>0</v>
      </c>
      <c r="AC334" s="103">
        <v>85771</v>
      </c>
      <c r="AD334" s="103">
        <v>80883</v>
      </c>
      <c r="AE334" s="64">
        <f t="shared" si="76"/>
        <v>3.453848037215376E-3</v>
      </c>
      <c r="AF334" s="64">
        <f t="shared" si="77"/>
        <v>0</v>
      </c>
      <c r="AG334" s="20">
        <f t="shared" si="78"/>
        <v>3.3649114502570803</v>
      </c>
      <c r="AH334" s="20">
        <f t="shared" si="79"/>
        <v>0</v>
      </c>
      <c r="AI334" s="22"/>
    </row>
    <row r="335" spans="1:35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7">
        <f t="shared" si="73"/>
        <v>0</v>
      </c>
      <c r="O335" s="7">
        <f t="shared" si="69"/>
        <v>2178.75</v>
      </c>
      <c r="P335" s="7">
        <f t="shared" si="70"/>
        <v>2178.75</v>
      </c>
      <c r="Q335" s="7">
        <f t="shared" si="71"/>
        <v>1176.0833333333335</v>
      </c>
      <c r="R335" s="7">
        <f t="shared" si="72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74"/>
        <v>78956</v>
      </c>
      <c r="X335" s="103">
        <f t="shared" si="75"/>
        <v>82023</v>
      </c>
      <c r="Y335" s="103"/>
      <c r="Z335" s="7">
        <v>0</v>
      </c>
      <c r="AB335" s="2">
        <v>0</v>
      </c>
      <c r="AC335" s="103">
        <v>58431</v>
      </c>
      <c r="AD335" s="103">
        <v>78956</v>
      </c>
      <c r="AE335" s="64">
        <f t="shared" si="76"/>
        <v>0</v>
      </c>
      <c r="AF335" s="64">
        <f t="shared" si="77"/>
        <v>0</v>
      </c>
      <c r="AG335" s="20">
        <f t="shared" si="78"/>
        <v>0</v>
      </c>
      <c r="AH335" s="20">
        <f t="shared" si="79"/>
        <v>0</v>
      </c>
      <c r="AI335" s="22"/>
    </row>
    <row r="336" spans="1:35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7">
        <f t="shared" si="73"/>
        <v>0</v>
      </c>
      <c r="O336" s="7">
        <f t="shared" si="69"/>
        <v>5887.3159243956434</v>
      </c>
      <c r="P336" s="7">
        <f t="shared" si="70"/>
        <v>5887.3159243956434</v>
      </c>
      <c r="Q336" s="7">
        <f t="shared" si="71"/>
        <v>2248.416666666667</v>
      </c>
      <c r="R336" s="7">
        <f t="shared" si="72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74"/>
        <v>159182</v>
      </c>
      <c r="X336" s="103">
        <f t="shared" si="75"/>
        <v>173818</v>
      </c>
      <c r="Y336" s="103"/>
      <c r="Z336" s="7">
        <v>0</v>
      </c>
      <c r="AB336" s="2">
        <v>0</v>
      </c>
      <c r="AC336" s="103">
        <v>172452</v>
      </c>
      <c r="AD336" s="103">
        <v>159182</v>
      </c>
      <c r="AE336" s="64">
        <f t="shared" si="76"/>
        <v>0</v>
      </c>
      <c r="AF336" s="64">
        <f t="shared" si="77"/>
        <v>0</v>
      </c>
      <c r="AG336" s="20">
        <f t="shared" si="78"/>
        <v>0</v>
      </c>
      <c r="AH336" s="20">
        <f t="shared" si="79"/>
        <v>0</v>
      </c>
      <c r="AI336" s="22"/>
    </row>
    <row r="337" spans="1:35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7">
        <f t="shared" si="73"/>
        <v>0</v>
      </c>
      <c r="O337" s="7">
        <f t="shared" si="69"/>
        <v>5808.7308711941378</v>
      </c>
      <c r="P337" s="7">
        <f t="shared" si="70"/>
        <v>5808.7308711941378</v>
      </c>
      <c r="Q337" s="7">
        <f t="shared" si="71"/>
        <v>2282.333333333333</v>
      </c>
      <c r="R337" s="7">
        <f t="shared" si="72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74"/>
        <v>153160</v>
      </c>
      <c r="X337" s="103">
        <f t="shared" si="75"/>
        <v>167365</v>
      </c>
      <c r="Y337" s="103"/>
      <c r="Z337" s="7">
        <v>0</v>
      </c>
      <c r="AB337" s="2">
        <v>0</v>
      </c>
      <c r="AC337" s="103">
        <v>178740</v>
      </c>
      <c r="AD337" s="103">
        <v>153160</v>
      </c>
      <c r="AE337" s="64">
        <f t="shared" si="76"/>
        <v>0</v>
      </c>
      <c r="AF337" s="64">
        <f t="shared" si="77"/>
        <v>0</v>
      </c>
      <c r="AG337" s="20">
        <f t="shared" si="78"/>
        <v>0</v>
      </c>
      <c r="AH337" s="20">
        <f t="shared" si="79"/>
        <v>0</v>
      </c>
      <c r="AI337" s="22"/>
    </row>
    <row r="338" spans="1:35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7">
        <f t="shared" si="73"/>
        <v>351.52514744274731</v>
      </c>
      <c r="O338" s="7">
        <f t="shared" si="69"/>
        <v>5423.7943280503068</v>
      </c>
      <c r="P338" s="7">
        <f t="shared" si="70"/>
        <v>5072.2691806075591</v>
      </c>
      <c r="Q338" s="7">
        <f t="shared" si="71"/>
        <v>2297.1666666666665</v>
      </c>
      <c r="R338" s="7">
        <f t="shared" si="72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74"/>
        <v>161397</v>
      </c>
      <c r="X338" s="103">
        <f t="shared" si="75"/>
        <v>175196</v>
      </c>
      <c r="Y338" s="103"/>
      <c r="Z338" s="7">
        <v>39775</v>
      </c>
      <c r="AB338" s="2">
        <v>0</v>
      </c>
      <c r="AC338" s="103">
        <v>184171</v>
      </c>
      <c r="AD338" s="103">
        <v>161397</v>
      </c>
      <c r="AE338" s="64">
        <f t="shared" si="76"/>
        <v>0.19869034755743303</v>
      </c>
      <c r="AF338" s="64">
        <f t="shared" si="77"/>
        <v>0</v>
      </c>
      <c r="AG338" s="20">
        <f t="shared" si="78"/>
        <v>351.52514744274731</v>
      </c>
      <c r="AH338" s="20">
        <f t="shared" si="79"/>
        <v>0</v>
      </c>
      <c r="AI338" s="22"/>
    </row>
    <row r="339" spans="1:35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7">
        <f t="shared" si="73"/>
        <v>693.96702168553907</v>
      </c>
      <c r="O339" s="7">
        <f t="shared" si="69"/>
        <v>5682.3435042663386</v>
      </c>
      <c r="P339" s="7">
        <f t="shared" si="70"/>
        <v>4988.3764825807993</v>
      </c>
      <c r="Q339" s="7">
        <f t="shared" si="71"/>
        <v>2113.8034513688499</v>
      </c>
      <c r="R339" s="7">
        <f t="shared" si="72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74"/>
        <v>145554</v>
      </c>
      <c r="X339" s="103">
        <f t="shared" si="75"/>
        <v>196679</v>
      </c>
      <c r="Y339" s="103"/>
      <c r="Z339" s="7">
        <v>38312</v>
      </c>
      <c r="AB339" s="2">
        <v>41233</v>
      </c>
      <c r="AC339" s="103">
        <v>199051</v>
      </c>
      <c r="AD339" s="103">
        <v>186787</v>
      </c>
      <c r="AE339" s="64">
        <f t="shared" si="76"/>
        <v>0.17707542288157307</v>
      </c>
      <c r="AF339" s="64">
        <f t="shared" si="77"/>
        <v>0.14348669875312522</v>
      </c>
      <c r="AG339" s="20">
        <f t="shared" si="78"/>
        <v>339.8538063877221</v>
      </c>
      <c r="AH339" s="20">
        <f t="shared" si="79"/>
        <v>354.11321529781702</v>
      </c>
      <c r="AI339" s="22"/>
    </row>
    <row r="340" spans="1:35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7">
        <f t="shared" si="73"/>
        <v>309.07551121299554</v>
      </c>
      <c r="O340" s="7">
        <f t="shared" si="69"/>
        <v>5216.9251806381817</v>
      </c>
      <c r="P340" s="7">
        <f t="shared" si="70"/>
        <v>4907.8496694251862</v>
      </c>
      <c r="Q340" s="7">
        <f t="shared" si="71"/>
        <v>1977.4926703378844</v>
      </c>
      <c r="R340" s="7">
        <f t="shared" si="72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74"/>
        <v>147452</v>
      </c>
      <c r="X340" s="103">
        <f t="shared" si="75"/>
        <v>188590</v>
      </c>
      <c r="Y340" s="103"/>
      <c r="Z340" s="7">
        <v>7583</v>
      </c>
      <c r="AB340" s="2">
        <v>28693</v>
      </c>
      <c r="AC340" s="103">
        <v>162624</v>
      </c>
      <c r="AD340" s="103">
        <v>176145</v>
      </c>
      <c r="AE340" s="64">
        <f t="shared" si="76"/>
        <v>4.2898711137347501E-2</v>
      </c>
      <c r="AF340" s="64">
        <f t="shared" si="77"/>
        <v>0.10588123421045162</v>
      </c>
      <c r="AG340" s="20">
        <f t="shared" si="78"/>
        <v>74.90151488421337</v>
      </c>
      <c r="AH340" s="20">
        <f t="shared" si="79"/>
        <v>234.17399632878215</v>
      </c>
      <c r="AI340" s="22"/>
    </row>
    <row r="341" spans="1:35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7">
        <f t="shared" si="73"/>
        <v>56.733868990807252</v>
      </c>
      <c r="O341" s="7">
        <f t="shared" si="69"/>
        <v>3190.3406746375035</v>
      </c>
      <c r="P341" s="7">
        <f t="shared" si="70"/>
        <v>3133.6068056466961</v>
      </c>
      <c r="Q341" s="7">
        <f t="shared" si="71"/>
        <v>1178.0161310091928</v>
      </c>
      <c r="R341" s="7">
        <f t="shared" si="72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74"/>
        <v>92499</v>
      </c>
      <c r="X341" s="103">
        <f t="shared" si="75"/>
        <v>103167</v>
      </c>
      <c r="Y341" s="103"/>
      <c r="Z341" s="7">
        <v>0</v>
      </c>
      <c r="AB341" s="2">
        <v>7036</v>
      </c>
      <c r="AC341" s="103">
        <v>93313</v>
      </c>
      <c r="AD341" s="103">
        <v>99535</v>
      </c>
      <c r="AE341" s="64">
        <f t="shared" si="76"/>
        <v>0</v>
      </c>
      <c r="AF341" s="64">
        <f t="shared" si="77"/>
        <v>4.5947656603204899E-2</v>
      </c>
      <c r="AG341" s="20">
        <f t="shared" si="78"/>
        <v>0</v>
      </c>
      <c r="AH341" s="20">
        <f t="shared" si="79"/>
        <v>56.733868990807252</v>
      </c>
      <c r="AI341" s="22"/>
    </row>
    <row r="342" spans="1:35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7">
        <f t="shared" si="73"/>
        <v>71.952749296340968</v>
      </c>
      <c r="O342" s="7">
        <f t="shared" si="69"/>
        <v>2172.3464288332425</v>
      </c>
      <c r="P342" s="7">
        <f t="shared" si="70"/>
        <v>2100.3936795369013</v>
      </c>
      <c r="Q342" s="7">
        <f t="shared" si="71"/>
        <v>1090.6305840369923</v>
      </c>
      <c r="R342" s="7">
        <f t="shared" si="72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74"/>
        <v>68256</v>
      </c>
      <c r="X342" s="103">
        <f t="shared" si="75"/>
        <v>79031</v>
      </c>
      <c r="Y342" s="103"/>
      <c r="Z342" s="7">
        <v>0</v>
      </c>
      <c r="AB342" s="2">
        <v>7183</v>
      </c>
      <c r="AC342" s="103">
        <v>67239</v>
      </c>
      <c r="AD342" s="103">
        <v>75439</v>
      </c>
      <c r="AE342" s="64">
        <f t="shared" si="76"/>
        <v>0</v>
      </c>
      <c r="AF342" s="64">
        <f t="shared" si="77"/>
        <v>6.1890401516457007E-2</v>
      </c>
      <c r="AG342" s="20">
        <f t="shared" si="78"/>
        <v>0</v>
      </c>
      <c r="AH342" s="20">
        <f t="shared" si="79"/>
        <v>71.952749296340968</v>
      </c>
      <c r="AI342" s="22"/>
    </row>
    <row r="343" spans="1:35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7">
        <f t="shared" si="73"/>
        <v>0</v>
      </c>
      <c r="O343" s="7">
        <f t="shared" si="69"/>
        <v>5276.3753323873279</v>
      </c>
      <c r="P343" s="7">
        <f t="shared" si="70"/>
        <v>5276.3753323873279</v>
      </c>
      <c r="Q343" s="7">
        <f t="shared" si="71"/>
        <v>2257.166666666667</v>
      </c>
      <c r="R343" s="7">
        <f t="shared" si="72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74"/>
        <v>151339</v>
      </c>
      <c r="X343" s="103">
        <f t="shared" si="75"/>
        <v>162076</v>
      </c>
      <c r="Y343" s="103"/>
      <c r="Z343" s="7">
        <v>0</v>
      </c>
      <c r="AB343" s="2">
        <v>0</v>
      </c>
      <c r="AC343" s="103">
        <v>173088</v>
      </c>
      <c r="AD343" s="103">
        <v>162076</v>
      </c>
      <c r="AE343" s="64">
        <f t="shared" si="76"/>
        <v>0</v>
      </c>
      <c r="AF343" s="64">
        <f t="shared" si="77"/>
        <v>0</v>
      </c>
      <c r="AG343" s="20">
        <f t="shared" si="78"/>
        <v>0</v>
      </c>
      <c r="AH343" s="20">
        <f t="shared" si="79"/>
        <v>0</v>
      </c>
      <c r="AI343" s="22"/>
    </row>
    <row r="344" spans="1:35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7">
        <f t="shared" si="73"/>
        <v>0</v>
      </c>
      <c r="O344" s="7">
        <f t="shared" si="69"/>
        <v>5706.982492014753</v>
      </c>
      <c r="P344" s="7">
        <f t="shared" si="70"/>
        <v>5706.982492014753</v>
      </c>
      <c r="Q344" s="7">
        <f t="shared" si="71"/>
        <v>2593.75</v>
      </c>
      <c r="R344" s="7">
        <f t="shared" si="72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74"/>
        <v>173646</v>
      </c>
      <c r="X344" s="103">
        <f t="shared" si="75"/>
        <v>188867</v>
      </c>
      <c r="Y344" s="103"/>
      <c r="Z344" s="7">
        <v>0</v>
      </c>
      <c r="AB344" s="2">
        <v>0</v>
      </c>
      <c r="AC344" s="103">
        <v>189441</v>
      </c>
      <c r="AD344" s="103">
        <v>188867</v>
      </c>
      <c r="AE344" s="64">
        <f t="shared" si="76"/>
        <v>0</v>
      </c>
      <c r="AF344" s="64">
        <f t="shared" si="77"/>
        <v>0</v>
      </c>
      <c r="AG344" s="20">
        <f t="shared" si="78"/>
        <v>0</v>
      </c>
      <c r="AH344" s="20">
        <f t="shared" si="79"/>
        <v>0</v>
      </c>
      <c r="AI344" s="22"/>
    </row>
    <row r="345" spans="1:35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7">
        <f t="shared" si="73"/>
        <v>306.55658196376845</v>
      </c>
      <c r="O345" s="7">
        <f t="shared" si="69"/>
        <v>5757.4742612704713</v>
      </c>
      <c r="P345" s="7">
        <f t="shared" si="70"/>
        <v>5450.9176793067018</v>
      </c>
      <c r="Q345" s="7">
        <f t="shared" si="71"/>
        <v>2777.1666666666665</v>
      </c>
      <c r="R345" s="7">
        <f t="shared" si="72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74"/>
        <v>185213</v>
      </c>
      <c r="X345" s="103">
        <f t="shared" si="75"/>
        <v>196941</v>
      </c>
      <c r="Y345" s="103"/>
      <c r="Z345" s="7">
        <v>37497</v>
      </c>
      <c r="AB345" s="2">
        <v>0</v>
      </c>
      <c r="AC345" s="103">
        <v>213788</v>
      </c>
      <c r="AD345" s="103">
        <v>196941</v>
      </c>
      <c r="AE345" s="64">
        <f t="shared" si="76"/>
        <v>0.16136190992946284</v>
      </c>
      <c r="AF345" s="64">
        <f t="shared" si="77"/>
        <v>0</v>
      </c>
      <c r="AG345" s="20">
        <f t="shared" si="78"/>
        <v>306.55658196376845</v>
      </c>
      <c r="AH345" s="20">
        <f t="shared" si="79"/>
        <v>0</v>
      </c>
      <c r="AI345" s="22"/>
    </row>
    <row r="346" spans="1:35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7">
        <f t="shared" si="73"/>
        <v>174.6134392189885</v>
      </c>
      <c r="O346" s="7">
        <f t="shared" si="69"/>
        <v>5269.0217710411434</v>
      </c>
      <c r="P346" s="7">
        <f t="shared" si="70"/>
        <v>5094.4083318221556</v>
      </c>
      <c r="Q346" s="7">
        <f t="shared" si="71"/>
        <v>2485.5946095298978</v>
      </c>
      <c r="R346" s="7">
        <f t="shared" si="72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74"/>
        <v>179442</v>
      </c>
      <c r="X346" s="103">
        <f t="shared" si="75"/>
        <v>200233</v>
      </c>
      <c r="Y346" s="103"/>
      <c r="Z346" s="7">
        <v>10510</v>
      </c>
      <c r="AB346" s="2">
        <v>8456</v>
      </c>
      <c r="AC346" s="103">
        <v>151331</v>
      </c>
      <c r="AD346" s="103">
        <v>200233</v>
      </c>
      <c r="AE346" s="64">
        <f t="shared" si="76"/>
        <v>6.3894377226080573E-2</v>
      </c>
      <c r="AF346" s="64">
        <f t="shared" si="77"/>
        <v>2.7450020725854379E-2</v>
      </c>
      <c r="AG346" s="20">
        <f t="shared" si="78"/>
        <v>104.45804874888617</v>
      </c>
      <c r="AH346" s="20">
        <f t="shared" si="79"/>
        <v>70.155390470102333</v>
      </c>
      <c r="AI346" s="22"/>
    </row>
    <row r="347" spans="1:35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7">
        <f t="shared" si="73"/>
        <v>292.77317821186949</v>
      </c>
      <c r="O347" s="7">
        <f t="shared" si="69"/>
        <v>4838.8238257033281</v>
      </c>
      <c r="P347" s="7">
        <f t="shared" si="70"/>
        <v>4546.0506474914582</v>
      </c>
      <c r="Q347" s="7">
        <f t="shared" si="71"/>
        <v>2129.0601551214636</v>
      </c>
      <c r="R347" s="7">
        <f t="shared" si="72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74"/>
        <v>150271</v>
      </c>
      <c r="X347" s="103">
        <f t="shared" si="75"/>
        <v>196835</v>
      </c>
      <c r="Y347" s="103"/>
      <c r="Z347" s="7">
        <v>0</v>
      </c>
      <c r="AB347" s="2">
        <v>36608</v>
      </c>
      <c r="AC347" s="103">
        <v>119825</v>
      </c>
      <c r="AD347" s="103">
        <v>196835</v>
      </c>
      <c r="AE347" s="64">
        <f t="shared" si="76"/>
        <v>0</v>
      </c>
      <c r="AF347" s="64">
        <f t="shared" si="77"/>
        <v>0.12088906952523688</v>
      </c>
      <c r="AG347" s="20">
        <f t="shared" si="78"/>
        <v>0</v>
      </c>
      <c r="AH347" s="20">
        <f t="shared" si="79"/>
        <v>292.77317821186949</v>
      </c>
      <c r="AI347" s="22"/>
    </row>
    <row r="348" spans="1:35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7">
        <f t="shared" si="73"/>
        <v>0</v>
      </c>
      <c r="O348" s="7">
        <f t="shared" si="69"/>
        <v>2867.3889332414319</v>
      </c>
      <c r="P348" s="7">
        <f t="shared" si="70"/>
        <v>2867.3889332414319</v>
      </c>
      <c r="Q348" s="7">
        <f t="shared" si="71"/>
        <v>1233.8333333333335</v>
      </c>
      <c r="R348" s="7">
        <f t="shared" si="72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74"/>
        <v>104134</v>
      </c>
      <c r="X348" s="103">
        <f t="shared" si="75"/>
        <v>111542</v>
      </c>
      <c r="Y348" s="103"/>
      <c r="Z348" s="7">
        <v>0</v>
      </c>
      <c r="AB348" s="2">
        <v>0</v>
      </c>
      <c r="AC348" s="103">
        <v>87657</v>
      </c>
      <c r="AD348" s="103">
        <v>111542</v>
      </c>
      <c r="AE348" s="64">
        <f t="shared" si="76"/>
        <v>0</v>
      </c>
      <c r="AF348" s="64">
        <f t="shared" si="77"/>
        <v>0</v>
      </c>
      <c r="AG348" s="20">
        <f t="shared" si="78"/>
        <v>0</v>
      </c>
      <c r="AH348" s="20">
        <f t="shared" si="79"/>
        <v>0</v>
      </c>
      <c r="AI348" s="22"/>
    </row>
    <row r="349" spans="1:35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7">
        <f t="shared" si="73"/>
        <v>0</v>
      </c>
      <c r="O349" s="7">
        <f t="shared" si="69"/>
        <v>2114.666666666667</v>
      </c>
      <c r="P349" s="7">
        <f t="shared" si="70"/>
        <v>2114.666666666667</v>
      </c>
      <c r="Q349" s="7">
        <f t="shared" si="71"/>
        <v>1163</v>
      </c>
      <c r="R349" s="7">
        <f t="shared" si="72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74"/>
        <v>81869</v>
      </c>
      <c r="X349" s="103">
        <f t="shared" si="75"/>
        <v>84103</v>
      </c>
      <c r="Y349" s="103"/>
      <c r="Z349" s="7">
        <v>0</v>
      </c>
      <c r="AB349" s="2">
        <v>0</v>
      </c>
      <c r="AC349" s="103">
        <v>60830</v>
      </c>
      <c r="AD349" s="103">
        <v>84103</v>
      </c>
      <c r="AE349" s="64">
        <f t="shared" si="76"/>
        <v>0</v>
      </c>
      <c r="AF349" s="64">
        <f t="shared" si="77"/>
        <v>0</v>
      </c>
      <c r="AG349" s="20">
        <f t="shared" si="78"/>
        <v>0</v>
      </c>
      <c r="AH349" s="20">
        <f t="shared" si="79"/>
        <v>0</v>
      </c>
      <c r="AI349" s="22"/>
    </row>
    <row r="350" spans="1:35" ht="16.8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7">
        <f t="shared" si="73"/>
        <v>0</v>
      </c>
      <c r="O350" s="7">
        <f t="shared" si="69"/>
        <v>4165.2852777778171</v>
      </c>
      <c r="P350" s="7">
        <f t="shared" si="70"/>
        <v>4165.2852777778171</v>
      </c>
      <c r="Q350" s="7">
        <f t="shared" si="71"/>
        <v>1744.3333333333335</v>
      </c>
      <c r="R350" s="7">
        <f t="shared" si="72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74"/>
        <v>114209</v>
      </c>
      <c r="X350" s="103">
        <f t="shared" si="75"/>
        <v>127258</v>
      </c>
      <c r="Y350" s="103"/>
      <c r="Z350" s="7">
        <v>0</v>
      </c>
      <c r="AB350" s="2">
        <v>0</v>
      </c>
      <c r="AC350" s="103">
        <v>125765</v>
      </c>
      <c r="AD350" s="103">
        <v>127258</v>
      </c>
      <c r="AE350" s="64">
        <f t="shared" si="76"/>
        <v>0</v>
      </c>
      <c r="AF350" s="64">
        <f t="shared" si="77"/>
        <v>0</v>
      </c>
      <c r="AG350" s="20">
        <f t="shared" si="78"/>
        <v>0</v>
      </c>
      <c r="AH350" s="20">
        <f t="shared" si="79"/>
        <v>0</v>
      </c>
      <c r="AI350" s="22"/>
    </row>
    <row r="351" spans="1:35" ht="16.8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7">
        <f t="shared" si="73"/>
        <v>0</v>
      </c>
      <c r="O351" s="7">
        <f t="shared" si="69"/>
        <v>4292.785025561303</v>
      </c>
      <c r="P351" s="7">
        <f t="shared" si="70"/>
        <v>4292.785025561303</v>
      </c>
      <c r="Q351" s="7">
        <f t="shared" si="71"/>
        <v>1728.25</v>
      </c>
      <c r="R351" s="7">
        <f t="shared" si="72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74"/>
        <v>115080</v>
      </c>
      <c r="X351" s="103">
        <f t="shared" si="75"/>
        <v>130803</v>
      </c>
      <c r="Y351" s="103"/>
      <c r="Z351" s="7">
        <v>0</v>
      </c>
      <c r="AB351" s="2">
        <v>0</v>
      </c>
      <c r="AC351" s="103">
        <v>137509</v>
      </c>
      <c r="AD351" s="103">
        <v>130803</v>
      </c>
      <c r="AE351" s="64">
        <f t="shared" si="76"/>
        <v>0</v>
      </c>
      <c r="AF351" s="64">
        <f t="shared" si="77"/>
        <v>0</v>
      </c>
      <c r="AG351" s="20">
        <f t="shared" si="78"/>
        <v>0</v>
      </c>
      <c r="AH351" s="20">
        <f t="shared" si="79"/>
        <v>0</v>
      </c>
      <c r="AI351" s="22"/>
    </row>
    <row r="352" spans="1:35" ht="16.8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7">
        <f t="shared" si="73"/>
        <v>157.9124535027417</v>
      </c>
      <c r="O352" s="7">
        <f t="shared" si="69"/>
        <v>4377.3292720684358</v>
      </c>
      <c r="P352" s="7">
        <f t="shared" si="70"/>
        <v>4219.4168185656936</v>
      </c>
      <c r="Q352" s="7">
        <f t="shared" si="71"/>
        <v>1726</v>
      </c>
      <c r="R352" s="7">
        <f t="shared" si="72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74"/>
        <v>123929</v>
      </c>
      <c r="X352" s="103">
        <f t="shared" si="75"/>
        <v>137569</v>
      </c>
      <c r="Y352" s="103"/>
      <c r="Z352" s="7">
        <v>17556</v>
      </c>
      <c r="AB352" s="2">
        <v>0</v>
      </c>
      <c r="AC352" s="103">
        <v>158033</v>
      </c>
      <c r="AD352" s="103">
        <v>137569</v>
      </c>
      <c r="AE352" s="64">
        <f t="shared" si="76"/>
        <v>0.10220346383350314</v>
      </c>
      <c r="AF352" s="64">
        <f t="shared" si="77"/>
        <v>0</v>
      </c>
      <c r="AG352" s="20">
        <f t="shared" si="78"/>
        <v>157.9124535027417</v>
      </c>
      <c r="AH352" s="20">
        <f t="shared" si="79"/>
        <v>0</v>
      </c>
      <c r="AI352" s="22"/>
    </row>
    <row r="353" spans="1:36" ht="16.8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7">
        <f t="shared" si="73"/>
        <v>89.799042885375357</v>
      </c>
      <c r="O353" s="7">
        <f t="shared" si="69"/>
        <v>4455.9586538834446</v>
      </c>
      <c r="P353" s="7">
        <f t="shared" si="70"/>
        <v>4366.1596109980692</v>
      </c>
      <c r="Q353" s="7">
        <f t="shared" si="71"/>
        <v>2085</v>
      </c>
      <c r="R353" s="7">
        <f t="shared" si="72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74"/>
        <v>126490</v>
      </c>
      <c r="X353" s="103">
        <f t="shared" si="75"/>
        <v>135661</v>
      </c>
      <c r="Y353" s="103"/>
      <c r="Z353" s="7">
        <v>11748</v>
      </c>
      <c r="AB353" s="2">
        <v>0</v>
      </c>
      <c r="AC353" s="103">
        <v>160394</v>
      </c>
      <c r="AD353" s="103">
        <v>135661</v>
      </c>
      <c r="AE353" s="64">
        <f t="shared" si="76"/>
        <v>6.7385064279212439E-2</v>
      </c>
      <c r="AF353" s="64">
        <f t="shared" si="77"/>
        <v>0</v>
      </c>
      <c r="AG353" s="20">
        <f t="shared" si="78"/>
        <v>89.799042885375357</v>
      </c>
      <c r="AH353" s="20">
        <f t="shared" si="79"/>
        <v>0</v>
      </c>
      <c r="AI353" s="22"/>
    </row>
    <row r="354" spans="1:36" ht="16.8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7">
        <f t="shared" si="73"/>
        <v>412.15031587769499</v>
      </c>
      <c r="O354" s="7">
        <f t="shared" si="69"/>
        <v>4184.9290674999938</v>
      </c>
      <c r="P354" s="7">
        <f t="shared" si="70"/>
        <v>3772.7787516222988</v>
      </c>
      <c r="Q354" s="7">
        <f t="shared" si="71"/>
        <v>1765.1260833497197</v>
      </c>
      <c r="R354" s="7">
        <f t="shared" si="72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74"/>
        <v>124670</v>
      </c>
      <c r="X354" s="103">
        <f t="shared" si="75"/>
        <v>162736</v>
      </c>
      <c r="Y354" s="103"/>
      <c r="Z354" s="7">
        <v>23454</v>
      </c>
      <c r="AB354" s="2">
        <v>28737</v>
      </c>
      <c r="AC354" s="103">
        <v>138220</v>
      </c>
      <c r="AD354" s="103">
        <v>162736</v>
      </c>
      <c r="AE354" s="64">
        <f t="shared" si="76"/>
        <v>0.15611112718854001</v>
      </c>
      <c r="AF354" s="64">
        <f t="shared" si="77"/>
        <v>0.11478130223183562</v>
      </c>
      <c r="AG354" s="20">
        <f t="shared" si="78"/>
        <v>183.27639922741474</v>
      </c>
      <c r="AH354" s="20">
        <f t="shared" si="79"/>
        <v>228.87391665028022</v>
      </c>
      <c r="AI354" s="22"/>
    </row>
    <row r="355" spans="1:36" ht="16.8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7">
        <f t="shared" si="73"/>
        <v>341.16088800086732</v>
      </c>
      <c r="O355" s="7">
        <f t="shared" si="69"/>
        <v>4078.5569480193503</v>
      </c>
      <c r="P355" s="7">
        <f t="shared" si="70"/>
        <v>3737.3960600184828</v>
      </c>
      <c r="Q355" s="7">
        <f t="shared" si="71"/>
        <v>1727.1114453907653</v>
      </c>
      <c r="R355" s="7">
        <f t="shared" si="72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74"/>
        <v>117599</v>
      </c>
      <c r="X355" s="103">
        <f t="shared" si="75"/>
        <v>156219</v>
      </c>
      <c r="Y355" s="103"/>
      <c r="Z355" s="7">
        <v>14805</v>
      </c>
      <c r="AB355" s="2">
        <v>27807</v>
      </c>
      <c r="AC355" s="103">
        <v>140522</v>
      </c>
      <c r="AD355" s="103">
        <v>156219</v>
      </c>
      <c r="AE355" s="64">
        <f t="shared" si="76"/>
        <v>9.6928594810776966E-2</v>
      </c>
      <c r="AF355" s="64">
        <f t="shared" si="77"/>
        <v>0.11570007489485915</v>
      </c>
      <c r="AG355" s="20">
        <f t="shared" si="78"/>
        <v>115.18900005829953</v>
      </c>
      <c r="AH355" s="20">
        <f t="shared" si="79"/>
        <v>225.97188794256778</v>
      </c>
      <c r="AI355" s="22"/>
    </row>
    <row r="356" spans="1:36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7">
        <f t="shared" si="73"/>
        <v>371.08967113184553</v>
      </c>
      <c r="O356" s="7">
        <f t="shared" si="69"/>
        <v>4097.3250898343158</v>
      </c>
      <c r="P356" s="7">
        <f t="shared" si="70"/>
        <v>3726.2354187024712</v>
      </c>
      <c r="Q356" s="7">
        <f t="shared" si="71"/>
        <v>1651.6221426719583</v>
      </c>
      <c r="R356" s="7">
        <f t="shared" si="72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 t="shared" si="74"/>
        <v>120249</v>
      </c>
      <c r="X356" s="103">
        <f t="shared" si="75"/>
        <v>150429</v>
      </c>
      <c r="Y356" s="103"/>
      <c r="Z356" s="7">
        <v>29141</v>
      </c>
      <c r="AB356" s="2">
        <v>18367</v>
      </c>
      <c r="AC356" s="103">
        <v>156254</v>
      </c>
      <c r="AD356" s="103">
        <v>150429</v>
      </c>
      <c r="AE356" s="64">
        <f t="shared" si="76"/>
        <v>0.17157781560792046</v>
      </c>
      <c r="AF356" s="64">
        <f t="shared" si="77"/>
        <v>7.9363354140491532E-2</v>
      </c>
      <c r="AG356" s="20">
        <f t="shared" si="78"/>
        <v>228.71181380380372</v>
      </c>
      <c r="AH356" s="20">
        <f t="shared" si="79"/>
        <v>142.37785732804181</v>
      </c>
      <c r="AI356" s="22"/>
    </row>
    <row r="357" spans="1:36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7">
        <f t="shared" si="73"/>
        <v>154.31792854465093</v>
      </c>
      <c r="O357" s="7">
        <f t="shared" si="69"/>
        <v>4257.5833333333339</v>
      </c>
      <c r="P357" s="7">
        <f t="shared" si="70"/>
        <v>4103.2654047886826</v>
      </c>
      <c r="Q357" s="7">
        <f t="shared" si="71"/>
        <v>1650.8487381220161</v>
      </c>
      <c r="R357" s="7">
        <f t="shared" si="72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si="74"/>
        <v>121471</v>
      </c>
      <c r="X357" s="103">
        <f t="shared" si="75"/>
        <v>148489</v>
      </c>
      <c r="Y357" s="103"/>
      <c r="Z357" s="7">
        <v>0</v>
      </c>
      <c r="AB357" s="2">
        <v>19529</v>
      </c>
      <c r="AC357" s="90">
        <v>148187</v>
      </c>
      <c r="AD357" s="103">
        <f t="shared" ref="AD357:AD420" si="80">+X357</f>
        <v>148489</v>
      </c>
      <c r="AE357" s="64">
        <f t="shared" si="76"/>
        <v>0</v>
      </c>
      <c r="AF357" s="64">
        <f t="shared" si="77"/>
        <v>8.5486803736303699E-2</v>
      </c>
      <c r="AG357" s="20">
        <f t="shared" si="78"/>
        <v>0</v>
      </c>
      <c r="AH357" s="20">
        <f t="shared" si="79"/>
        <v>154.31792854465093</v>
      </c>
      <c r="AI357" s="20"/>
    </row>
    <row r="358" spans="1:36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7">
        <f t="shared" si="73"/>
        <v>0</v>
      </c>
      <c r="O358" s="7">
        <f t="shared" si="69"/>
        <v>3954.2499999999995</v>
      </c>
      <c r="P358" s="7">
        <f t="shared" si="70"/>
        <v>3954.2499999999995</v>
      </c>
      <c r="Q358" s="7">
        <f t="shared" si="71"/>
        <v>1615.083333333333</v>
      </c>
      <c r="R358" s="7">
        <f t="shared" si="72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74"/>
        <v>117141</v>
      </c>
      <c r="X358" s="103">
        <f t="shared" si="75"/>
        <v>129343</v>
      </c>
      <c r="Y358" s="103"/>
      <c r="Z358" s="7">
        <v>0</v>
      </c>
      <c r="AB358" s="2">
        <v>0</v>
      </c>
      <c r="AC358" s="90">
        <v>136103</v>
      </c>
      <c r="AD358" s="103">
        <f t="shared" si="80"/>
        <v>129343</v>
      </c>
      <c r="AE358" s="64">
        <f t="shared" si="76"/>
        <v>0</v>
      </c>
      <c r="AF358" s="64">
        <f t="shared" si="77"/>
        <v>0</v>
      </c>
      <c r="AG358" s="20">
        <f t="shared" ref="AG358:AG366" si="81">+AE358*K358</f>
        <v>0</v>
      </c>
      <c r="AH358" s="20">
        <f t="shared" ref="AH358:AH366" si="82">+AF358*I358</f>
        <v>0</v>
      </c>
      <c r="AI358" s="20"/>
    </row>
    <row r="359" spans="1:36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7">
        <f t="shared" si="73"/>
        <v>78.304199733391641</v>
      </c>
      <c r="O359" s="7">
        <f t="shared" si="69"/>
        <v>3949.416666666667</v>
      </c>
      <c r="P359" s="7">
        <f t="shared" si="70"/>
        <v>3871.1124669332758</v>
      </c>
      <c r="Q359" s="7">
        <f t="shared" si="71"/>
        <v>1757.1883240261511</v>
      </c>
      <c r="R359" s="7">
        <f t="shared" si="72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74"/>
        <v>125795</v>
      </c>
      <c r="X359" s="103">
        <f t="shared" si="75"/>
        <v>139498</v>
      </c>
      <c r="Y359" s="103"/>
      <c r="Z359" s="7">
        <v>6528</v>
      </c>
      <c r="AB359" s="2">
        <v>2522</v>
      </c>
      <c r="AC359" s="90">
        <v>116234</v>
      </c>
      <c r="AD359" s="103">
        <f t="shared" si="80"/>
        <v>139498</v>
      </c>
      <c r="AE359" s="64">
        <f t="shared" si="76"/>
        <v>5.1669563122666351E-2</v>
      </c>
      <c r="AF359" s="64">
        <f t="shared" si="77"/>
        <v>1.1751422959468953E-2</v>
      </c>
      <c r="AG359" s="20">
        <f t="shared" si="81"/>
        <v>57.409190426209214</v>
      </c>
      <c r="AH359" s="20">
        <f t="shared" si="82"/>
        <v>20.895009307182423</v>
      </c>
      <c r="AI359" s="20"/>
    </row>
    <row r="360" spans="1:36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7">
        <f t="shared" si="73"/>
        <v>154.43315705382912</v>
      </c>
      <c r="O360" s="7">
        <f t="shared" si="69"/>
        <v>3969.7500000000005</v>
      </c>
      <c r="P360" s="7">
        <f t="shared" si="70"/>
        <v>3815.3168429461712</v>
      </c>
      <c r="Q360" s="7">
        <f t="shared" si="71"/>
        <v>1685.0833333333335</v>
      </c>
      <c r="R360" s="7">
        <f t="shared" si="72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74"/>
        <v>130381</v>
      </c>
      <c r="X360" s="103">
        <f t="shared" si="75"/>
        <v>142075</v>
      </c>
      <c r="Y360" s="103"/>
      <c r="Z360" s="7">
        <v>17613</v>
      </c>
      <c r="AB360" s="2">
        <v>0</v>
      </c>
      <c r="AC360" s="90">
        <v>119545</v>
      </c>
      <c r="AD360" s="103">
        <f t="shared" si="80"/>
        <v>142075</v>
      </c>
      <c r="AE360" s="64">
        <f t="shared" si="76"/>
        <v>0.13554694884771426</v>
      </c>
      <c r="AF360" s="64">
        <f t="shared" si="77"/>
        <v>0</v>
      </c>
      <c r="AG360" s="20">
        <f t="shared" si="81"/>
        <v>154.43315705382912</v>
      </c>
      <c r="AH360" s="20">
        <f t="shared" si="82"/>
        <v>0</v>
      </c>
      <c r="AI360" s="20"/>
    </row>
    <row r="361" spans="1:36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7">
        <f t="shared" si="73"/>
        <v>263.78507696180941</v>
      </c>
      <c r="O361" s="7">
        <f t="shared" si="69"/>
        <v>3950.0833333333335</v>
      </c>
      <c r="P361" s="7">
        <f t="shared" si="70"/>
        <v>3686.2982563715241</v>
      </c>
      <c r="Q361" s="7">
        <f t="shared" si="71"/>
        <v>1674.3258439191648</v>
      </c>
      <c r="R361" s="7">
        <f t="shared" si="72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74"/>
        <v>118133</v>
      </c>
      <c r="X361" s="103">
        <f t="shared" si="75"/>
        <v>135716</v>
      </c>
      <c r="Y361" s="103"/>
      <c r="Z361" s="7">
        <v>19623</v>
      </c>
      <c r="AB361" s="2">
        <v>11546</v>
      </c>
      <c r="AC361" s="90">
        <v>117022</v>
      </c>
      <c r="AD361" s="103">
        <f t="shared" si="80"/>
        <v>135716</v>
      </c>
      <c r="AE361" s="64">
        <f t="shared" si="76"/>
        <v>0.15427150450342669</v>
      </c>
      <c r="AF361" s="64">
        <f t="shared" si="77"/>
        <v>5.529856464970969E-2</v>
      </c>
      <c r="AG361" s="20">
        <f t="shared" si="81"/>
        <v>165.77758754764062</v>
      </c>
      <c r="AH361" s="20">
        <f t="shared" si="82"/>
        <v>98.007489414168816</v>
      </c>
      <c r="AI361" s="20"/>
    </row>
    <row r="362" spans="1:36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7">
        <f t="shared" si="73"/>
        <v>72.769724365599387</v>
      </c>
      <c r="O362" s="7">
        <f t="shared" si="69"/>
        <v>2278.25</v>
      </c>
      <c r="P362" s="7">
        <f t="shared" si="70"/>
        <v>2205.4802756344006</v>
      </c>
      <c r="Q362" s="7">
        <f t="shared" si="71"/>
        <v>1059.7302756344006</v>
      </c>
      <c r="R362" s="7">
        <f t="shared" si="72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74"/>
        <v>86641</v>
      </c>
      <c r="X362" s="103">
        <f t="shared" si="75"/>
        <v>99661</v>
      </c>
      <c r="Y362" s="103"/>
      <c r="Z362" s="7">
        <v>0</v>
      </c>
      <c r="AB362" s="2">
        <v>9852</v>
      </c>
      <c r="AC362" s="90">
        <v>65946</v>
      </c>
      <c r="AD362" s="103">
        <f t="shared" si="80"/>
        <v>99661</v>
      </c>
      <c r="AE362" s="64">
        <f t="shared" si="76"/>
        <v>0</v>
      </c>
      <c r="AF362" s="64">
        <f t="shared" si="77"/>
        <v>6.4255827254392398E-2</v>
      </c>
      <c r="AG362" s="20">
        <f t="shared" si="81"/>
        <v>0</v>
      </c>
      <c r="AH362" s="20">
        <f t="shared" si="82"/>
        <v>72.769724365599387</v>
      </c>
      <c r="AI362" s="20"/>
    </row>
    <row r="363" spans="1:36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7">
        <f t="shared" si="73"/>
        <v>139.70661933568587</v>
      </c>
      <c r="O363" s="7">
        <f t="shared" si="69"/>
        <v>2164.75</v>
      </c>
      <c r="P363" s="7">
        <f t="shared" si="70"/>
        <v>2025.0433806643141</v>
      </c>
      <c r="Q363" s="7">
        <f t="shared" si="71"/>
        <v>985.12671399764736</v>
      </c>
      <c r="R363" s="7">
        <f t="shared" si="72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74"/>
        <v>79096</v>
      </c>
      <c r="X363" s="103">
        <f t="shared" si="75"/>
        <v>101167</v>
      </c>
      <c r="Y363" s="103"/>
      <c r="Z363" s="7">
        <v>0</v>
      </c>
      <c r="AB363" s="2">
        <v>19331</v>
      </c>
      <c r="AC363" s="90">
        <v>71169</v>
      </c>
      <c r="AD363" s="103">
        <f t="shared" si="80"/>
        <v>101167</v>
      </c>
      <c r="AE363" s="64">
        <f t="shared" si="76"/>
        <v>0</v>
      </c>
      <c r="AF363" s="64">
        <f t="shared" si="77"/>
        <v>0.12420206193719296</v>
      </c>
      <c r="AG363" s="20">
        <f t="shared" si="81"/>
        <v>0</v>
      </c>
      <c r="AH363" s="20">
        <f t="shared" si="82"/>
        <v>139.70661933568587</v>
      </c>
      <c r="AI363" s="20"/>
    </row>
    <row r="364" spans="1:36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7">
        <f t="shared" ref="N364:N369" si="83">+AH364+AG364</f>
        <v>0</v>
      </c>
      <c r="O364" s="7">
        <f t="shared" si="69"/>
        <v>3826.2499999999995</v>
      </c>
      <c r="P364" s="7">
        <f t="shared" si="70"/>
        <v>3826.2499999999995</v>
      </c>
      <c r="Q364" s="7">
        <f t="shared" si="71"/>
        <v>1710.583333333333</v>
      </c>
      <c r="R364" s="7">
        <f t="shared" si="72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si="74"/>
        <v>118210</v>
      </c>
      <c r="X364" s="103">
        <f t="shared" si="75"/>
        <v>136048</v>
      </c>
      <c r="Y364" s="103"/>
      <c r="Z364" s="7">
        <v>0</v>
      </c>
      <c r="AB364" s="103">
        <v>0</v>
      </c>
      <c r="AC364" s="90">
        <v>137937</v>
      </c>
      <c r="AD364" s="103">
        <f t="shared" si="80"/>
        <v>136048</v>
      </c>
      <c r="AE364" s="64">
        <f t="shared" si="76"/>
        <v>0</v>
      </c>
      <c r="AF364" s="64">
        <f t="shared" si="77"/>
        <v>0</v>
      </c>
      <c r="AG364" s="20">
        <f t="shared" si="81"/>
        <v>0</v>
      </c>
      <c r="AH364" s="20">
        <f t="shared" si="82"/>
        <v>0</v>
      </c>
      <c r="AI364" s="20"/>
    </row>
    <row r="365" spans="1:36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7">
        <f t="shared" si="83"/>
        <v>280.41904159479884</v>
      </c>
      <c r="O365" s="7">
        <f t="shared" si="69"/>
        <v>3765.6666666666665</v>
      </c>
      <c r="P365" s="7">
        <f t="shared" si="70"/>
        <v>3485.2476250718678</v>
      </c>
      <c r="Q365" s="7">
        <f t="shared" si="71"/>
        <v>1625.7060576284539</v>
      </c>
      <c r="R365" s="7">
        <f t="shared" si="72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74"/>
        <v>123259</v>
      </c>
      <c r="X365" s="103">
        <f t="shared" si="75"/>
        <v>148075</v>
      </c>
      <c r="Y365" s="103"/>
      <c r="Z365" s="7">
        <v>29074</v>
      </c>
      <c r="AB365" s="2">
        <v>9913</v>
      </c>
      <c r="AC365" s="90">
        <v>146723</v>
      </c>
      <c r="AD365" s="103">
        <f t="shared" si="80"/>
        <v>148075</v>
      </c>
      <c r="AE365" s="64">
        <f t="shared" si="76"/>
        <v>0.18230325170559492</v>
      </c>
      <c r="AF365" s="64">
        <f t="shared" si="77"/>
        <v>4.3514772919128822E-2</v>
      </c>
      <c r="AG365" s="20">
        <f t="shared" si="81"/>
        <v>206.45843255658625</v>
      </c>
      <c r="AH365" s="20">
        <f t="shared" si="82"/>
        <v>73.96060903821261</v>
      </c>
      <c r="AI365" s="20"/>
      <c r="AJ365" s="64"/>
    </row>
    <row r="366" spans="1:36" s="45" customFormat="1">
      <c r="A366" s="43">
        <v>46022</v>
      </c>
      <c r="B366" s="3">
        <v>156.91666666666669</v>
      </c>
      <c r="C366" s="169">
        <v>97.25</v>
      </c>
      <c r="D366" s="169">
        <v>67.5</v>
      </c>
      <c r="E366" s="169">
        <v>214.83333333333331</v>
      </c>
      <c r="F366" s="169">
        <v>214.16666666666669</v>
      </c>
      <c r="G366" s="169">
        <v>114.33333333333333</v>
      </c>
      <c r="H366" s="169">
        <v>37.5</v>
      </c>
      <c r="I366" s="169">
        <v>1212.5</v>
      </c>
      <c r="J366" s="169">
        <v>95</v>
      </c>
      <c r="K366" s="169">
        <v>731.25000000000011</v>
      </c>
      <c r="L366" s="169">
        <v>149.75</v>
      </c>
      <c r="M366" s="169">
        <v>201.91666666666666</v>
      </c>
      <c r="N366" s="170">
        <f t="shared" si="83"/>
        <v>389.99047249675448</v>
      </c>
      <c r="O366" s="30">
        <f t="shared" si="69"/>
        <v>2574.5833333333335</v>
      </c>
      <c r="P366" s="30">
        <f t="shared" si="70"/>
        <v>2184.5928608365793</v>
      </c>
      <c r="Q366" s="30">
        <f t="shared" si="71"/>
        <v>1079.2211028970942</v>
      </c>
      <c r="R366" s="30">
        <f t="shared" si="72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7">
        <f t="shared" si="74"/>
        <v>85247</v>
      </c>
      <c r="X366" s="103">
        <f t="shared" si="75"/>
        <v>113424</v>
      </c>
      <c r="Y366" s="103"/>
      <c r="Z366" s="30">
        <v>38149</v>
      </c>
      <c r="AA366" s="30"/>
      <c r="AB366" s="172">
        <v>19181</v>
      </c>
      <c r="AC366" s="173">
        <v>99975</v>
      </c>
      <c r="AD366" s="171">
        <f t="shared" si="80"/>
        <v>113424</v>
      </c>
      <c r="AE366" s="174">
        <f t="shared" si="76"/>
        <v>0.35105856464116031</v>
      </c>
      <c r="AF366" s="174">
        <f t="shared" si="77"/>
        <v>0.10992073987868528</v>
      </c>
      <c r="AG366" s="175">
        <f t="shared" si="81"/>
        <v>256.71157539384853</v>
      </c>
      <c r="AH366" s="175">
        <f t="shared" si="82"/>
        <v>133.27889710290592</v>
      </c>
      <c r="AI366" s="175"/>
    </row>
    <row r="367" spans="1:36" s="202" customFormat="1">
      <c r="A367" s="193">
        <v>46023</v>
      </c>
      <c r="B367" s="194">
        <v>0</v>
      </c>
      <c r="C367" s="194">
        <v>0</v>
      </c>
      <c r="D367" s="194">
        <v>0</v>
      </c>
      <c r="E367" s="194">
        <v>0</v>
      </c>
      <c r="F367" s="194">
        <v>0</v>
      </c>
      <c r="G367" s="194">
        <v>0</v>
      </c>
      <c r="H367" s="194">
        <v>0</v>
      </c>
      <c r="I367" s="194">
        <v>0</v>
      </c>
      <c r="J367" s="194">
        <v>0</v>
      </c>
      <c r="K367" s="194">
        <v>0</v>
      </c>
      <c r="L367" s="194">
        <v>0</v>
      </c>
      <c r="M367" s="194">
        <v>0</v>
      </c>
      <c r="N367" s="195">
        <f t="shared" si="83"/>
        <v>0</v>
      </c>
      <c r="O367" s="196">
        <f t="shared" si="69"/>
        <v>0</v>
      </c>
      <c r="P367" s="196">
        <f t="shared" si="70"/>
        <v>0</v>
      </c>
      <c r="Q367" s="196">
        <f t="shared" si="71"/>
        <v>0</v>
      </c>
      <c r="R367" s="196">
        <f t="shared" si="72"/>
        <v>0</v>
      </c>
      <c r="S367" s="196">
        <v>0</v>
      </c>
      <c r="T367" s="196">
        <v>0</v>
      </c>
      <c r="U367" s="196">
        <v>0</v>
      </c>
      <c r="V367" s="196">
        <v>0</v>
      </c>
      <c r="W367" s="7">
        <f t="shared" si="74"/>
        <v>0</v>
      </c>
      <c r="X367" s="103">
        <f t="shared" si="75"/>
        <v>0</v>
      </c>
      <c r="Y367" s="103"/>
      <c r="Z367" s="196">
        <v>0</v>
      </c>
      <c r="AA367" s="196"/>
      <c r="AB367" s="198">
        <v>0</v>
      </c>
      <c r="AC367" s="199">
        <v>0</v>
      </c>
      <c r="AD367" s="197">
        <f t="shared" si="80"/>
        <v>0</v>
      </c>
      <c r="AE367" s="200" t="e">
        <f t="shared" si="76"/>
        <v>#DIV/0!</v>
      </c>
      <c r="AF367" s="200"/>
      <c r="AG367" s="201"/>
      <c r="AH367" s="201"/>
      <c r="AI367" s="201"/>
    </row>
    <row r="368" spans="1:36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7">
        <f t="shared" si="83"/>
        <v>329.01926366387261</v>
      </c>
      <c r="O368" s="7">
        <f t="shared" si="69"/>
        <v>3894.9166666666661</v>
      </c>
      <c r="P368" s="7">
        <f t="shared" si="70"/>
        <v>3565.8974030027939</v>
      </c>
      <c r="Q368" s="7">
        <f t="shared" si="71"/>
        <v>1519.3960134431318</v>
      </c>
      <c r="R368" s="7">
        <f t="shared" si="72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74"/>
        <v>113003</v>
      </c>
      <c r="X368" s="103">
        <f t="shared" si="75"/>
        <v>164483</v>
      </c>
      <c r="Y368" s="103"/>
      <c r="Z368" s="7">
        <v>9226</v>
      </c>
      <c r="AB368" s="2">
        <v>38145</v>
      </c>
      <c r="AC368" s="90">
        <v>157364</v>
      </c>
      <c r="AD368" s="103">
        <f t="shared" si="80"/>
        <v>164483</v>
      </c>
      <c r="AE368" s="64">
        <f t="shared" si="76"/>
        <v>5.3938130703337486E-2</v>
      </c>
      <c r="AF368" s="64">
        <f t="shared" si="77"/>
        <v>0.15074050205796344</v>
      </c>
      <c r="AG368" s="20">
        <f>+AE368*K368</f>
        <v>59.331943773671235</v>
      </c>
      <c r="AH368" s="20">
        <f>+AF368*I368</f>
        <v>269.68731989020137</v>
      </c>
      <c r="AI368" s="20"/>
    </row>
    <row r="369" spans="1:41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7">
        <f t="shared" si="83"/>
        <v>181.06833453190984</v>
      </c>
      <c r="O369" s="7">
        <f t="shared" si="69"/>
        <v>3848.5000000000005</v>
      </c>
      <c r="P369" s="7">
        <f t="shared" si="70"/>
        <v>3667.4316654680906</v>
      </c>
      <c r="Q369" s="7">
        <f t="shared" si="71"/>
        <v>1554.4316654680906</v>
      </c>
      <c r="R369" s="7">
        <f t="shared" si="72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74"/>
        <v>120172</v>
      </c>
      <c r="X369" s="103">
        <f t="shared" si="75"/>
        <v>162693</v>
      </c>
      <c r="Y369" s="103"/>
      <c r="Z369" s="7">
        <v>0</v>
      </c>
      <c r="AB369" s="2">
        <v>26114</v>
      </c>
      <c r="AC369" s="90">
        <v>155727</v>
      </c>
      <c r="AD369" s="103">
        <f t="shared" si="80"/>
        <v>162693</v>
      </c>
      <c r="AE369" s="64">
        <f t="shared" si="76"/>
        <v>0</v>
      </c>
      <c r="AF369" s="64">
        <f t="shared" si="77"/>
        <v>0.10433208558450578</v>
      </c>
      <c r="AG369" s="20">
        <f>+AE369*K369</f>
        <v>0</v>
      </c>
      <c r="AH369" s="20">
        <f>+AF369*I369</f>
        <v>181.06833453190984</v>
      </c>
      <c r="AI369" s="20"/>
      <c r="AO369" s="7"/>
    </row>
    <row r="370" spans="1:41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7">
        <f t="shared" ref="N370" si="84">+AH370+AG370</f>
        <v>0</v>
      </c>
      <c r="O370" s="7">
        <f t="shared" si="69"/>
        <v>0</v>
      </c>
      <c r="P370" s="7">
        <f t="shared" si="70"/>
        <v>0</v>
      </c>
      <c r="Q370" s="7">
        <f t="shared" si="71"/>
        <v>0</v>
      </c>
      <c r="R370" s="7">
        <f t="shared" si="72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74"/>
        <v>0</v>
      </c>
      <c r="X370" s="103">
        <f t="shared" si="75"/>
        <v>0</v>
      </c>
      <c r="Y370" s="103"/>
      <c r="Z370" s="7">
        <v>0</v>
      </c>
      <c r="AB370" s="2">
        <v>0</v>
      </c>
      <c r="AC370" s="90">
        <v>0</v>
      </c>
      <c r="AD370" s="103">
        <f t="shared" si="80"/>
        <v>0</v>
      </c>
      <c r="AE370" s="64" t="e">
        <f t="shared" si="76"/>
        <v>#DIV/0!</v>
      </c>
      <c r="AF370" s="64"/>
      <c r="AG370" s="20"/>
      <c r="AH370" s="20"/>
      <c r="AI370" s="20"/>
      <c r="AO370"/>
    </row>
    <row r="371" spans="1:41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7">
        <f t="shared" ref="N371:N377" si="85">+AH371+AG371</f>
        <v>5.8627135110709441</v>
      </c>
      <c r="O371" s="7">
        <f t="shared" ref="O371:O377" si="86">+B371+C371+D371+F371+I371+K371+J371</f>
        <v>3985.1666666666661</v>
      </c>
      <c r="P371" s="7">
        <f t="shared" si="70"/>
        <v>3979.3039531555951</v>
      </c>
      <c r="Q371" s="7">
        <f t="shared" si="71"/>
        <v>1675.333333333333</v>
      </c>
      <c r="R371" s="7">
        <f t="shared" si="72"/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si="74"/>
        <v>123336</v>
      </c>
      <c r="X371" s="103">
        <f t="shared" si="75"/>
        <v>134660</v>
      </c>
      <c r="Y371" s="103"/>
      <c r="Z371" s="7">
        <v>681</v>
      </c>
      <c r="AB371" s="2">
        <v>0</v>
      </c>
      <c r="AC371" s="90">
        <v>123928</v>
      </c>
      <c r="AD371" s="103">
        <f t="shared" si="80"/>
        <v>134660</v>
      </c>
      <c r="AE371" s="64">
        <f t="shared" si="76"/>
        <v>5.0555161061261377E-3</v>
      </c>
      <c r="AF371" s="64">
        <f t="shared" si="77"/>
        <v>0</v>
      </c>
      <c r="AG371" s="20">
        <f t="shared" ref="AG371:AG402" si="87">+AE371*K371</f>
        <v>5.8627135110709441</v>
      </c>
      <c r="AH371" s="20">
        <f t="shared" ref="AH371:AH402" si="88">+AF371*I371</f>
        <v>0</v>
      </c>
      <c r="AI371" s="20"/>
      <c r="AO371"/>
    </row>
    <row r="372" spans="1:41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7">
        <f t="shared" si="85"/>
        <v>7.9321172156043724</v>
      </c>
      <c r="O372" s="7">
        <f t="shared" si="86"/>
        <v>4219.833333333333</v>
      </c>
      <c r="P372" s="7">
        <f t="shared" si="70"/>
        <v>4211.9012161177288</v>
      </c>
      <c r="Q372" s="7">
        <f t="shared" si="71"/>
        <v>1987.7168536086056</v>
      </c>
      <c r="R372" s="7">
        <f t="shared" si="72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74"/>
        <v>139393</v>
      </c>
      <c r="X372" s="103">
        <f t="shared" si="75"/>
        <v>147684</v>
      </c>
      <c r="Y372" s="103"/>
      <c r="Z372" s="7">
        <v>209</v>
      </c>
      <c r="AB372" s="2">
        <v>697</v>
      </c>
      <c r="AC372" s="90">
        <v>126509</v>
      </c>
      <c r="AD372" s="103">
        <f t="shared" si="80"/>
        <v>147684</v>
      </c>
      <c r="AE372" s="64">
        <f t="shared" si="76"/>
        <v>1.5198918654008807E-3</v>
      </c>
      <c r="AF372" s="64">
        <f t="shared" si="77"/>
        <v>3.0676985997129006E-3</v>
      </c>
      <c r="AG372" s="20">
        <f t="shared" si="87"/>
        <v>1.815637490876802</v>
      </c>
      <c r="AH372" s="20">
        <f t="shared" si="88"/>
        <v>6.1164797247275704</v>
      </c>
      <c r="AI372" s="20"/>
      <c r="AO372"/>
    </row>
    <row r="373" spans="1:41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7">
        <f t="shared" si="85"/>
        <v>285.71028574081254</v>
      </c>
      <c r="O373" s="7">
        <f t="shared" si="86"/>
        <v>4204.0833333333339</v>
      </c>
      <c r="P373" s="7">
        <f t="shared" si="70"/>
        <v>3918.3730475925208</v>
      </c>
      <c r="Q373" s="7">
        <f t="shared" si="71"/>
        <v>2046.3929661718544</v>
      </c>
      <c r="R373" s="7">
        <f t="shared" si="72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74"/>
        <v>155915</v>
      </c>
      <c r="X373" s="103">
        <f t="shared" si="75"/>
        <v>173938</v>
      </c>
      <c r="Y373" s="103"/>
      <c r="Z373" s="7">
        <v>27838</v>
      </c>
      <c r="AB373" s="2">
        <v>8925</v>
      </c>
      <c r="AC373" s="90">
        <v>127527</v>
      </c>
      <c r="AD373" s="103">
        <f t="shared" si="80"/>
        <v>173938</v>
      </c>
      <c r="AE373" s="64">
        <f t="shared" si="76"/>
        <v>0.20082774628117969</v>
      </c>
      <c r="AF373" s="64">
        <f t="shared" si="77"/>
        <v>3.3352401430394737E-2</v>
      </c>
      <c r="AG373" s="20">
        <f t="shared" si="87"/>
        <v>215.10325191266691</v>
      </c>
      <c r="AH373" s="20">
        <f t="shared" si="88"/>
        <v>70.60703382814566</v>
      </c>
      <c r="AI373" s="20"/>
      <c r="AO373"/>
    </row>
    <row r="374" spans="1:41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7">
        <f t="shared" si="85"/>
        <v>547.88789124705465</v>
      </c>
      <c r="O374" s="7">
        <f t="shared" si="86"/>
        <v>4224.8333333333339</v>
      </c>
      <c r="P374" s="7">
        <f t="shared" si="70"/>
        <v>3676.9454420862789</v>
      </c>
      <c r="Q374" s="7">
        <f t="shared" si="71"/>
        <v>1827.1569131987103</v>
      </c>
      <c r="R374" s="7">
        <f t="shared" si="72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74"/>
        <v>135984</v>
      </c>
      <c r="X374" s="103">
        <f t="shared" si="75"/>
        <v>182336</v>
      </c>
      <c r="Y374" s="103"/>
      <c r="Z374" s="7">
        <v>35931</v>
      </c>
      <c r="AB374" s="2">
        <v>36862</v>
      </c>
      <c r="AC374" s="90">
        <v>134660</v>
      </c>
      <c r="AD374" s="103">
        <f t="shared" si="80"/>
        <v>182336</v>
      </c>
      <c r="AE374" s="64">
        <f t="shared" si="76"/>
        <v>0.24548136046338928</v>
      </c>
      <c r="AF374" s="64">
        <f t="shared" si="77"/>
        <v>0.13140740171990173</v>
      </c>
      <c r="AG374" s="20">
        <f t="shared" si="87"/>
        <v>271.46147111243135</v>
      </c>
      <c r="AH374" s="20">
        <f t="shared" si="88"/>
        <v>276.4264201346233</v>
      </c>
      <c r="AI374" s="20"/>
      <c r="AO374"/>
    </row>
    <row r="375" spans="1:41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7">
        <f t="shared" si="85"/>
        <v>190.81340014112675</v>
      </c>
      <c r="O375" s="7">
        <f>+B375+C375+D375+F375+I375+K375+J375</f>
        <v>3975.0000000000005</v>
      </c>
      <c r="P375" s="7">
        <f t="shared" si="70"/>
        <v>3784.1865998588737</v>
      </c>
      <c r="Q375" s="7">
        <f t="shared" si="71"/>
        <v>1592.2494567370859</v>
      </c>
      <c r="R375" s="7">
        <f t="shared" si="72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74"/>
        <v>110356</v>
      </c>
      <c r="X375" s="103">
        <f t="shared" si="75"/>
        <v>143853</v>
      </c>
      <c r="Y375" s="103"/>
      <c r="Z375" s="7">
        <v>3613</v>
      </c>
      <c r="AB375" s="2">
        <v>20409</v>
      </c>
      <c r="AC375" s="90">
        <v>120557</v>
      </c>
      <c r="AD375" s="103">
        <f t="shared" si="80"/>
        <v>143853</v>
      </c>
      <c r="AE375" s="64">
        <f t="shared" ref="AE375:AE412" si="89">+(Z375/AC375*0.92)</f>
        <v>2.7571688081156634E-2</v>
      </c>
      <c r="AF375" s="64">
        <f t="shared" ref="AF375:AF412" si="90">+(AB375/AD375*0.65)</f>
        <v>9.22180976413422E-2</v>
      </c>
      <c r="AG375" s="20">
        <f t="shared" si="87"/>
        <v>29.062856878212525</v>
      </c>
      <c r="AH375" s="20">
        <f t="shared" si="88"/>
        <v>161.75054326291422</v>
      </c>
      <c r="AI375" s="20"/>
      <c r="AO375" s="7"/>
    </row>
    <row r="376" spans="1:41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7">
        <f t="shared" si="85"/>
        <v>9.181928953985258</v>
      </c>
      <c r="O376" s="7">
        <f t="shared" si="86"/>
        <v>3399.4166666666665</v>
      </c>
      <c r="P376" s="7">
        <f t="shared" si="70"/>
        <v>3390.2347377126812</v>
      </c>
      <c r="Q376" s="7">
        <f t="shared" si="71"/>
        <v>1584.5936245384355</v>
      </c>
      <c r="R376" s="7">
        <f t="shared" si="72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74"/>
        <v>119359</v>
      </c>
      <c r="X376" s="103">
        <f t="shared" si="75"/>
        <v>129090</v>
      </c>
      <c r="Y376" s="103"/>
      <c r="Z376" s="7">
        <v>759</v>
      </c>
      <c r="AB376" s="2">
        <v>374</v>
      </c>
      <c r="AC376" s="90">
        <v>83476</v>
      </c>
      <c r="AD376" s="103">
        <f t="shared" si="80"/>
        <v>129090</v>
      </c>
      <c r="AE376" s="64">
        <f t="shared" si="89"/>
        <v>8.3650390531410223E-3</v>
      </c>
      <c r="AF376" s="64">
        <f t="shared" si="90"/>
        <v>1.8831822759315206E-3</v>
      </c>
      <c r="AG376" s="20">
        <f t="shared" si="87"/>
        <v>6.1922201590876416</v>
      </c>
      <c r="AH376" s="20">
        <f t="shared" si="88"/>
        <v>2.989708794897616</v>
      </c>
      <c r="AI376" s="20"/>
    </row>
    <row r="377" spans="1:41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7" t="e">
        <f t="shared" si="85"/>
        <v>#DIV/0!</v>
      </c>
      <c r="O377" s="7">
        <f t="shared" si="86"/>
        <v>0</v>
      </c>
      <c r="P377" s="7" t="e">
        <f t="shared" si="70"/>
        <v>#DIV/0!</v>
      </c>
      <c r="Q377" s="7" t="e">
        <f t="shared" si="71"/>
        <v>#DIV/0!</v>
      </c>
      <c r="R377" s="7" t="e">
        <f t="shared" si="72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74"/>
        <v>0</v>
      </c>
      <c r="X377" s="103">
        <f t="shared" si="75"/>
        <v>0</v>
      </c>
      <c r="Y377" s="103"/>
      <c r="Z377" s="7">
        <v>0</v>
      </c>
      <c r="AB377" s="2"/>
      <c r="AC377" s="90">
        <v>0</v>
      </c>
      <c r="AD377" s="103">
        <f t="shared" si="80"/>
        <v>0</v>
      </c>
      <c r="AE377" s="64" t="e">
        <f t="shared" si="89"/>
        <v>#DIV/0!</v>
      </c>
      <c r="AF377" s="64" t="e">
        <f t="shared" si="90"/>
        <v>#DIV/0!</v>
      </c>
      <c r="AG377" s="20" t="e">
        <f t="shared" si="87"/>
        <v>#DIV/0!</v>
      </c>
      <c r="AH377" s="20" t="e">
        <f t="shared" si="88"/>
        <v>#DIV/0!</v>
      </c>
      <c r="AI377" s="20"/>
    </row>
    <row r="378" spans="1:41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7">
        <f t="shared" ref="N378:N384" si="91">+AH378+AG378</f>
        <v>21.705092772623221</v>
      </c>
      <c r="O378" s="7">
        <f t="shared" ref="O378:O383" si="92">+B378+C378+D378+F378+I378+K378+J378</f>
        <v>4015.75</v>
      </c>
      <c r="P378" s="7">
        <f t="shared" si="70"/>
        <v>3994.0449072273768</v>
      </c>
      <c r="Q378" s="7">
        <f t="shared" si="71"/>
        <v>1873.2353795143804</v>
      </c>
      <c r="R378" s="7">
        <f t="shared" si="72"/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74"/>
        <v>138180</v>
      </c>
      <c r="X378" s="103">
        <f t="shared" si="75"/>
        <v>146301</v>
      </c>
      <c r="Y378" s="103"/>
      <c r="Z378" s="7">
        <v>1581</v>
      </c>
      <c r="AB378" s="2">
        <v>1187</v>
      </c>
      <c r="AC378" s="90">
        <v>129067</v>
      </c>
      <c r="AD378" s="103">
        <f t="shared" si="80"/>
        <v>146301</v>
      </c>
      <c r="AE378" s="64">
        <f t="shared" si="89"/>
        <v>1.1269495688285929E-2</v>
      </c>
      <c r="AF378" s="64">
        <f t="shared" si="90"/>
        <v>5.2737165159499931E-3</v>
      </c>
      <c r="AG378" s="20">
        <f t="shared" si="87"/>
        <v>11.773805620336724</v>
      </c>
      <c r="AH378" s="20">
        <f t="shared" si="88"/>
        <v>9.9312871522864974</v>
      </c>
      <c r="AI378" s="20"/>
      <c r="AJ378" s="20"/>
    </row>
    <row r="379" spans="1:41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7">
        <f t="shared" si="91"/>
        <v>94.602865690207921</v>
      </c>
      <c r="O379" s="7">
        <f t="shared" si="92"/>
        <v>4271.416666666667</v>
      </c>
      <c r="P379" s="7">
        <f t="shared" si="70"/>
        <v>4176.8138009764589</v>
      </c>
      <c r="Q379" s="7">
        <f t="shared" si="71"/>
        <v>1863.3803141767883</v>
      </c>
      <c r="R379" s="7">
        <f t="shared" si="72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74"/>
        <v>123507</v>
      </c>
      <c r="X379" s="103">
        <f t="shared" si="75"/>
        <v>137664</v>
      </c>
      <c r="Y379" s="103"/>
      <c r="Z379" s="7">
        <v>10300</v>
      </c>
      <c r="AB379" s="2">
        <v>1247</v>
      </c>
      <c r="AC379" s="90">
        <v>134883</v>
      </c>
      <c r="AD379" s="103">
        <f t="shared" si="80"/>
        <v>137664</v>
      </c>
      <c r="AE379" s="64">
        <f t="shared" si="89"/>
        <v>7.0253478941008141E-2</v>
      </c>
      <c r="AF379" s="64">
        <f t="shared" si="90"/>
        <v>5.8878864481636452E-3</v>
      </c>
      <c r="AG379" s="20">
        <f t="shared" si="87"/>
        <v>83.566513200329183</v>
      </c>
      <c r="AH379" s="20">
        <f t="shared" si="88"/>
        <v>11.036352489878741</v>
      </c>
      <c r="AI379" s="20"/>
      <c r="AJ379" s="20"/>
      <c r="AL379" s="2"/>
    </row>
    <row r="380" spans="1:41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7">
        <f t="shared" si="91"/>
        <v>573.72255953846184</v>
      </c>
      <c r="O380" s="7">
        <f t="shared" si="92"/>
        <v>4187.5833333333339</v>
      </c>
      <c r="P380" s="7">
        <f t="shared" si="70"/>
        <v>3613.8607737948714</v>
      </c>
      <c r="Q380" s="7">
        <f t="shared" si="71"/>
        <v>1739.4579955546537</v>
      </c>
      <c r="R380" s="7">
        <f t="shared" si="72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74"/>
        <v>131335</v>
      </c>
      <c r="X380" s="103">
        <f t="shared" si="75"/>
        <v>167516</v>
      </c>
      <c r="Y380" s="103"/>
      <c r="Z380" s="7">
        <v>39523</v>
      </c>
      <c r="AB380" s="2">
        <v>29193</v>
      </c>
      <c r="AC380" s="90">
        <v>121337</v>
      </c>
      <c r="AD380" s="103">
        <f t="shared" si="80"/>
        <v>167516</v>
      </c>
      <c r="AE380" s="64">
        <f t="shared" si="89"/>
        <v>0.2996708341231446</v>
      </c>
      <c r="AF380" s="64">
        <f t="shared" si="90"/>
        <v>0.11327544831538482</v>
      </c>
      <c r="AG380" s="20">
        <f t="shared" si="87"/>
        <v>351.5138884264486</v>
      </c>
      <c r="AH380" s="20">
        <f t="shared" si="88"/>
        <v>222.20867111201323</v>
      </c>
      <c r="AI380" s="20"/>
      <c r="AJ380" s="20"/>
      <c r="AL380" s="2"/>
    </row>
    <row r="381" spans="1:41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7">
        <f t="shared" si="91"/>
        <v>163.20646127254653</v>
      </c>
      <c r="O381" s="7">
        <f t="shared" si="92"/>
        <v>4188.25</v>
      </c>
      <c r="P381" s="7">
        <f t="shared" si="70"/>
        <v>4025.0435387274529</v>
      </c>
      <c r="Q381" s="7">
        <f t="shared" si="71"/>
        <v>1475.4351565927122</v>
      </c>
      <c r="R381" s="7">
        <f t="shared" si="72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74"/>
        <v>120512</v>
      </c>
      <c r="X381" s="103">
        <f t="shared" si="75"/>
        <v>150454</v>
      </c>
      <c r="Y381" s="103"/>
      <c r="Z381" s="7">
        <v>1587</v>
      </c>
      <c r="AB381" s="2">
        <v>20948</v>
      </c>
      <c r="AC381" s="90">
        <v>106486</v>
      </c>
      <c r="AD381" s="103">
        <f t="shared" si="80"/>
        <v>150454</v>
      </c>
      <c r="AE381" s="64">
        <f t="shared" si="89"/>
        <v>1.3711098172529723E-2</v>
      </c>
      <c r="AF381" s="64">
        <f t="shared" si="90"/>
        <v>9.0500751060124701E-2</v>
      </c>
      <c r="AG381" s="20">
        <f t="shared" si="87"/>
        <v>16.391617865259285</v>
      </c>
      <c r="AH381" s="20">
        <f t="shared" si="88"/>
        <v>146.81484340728724</v>
      </c>
      <c r="AI381" s="20"/>
      <c r="AJ381" s="20"/>
      <c r="AL381" s="2"/>
    </row>
    <row r="382" spans="1:41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7">
        <f t="shared" si="91"/>
        <v>10.062206652141146</v>
      </c>
      <c r="O382" s="7">
        <f t="shared" si="92"/>
        <v>4084.25</v>
      </c>
      <c r="P382" s="7">
        <f t="shared" si="70"/>
        <v>4074.187793347859</v>
      </c>
      <c r="Q382" s="7">
        <f t="shared" si="71"/>
        <v>1331.1970870840066</v>
      </c>
      <c r="R382" s="7">
        <f t="shared" si="72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74"/>
        <v>104974</v>
      </c>
      <c r="X382" s="103">
        <f t="shared" si="75"/>
        <v>116979</v>
      </c>
      <c r="Y382" s="103"/>
      <c r="Z382" s="7">
        <v>694</v>
      </c>
      <c r="AB382" s="2">
        <v>423</v>
      </c>
      <c r="AC382" s="90">
        <v>112045</v>
      </c>
      <c r="AD382" s="103">
        <f>+X382</f>
        <v>116979</v>
      </c>
      <c r="AE382" s="64">
        <f t="shared" si="89"/>
        <v>5.698424740059797E-3</v>
      </c>
      <c r="AF382" s="64">
        <f t="shared" si="90"/>
        <v>2.3504218705921575E-3</v>
      </c>
      <c r="AG382" s="20">
        <f t="shared" si="87"/>
        <v>6.9259604028143444</v>
      </c>
      <c r="AH382" s="20">
        <f t="shared" si="88"/>
        <v>3.1362462493268026</v>
      </c>
      <c r="AI382" s="20"/>
      <c r="AJ382" s="20"/>
      <c r="AL382" s="2"/>
    </row>
    <row r="383" spans="1:41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7">
        <f t="shared" si="91"/>
        <v>3.3838195569386933</v>
      </c>
      <c r="O383" s="7">
        <f t="shared" si="92"/>
        <v>4041.583333333333</v>
      </c>
      <c r="P383" s="7">
        <f t="shared" si="70"/>
        <v>4038.1995137763943</v>
      </c>
      <c r="Q383" s="7">
        <f t="shared" si="71"/>
        <v>1359.486875064784</v>
      </c>
      <c r="R383" s="7">
        <f t="shared" si="72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74"/>
        <v>101156</v>
      </c>
      <c r="X383" s="103">
        <f t="shared" si="75"/>
        <v>109338</v>
      </c>
      <c r="Y383" s="103"/>
      <c r="Z383" s="7">
        <v>101</v>
      </c>
      <c r="AB383" s="2">
        <v>259</v>
      </c>
      <c r="AC383" s="90">
        <v>90097</v>
      </c>
      <c r="AD383" s="103">
        <f t="shared" si="80"/>
        <v>109338</v>
      </c>
      <c r="AE383" s="64">
        <f t="shared" si="89"/>
        <v>1.031332896766818E-3</v>
      </c>
      <c r="AF383" s="64">
        <f t="shared" si="90"/>
        <v>1.5397208655728108E-3</v>
      </c>
      <c r="AG383" s="20">
        <f t="shared" si="87"/>
        <v>1.2873612883891803</v>
      </c>
      <c r="AH383" s="20">
        <f t="shared" si="88"/>
        <v>2.096458268549513</v>
      </c>
      <c r="AI383" s="20"/>
      <c r="AJ383" s="20"/>
      <c r="AL383" s="2"/>
    </row>
    <row r="384" spans="1:41">
      <c r="A384" s="28">
        <v>46040</v>
      </c>
      <c r="N384" s="107" t="e">
        <f t="shared" si="91"/>
        <v>#DIV/0!</v>
      </c>
      <c r="O384" s="7">
        <f t="shared" ref="O384:O415" si="93">+B384+C384+D384+F384+I384+K384+J384</f>
        <v>0</v>
      </c>
      <c r="P384" s="7" t="e">
        <f t="shared" si="70"/>
        <v>#DIV/0!</v>
      </c>
      <c r="Q384" s="7" t="e">
        <f t="shared" si="71"/>
        <v>#DIV/0!</v>
      </c>
      <c r="R384" s="7" t="e">
        <f t="shared" si="72"/>
        <v>#DIV/0!</v>
      </c>
      <c r="T384" s="7"/>
      <c r="V384" s="7"/>
      <c r="W384" s="7">
        <f t="shared" si="74"/>
        <v>0</v>
      </c>
      <c r="X384" s="103">
        <f t="shared" si="75"/>
        <v>0</v>
      </c>
      <c r="Y384" s="103"/>
      <c r="AB384" s="2"/>
      <c r="AC384" s="90"/>
      <c r="AD384" s="103"/>
      <c r="AE384" s="64" t="e">
        <f t="shared" si="89"/>
        <v>#DIV/0!</v>
      </c>
      <c r="AF384" s="64" t="e">
        <f t="shared" si="90"/>
        <v>#DIV/0!</v>
      </c>
      <c r="AG384" s="20" t="e">
        <f t="shared" si="87"/>
        <v>#DIV/0!</v>
      </c>
      <c r="AH384" s="20" t="e">
        <f t="shared" si="88"/>
        <v>#DIV/0!</v>
      </c>
      <c r="AL384" s="2"/>
    </row>
    <row r="385" spans="1:35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7">
        <f t="shared" ref="N385:N415" si="94">+AH385+AG385</f>
        <v>0</v>
      </c>
      <c r="O385" s="7">
        <f t="shared" si="93"/>
        <v>3709.6666666666665</v>
      </c>
      <c r="P385" s="7">
        <f t="shared" si="70"/>
        <v>3709.6666666666665</v>
      </c>
      <c r="Q385" s="7">
        <f t="shared" si="71"/>
        <v>1571.3333333333333</v>
      </c>
      <c r="R385" s="7">
        <f t="shared" si="72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74"/>
        <v>121889</v>
      </c>
      <c r="X385" s="103">
        <f t="shared" si="75"/>
        <v>128127</v>
      </c>
      <c r="Y385" s="103"/>
      <c r="AB385" s="2"/>
      <c r="AC385" s="90">
        <v>116390</v>
      </c>
      <c r="AD385" s="103">
        <f t="shared" si="80"/>
        <v>128127</v>
      </c>
      <c r="AE385" s="64">
        <f t="shared" si="89"/>
        <v>0</v>
      </c>
      <c r="AF385" s="64">
        <f t="shared" si="90"/>
        <v>0</v>
      </c>
      <c r="AG385" s="20">
        <f t="shared" si="87"/>
        <v>0</v>
      </c>
      <c r="AH385" s="20">
        <f t="shared" si="88"/>
        <v>0</v>
      </c>
      <c r="AI385" s="20"/>
    </row>
    <row r="386" spans="1:35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7">
        <f t="shared" si="94"/>
        <v>44.777133818039957</v>
      </c>
      <c r="O386" s="7">
        <f t="shared" si="93"/>
        <v>4002.25</v>
      </c>
      <c r="P386" s="7">
        <f t="shared" ref="P386:P425" si="95">+B386+C386+D386+F386+J386+Q386+R386</f>
        <v>3957.4728661819599</v>
      </c>
      <c r="Q386" s="7">
        <f t="shared" ref="Q386:Q425" si="96">+I386-AH386</f>
        <v>1526.9166666666665</v>
      </c>
      <c r="R386" s="7">
        <f t="shared" ref="R386:R425" si="97">+K386-AG386</f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74"/>
        <v>116025</v>
      </c>
      <c r="X386" s="103">
        <f t="shared" si="75"/>
        <v>131650</v>
      </c>
      <c r="Y386" s="103"/>
      <c r="Z386" s="7">
        <v>5800</v>
      </c>
      <c r="AB386" s="2"/>
      <c r="AC386" s="90">
        <v>124749</v>
      </c>
      <c r="AD386" s="103">
        <f t="shared" si="80"/>
        <v>131650</v>
      </c>
      <c r="AE386" s="64">
        <f t="shared" si="89"/>
        <v>4.2773889971061893E-2</v>
      </c>
      <c r="AF386" s="64">
        <f t="shared" si="90"/>
        <v>0</v>
      </c>
      <c r="AG386" s="20">
        <f t="shared" si="87"/>
        <v>44.777133818039957</v>
      </c>
      <c r="AH386" s="20">
        <f t="shared" si="88"/>
        <v>0</v>
      </c>
      <c r="AI386" s="20"/>
    </row>
    <row r="387" spans="1:35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7">
        <f t="shared" si="94"/>
        <v>191.21106029032566</v>
      </c>
      <c r="O387" s="7">
        <f>+B387+C387+D387+F387+I387+K387+J387</f>
        <v>4010.416666666667</v>
      </c>
      <c r="P387" s="7">
        <f t="shared" si="95"/>
        <v>3819.2056063763412</v>
      </c>
      <c r="Q387" s="7">
        <f t="shared" si="96"/>
        <v>1460.6281198172014</v>
      </c>
      <c r="R387" s="7">
        <f t="shared" si="97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ref="W387:W450" si="98">+V387-U387-S387+AA387</f>
        <v>113024</v>
      </c>
      <c r="X387" s="103">
        <f t="shared" ref="X387:X450" si="99">+V387+AB387+AA387</f>
        <v>137273</v>
      </c>
      <c r="Y387" s="103"/>
      <c r="Z387" s="7">
        <v>14999</v>
      </c>
      <c r="AB387" s="2">
        <v>10374</v>
      </c>
      <c r="AC387" s="90">
        <v>140368</v>
      </c>
      <c r="AD387" s="103">
        <f>+X387</f>
        <v>137273</v>
      </c>
      <c r="AE387" s="64">
        <f t="shared" si="89"/>
        <v>9.8306451612903231E-2</v>
      </c>
      <c r="AF387" s="64">
        <f t="shared" si="90"/>
        <v>4.9121822936775625E-2</v>
      </c>
      <c r="AG387" s="20">
        <f t="shared" si="87"/>
        <v>115.75584677419356</v>
      </c>
      <c r="AH387" s="20">
        <f t="shared" si="88"/>
        <v>75.455213516132105</v>
      </c>
      <c r="AI387" s="20"/>
    </row>
    <row r="388" spans="1:35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7">
        <f t="shared" si="94"/>
        <v>308.14955442240193</v>
      </c>
      <c r="O388" s="7">
        <f t="shared" si="93"/>
        <v>4018.3333333333326</v>
      </c>
      <c r="P388" s="7">
        <f t="shared" si="95"/>
        <v>3710.1837789109313</v>
      </c>
      <c r="Q388" s="7">
        <f t="shared" si="96"/>
        <v>1528.9532487780739</v>
      </c>
      <c r="R388" s="7">
        <f t="shared" si="97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98"/>
        <v>114559</v>
      </c>
      <c r="X388" s="103">
        <f t="shared" si="99"/>
        <v>132714</v>
      </c>
      <c r="Y388" s="103"/>
      <c r="Z388" s="7">
        <v>29306</v>
      </c>
      <c r="AB388" s="2">
        <v>9775</v>
      </c>
      <c r="AC388" s="90">
        <v>138896</v>
      </c>
      <c r="AD388" s="103">
        <f t="shared" si="80"/>
        <v>132714</v>
      </c>
      <c r="AE388" s="64">
        <f t="shared" si="89"/>
        <v>0.1941130054141228</v>
      </c>
      <c r="AF388" s="64">
        <f t="shared" si="90"/>
        <v>4.7875506728755068E-2</v>
      </c>
      <c r="AG388" s="20">
        <f t="shared" si="87"/>
        <v>231.26946986714276</v>
      </c>
      <c r="AH388" s="20">
        <f t="shared" si="88"/>
        <v>76.88008455525916</v>
      </c>
      <c r="AI388" s="20"/>
    </row>
    <row r="389" spans="1:35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7">
        <f t="shared" si="94"/>
        <v>471.57261832909575</v>
      </c>
      <c r="O389" s="7">
        <f t="shared" si="93"/>
        <v>4020.7500000000005</v>
      </c>
      <c r="P389" s="7">
        <f t="shared" si="95"/>
        <v>3549.1773816709047</v>
      </c>
      <c r="Q389" s="7">
        <f t="shared" si="96"/>
        <v>1465.1184311467985</v>
      </c>
      <c r="R389" s="7">
        <f t="shared" si="97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98"/>
        <v>120807</v>
      </c>
      <c r="X389" s="103">
        <f t="shared" si="99"/>
        <v>168501</v>
      </c>
      <c r="Y389" s="103"/>
      <c r="Z389" s="7">
        <v>27425</v>
      </c>
      <c r="AB389" s="2">
        <v>38714</v>
      </c>
      <c r="AC389" s="90">
        <v>142433</v>
      </c>
      <c r="AD389" s="103">
        <f t="shared" si="80"/>
        <v>168501</v>
      </c>
      <c r="AE389" s="64">
        <f t="shared" si="89"/>
        <v>0.17714293738108447</v>
      </c>
      <c r="AF389" s="64">
        <f t="shared" si="90"/>
        <v>0.14934095346615156</v>
      </c>
      <c r="AG389" s="20">
        <f t="shared" si="87"/>
        <v>214.35771614256066</v>
      </c>
      <c r="AH389" s="20">
        <f t="shared" si="88"/>
        <v>257.21490218653508</v>
      </c>
      <c r="AI389" s="20"/>
    </row>
    <row r="390" spans="1:35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7">
        <f t="shared" si="94"/>
        <v>63.825439243760485</v>
      </c>
      <c r="O390" s="7">
        <f t="shared" si="93"/>
        <v>3871.4166666666674</v>
      </c>
      <c r="P390" s="7">
        <f t="shared" si="95"/>
        <v>3807.5912274229067</v>
      </c>
      <c r="Q390" s="7">
        <f t="shared" si="96"/>
        <v>1748.5912274229065</v>
      </c>
      <c r="R390" s="7">
        <f t="shared" si="97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98"/>
        <v>124176</v>
      </c>
      <c r="X390" s="103">
        <f t="shared" si="99"/>
        <v>140943</v>
      </c>
      <c r="Y390" s="103"/>
      <c r="AB390" s="2">
        <v>7636</v>
      </c>
      <c r="AC390" s="90">
        <v>94887</v>
      </c>
      <c r="AD390" s="103">
        <f t="shared" si="80"/>
        <v>140943</v>
      </c>
      <c r="AE390" s="64">
        <f t="shared" si="89"/>
        <v>0</v>
      </c>
      <c r="AF390" s="64">
        <f t="shared" si="90"/>
        <v>3.5215654555387638E-2</v>
      </c>
      <c r="AG390" s="20">
        <f t="shared" si="87"/>
        <v>0</v>
      </c>
      <c r="AH390" s="20">
        <f t="shared" si="88"/>
        <v>63.825439243760485</v>
      </c>
      <c r="AI390" s="20"/>
    </row>
    <row r="391" spans="1:35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7" t="e">
        <f t="shared" si="94"/>
        <v>#DIV/0!</v>
      </c>
      <c r="O391" s="7">
        <f t="shared" si="93"/>
        <v>0</v>
      </c>
      <c r="P391" s="7" t="e">
        <f t="shared" si="95"/>
        <v>#DIV/0!</v>
      </c>
      <c r="Q391" s="7" t="e">
        <f t="shared" si="96"/>
        <v>#DIV/0!</v>
      </c>
      <c r="R391" s="7" t="e">
        <f t="shared" si="97"/>
        <v>#DIV/0!</v>
      </c>
      <c r="V391"/>
      <c r="W391" s="7">
        <f t="shared" si="98"/>
        <v>0</v>
      </c>
      <c r="X391" s="103">
        <f t="shared" si="99"/>
        <v>0</v>
      </c>
      <c r="Y391" s="103"/>
      <c r="AB391" s="2"/>
      <c r="AC391" s="162"/>
      <c r="AD391" s="103">
        <f t="shared" si="80"/>
        <v>0</v>
      </c>
      <c r="AE391" s="64" t="e">
        <f t="shared" si="89"/>
        <v>#DIV/0!</v>
      </c>
      <c r="AF391" s="64" t="e">
        <f t="shared" si="90"/>
        <v>#DIV/0!</v>
      </c>
      <c r="AG391" s="20" t="e">
        <f t="shared" si="87"/>
        <v>#DIV/0!</v>
      </c>
      <c r="AH391" s="20" t="e">
        <f t="shared" si="88"/>
        <v>#DIV/0!</v>
      </c>
      <c r="AI391" s="20"/>
    </row>
    <row r="392" spans="1:35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7">
        <f t="shared" si="94"/>
        <v>70.911079706048611</v>
      </c>
      <c r="O392" s="7">
        <f t="shared" si="93"/>
        <v>3907.666666666667</v>
      </c>
      <c r="P392" s="7">
        <f t="shared" si="95"/>
        <v>3836.7555869606181</v>
      </c>
      <c r="Q392" s="7">
        <f t="shared" si="96"/>
        <v>1471.0889202939513</v>
      </c>
      <c r="R392" s="7">
        <f t="shared" si="97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98"/>
        <v>116110</v>
      </c>
      <c r="X392" s="103">
        <f t="shared" si="99"/>
        <v>137982</v>
      </c>
      <c r="Y392" s="103"/>
      <c r="AB392" s="2">
        <v>9762</v>
      </c>
      <c r="AC392" s="78">
        <v>132874</v>
      </c>
      <c r="AD392" s="103">
        <f t="shared" si="80"/>
        <v>137982</v>
      </c>
      <c r="AE392" s="64">
        <f t="shared" si="89"/>
        <v>0</v>
      </c>
      <c r="AF392" s="64">
        <f t="shared" si="90"/>
        <v>4.5986433013001697E-2</v>
      </c>
      <c r="AG392" s="20">
        <f t="shared" si="87"/>
        <v>0</v>
      </c>
      <c r="AH392" s="20">
        <f t="shared" si="88"/>
        <v>70.911079706048611</v>
      </c>
      <c r="AI392" s="20"/>
    </row>
    <row r="393" spans="1:35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7">
        <f t="shared" si="94"/>
        <v>77.392461030053639</v>
      </c>
      <c r="O393" s="7">
        <f>+B393+C393+D393+F393+I393+K393+J393</f>
        <v>3993.833333333333</v>
      </c>
      <c r="P393" s="7">
        <f t="shared" si="95"/>
        <v>3916.4408723032793</v>
      </c>
      <c r="Q393" s="7">
        <f t="shared" si="96"/>
        <v>1685.5</v>
      </c>
      <c r="R393" s="7">
        <f t="shared" si="97"/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98"/>
        <v>134566</v>
      </c>
      <c r="X393" s="103">
        <f t="shared" si="99"/>
        <v>144881</v>
      </c>
      <c r="Y393" s="103"/>
      <c r="Z393" s="7">
        <v>8929</v>
      </c>
      <c r="AB393" s="2"/>
      <c r="AC393" s="78">
        <v>122958</v>
      </c>
      <c r="AD393" s="103">
        <f t="shared" si="80"/>
        <v>144881</v>
      </c>
      <c r="AE393" s="64">
        <f t="shared" si="89"/>
        <v>6.6808829031051259E-2</v>
      </c>
      <c r="AF393" s="64">
        <f t="shared" si="90"/>
        <v>0</v>
      </c>
      <c r="AG393" s="20">
        <f t="shared" si="87"/>
        <v>77.392461030053639</v>
      </c>
      <c r="AH393" s="20">
        <f t="shared" si="88"/>
        <v>0</v>
      </c>
      <c r="AI393" s="20"/>
    </row>
    <row r="394" spans="1:35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7">
        <f t="shared" si="94"/>
        <v>797.47201096140816</v>
      </c>
      <c r="O394" s="7">
        <f t="shared" si="93"/>
        <v>4189.625</v>
      </c>
      <c r="P394" s="7">
        <f t="shared" si="95"/>
        <v>3392.1529890385918</v>
      </c>
      <c r="Q394" s="7">
        <f t="shared" si="96"/>
        <v>1611.7167537908276</v>
      </c>
      <c r="R394" s="7">
        <f t="shared" si="97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98"/>
        <v>131774</v>
      </c>
      <c r="X394" s="103">
        <f t="shared" si="99"/>
        <v>179820</v>
      </c>
      <c r="Y394" s="103"/>
      <c r="Z394" s="7">
        <v>67677</v>
      </c>
      <c r="AB394" s="2">
        <v>37100</v>
      </c>
      <c r="AC394" s="78">
        <v>145091</v>
      </c>
      <c r="AD394" s="103">
        <f>+X394</f>
        <v>179820</v>
      </c>
      <c r="AE394" s="64">
        <f t="shared" si="89"/>
        <v>0.42912958074587676</v>
      </c>
      <c r="AF394" s="64">
        <f t="shared" si="90"/>
        <v>0.13410632855077301</v>
      </c>
      <c r="AG394" s="20">
        <f t="shared" si="87"/>
        <v>547.85543141890264</v>
      </c>
      <c r="AH394" s="20">
        <f t="shared" si="88"/>
        <v>249.61657954250546</v>
      </c>
      <c r="AI394" s="20"/>
    </row>
    <row r="395" spans="1:35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7">
        <f t="shared" si="94"/>
        <v>291.93381925149492</v>
      </c>
      <c r="O395" s="7">
        <f t="shared" si="93"/>
        <v>3994.7916666666665</v>
      </c>
      <c r="P395" s="7">
        <f t="shared" si="95"/>
        <v>3702.8578474151718</v>
      </c>
      <c r="Q395" s="7">
        <f t="shared" si="96"/>
        <v>1583.2730252241759</v>
      </c>
      <c r="R395" s="7">
        <f t="shared" si="97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98"/>
        <v>116367</v>
      </c>
      <c r="X395" s="103">
        <f t="shared" si="99"/>
        <v>160514</v>
      </c>
      <c r="Y395" s="103"/>
      <c r="Z395" s="7">
        <v>144</v>
      </c>
      <c r="AB395" s="2">
        <v>38301</v>
      </c>
      <c r="AC395" s="78">
        <v>111018</v>
      </c>
      <c r="AD395" s="103">
        <f t="shared" si="80"/>
        <v>160514</v>
      </c>
      <c r="AE395" s="64">
        <f t="shared" si="89"/>
        <v>1.1933200021618116E-3</v>
      </c>
      <c r="AF395" s="64">
        <f t="shared" si="90"/>
        <v>0.15509955517898749</v>
      </c>
      <c r="AG395" s="20">
        <f t="shared" si="87"/>
        <v>1.2901778090039451</v>
      </c>
      <c r="AH395" s="20">
        <f t="shared" si="88"/>
        <v>290.643641442491</v>
      </c>
      <c r="AI395" s="20"/>
    </row>
    <row r="396" spans="1:35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7">
        <f t="shared" si="94"/>
        <v>0</v>
      </c>
      <c r="O396" s="7">
        <f t="shared" si="93"/>
        <v>3845.458333333333</v>
      </c>
      <c r="P396" s="7">
        <f t="shared" si="95"/>
        <v>3845.458333333333</v>
      </c>
      <c r="Q396" s="7">
        <f t="shared" si="96"/>
        <v>1535.1666666666665</v>
      </c>
      <c r="R396" s="7">
        <f t="shared" si="97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98"/>
        <v>93184</v>
      </c>
      <c r="X396" s="103">
        <f t="shared" si="99"/>
        <v>102208</v>
      </c>
      <c r="Y396" s="103"/>
      <c r="AB396" s="2"/>
      <c r="AC396" s="78">
        <v>71995</v>
      </c>
      <c r="AD396" s="103">
        <f t="shared" si="80"/>
        <v>102208</v>
      </c>
      <c r="AE396" s="64">
        <f t="shared" si="89"/>
        <v>0</v>
      </c>
      <c r="AF396" s="64">
        <f t="shared" si="90"/>
        <v>0</v>
      </c>
      <c r="AG396" s="20">
        <f t="shared" si="87"/>
        <v>0</v>
      </c>
      <c r="AH396" s="20">
        <f t="shared" si="88"/>
        <v>0</v>
      </c>
      <c r="AI396" s="20"/>
    </row>
    <row r="397" spans="1:35" s="202" customFormat="1">
      <c r="A397" s="193">
        <v>46053</v>
      </c>
      <c r="B397" s="194">
        <v>202.5</v>
      </c>
      <c r="C397" s="194">
        <v>336.66666666666669</v>
      </c>
      <c r="D397" s="194">
        <v>91.416666666666671</v>
      </c>
      <c r="E397" s="194">
        <v>351.91666666666669</v>
      </c>
      <c r="F397" s="194">
        <v>221.08333333333334</v>
      </c>
      <c r="G397" s="194">
        <v>0</v>
      </c>
      <c r="H397" s="194">
        <v>30</v>
      </c>
      <c r="I397" s="194">
        <v>1950.4166666666665</v>
      </c>
      <c r="J397" s="194">
        <v>97.5</v>
      </c>
      <c r="K397" s="194">
        <v>968.08333333333326</v>
      </c>
      <c r="L397" s="194">
        <v>117.83333333333334</v>
      </c>
      <c r="M397" s="194">
        <v>294.91666666666669</v>
      </c>
      <c r="N397" s="195">
        <f t="shared" si="94"/>
        <v>0</v>
      </c>
      <c r="O397" s="196">
        <f t="shared" si="93"/>
        <v>3867.6666666666661</v>
      </c>
      <c r="P397" s="196">
        <f t="shared" si="95"/>
        <v>3867.6666666666661</v>
      </c>
      <c r="Q397" s="196">
        <f t="shared" si="96"/>
        <v>1950.4166666666665</v>
      </c>
      <c r="R397" s="196">
        <f t="shared" si="97"/>
        <v>968.08333333333326</v>
      </c>
      <c r="S397" s="196">
        <v>4953</v>
      </c>
      <c r="T397" s="196">
        <v>7836</v>
      </c>
      <c r="U397" s="196">
        <v>1492</v>
      </c>
      <c r="V397" s="196">
        <v>97072</v>
      </c>
      <c r="W397" s="7">
        <f t="shared" si="98"/>
        <v>90627</v>
      </c>
      <c r="X397" s="103">
        <f t="shared" si="99"/>
        <v>97072</v>
      </c>
      <c r="Y397" s="103"/>
      <c r="Z397" s="203"/>
      <c r="AA397" s="203"/>
      <c r="AB397" s="203"/>
      <c r="AC397" s="204">
        <v>79834</v>
      </c>
      <c r="AD397" s="197">
        <f t="shared" si="80"/>
        <v>97072</v>
      </c>
      <c r="AE397" s="200">
        <f t="shared" si="89"/>
        <v>0</v>
      </c>
      <c r="AF397" s="200">
        <f t="shared" si="90"/>
        <v>0</v>
      </c>
      <c r="AG397" s="201">
        <f t="shared" si="87"/>
        <v>0</v>
      </c>
      <c r="AH397" s="201">
        <f t="shared" si="88"/>
        <v>0</v>
      </c>
      <c r="AI397" s="201"/>
    </row>
    <row r="398" spans="1:35">
      <c r="A398" s="28">
        <v>46054</v>
      </c>
      <c r="N398" s="107" t="e">
        <f t="shared" si="94"/>
        <v>#DIV/0!</v>
      </c>
      <c r="O398" s="7">
        <f t="shared" si="93"/>
        <v>0</v>
      </c>
      <c r="P398" s="7" t="e">
        <f t="shared" si="95"/>
        <v>#DIV/0!</v>
      </c>
      <c r="Q398" s="7" t="e">
        <f t="shared" si="96"/>
        <v>#DIV/0!</v>
      </c>
      <c r="R398" s="7" t="e">
        <f t="shared" si="97"/>
        <v>#DIV/0!</v>
      </c>
      <c r="T398" s="7"/>
      <c r="U398" s="7"/>
      <c r="V398" s="7"/>
      <c r="W398" s="7">
        <f t="shared" si="98"/>
        <v>0</v>
      </c>
      <c r="X398" s="103">
        <f t="shared" si="99"/>
        <v>0</v>
      </c>
      <c r="Y398" s="103"/>
      <c r="AB398" s="74"/>
      <c r="AC398" s="112"/>
      <c r="AD398" s="103"/>
      <c r="AE398" s="64" t="e">
        <f t="shared" si="89"/>
        <v>#DIV/0!</v>
      </c>
      <c r="AF398" s="64" t="e">
        <f t="shared" si="90"/>
        <v>#DIV/0!</v>
      </c>
      <c r="AG398" s="20" t="e">
        <f t="shared" si="87"/>
        <v>#DIV/0!</v>
      </c>
      <c r="AH398" s="20" t="e">
        <f t="shared" si="88"/>
        <v>#DIV/0!</v>
      </c>
    </row>
    <row r="399" spans="1:35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7">
        <f t="shared" si="94"/>
        <v>43.679033149171268</v>
      </c>
      <c r="O399" s="7">
        <f t="shared" si="93"/>
        <v>4194.25</v>
      </c>
      <c r="P399" s="7">
        <f t="shared" si="95"/>
        <v>4150.5709668508289</v>
      </c>
      <c r="Q399" s="7">
        <f t="shared" si="96"/>
        <v>1566.6666666666665</v>
      </c>
      <c r="R399" s="7">
        <f t="shared" si="97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98"/>
        <v>108296</v>
      </c>
      <c r="X399" s="103">
        <f t="shared" si="99"/>
        <v>123248</v>
      </c>
      <c r="Y399" s="103"/>
      <c r="Z399" s="7">
        <v>5635</v>
      </c>
      <c r="AC399" s="78">
        <v>141180</v>
      </c>
      <c r="AD399" s="103">
        <f t="shared" si="80"/>
        <v>123248</v>
      </c>
      <c r="AE399" s="64">
        <f t="shared" si="89"/>
        <v>3.6720498654200309E-2</v>
      </c>
      <c r="AF399" s="64">
        <f t="shared" si="90"/>
        <v>0</v>
      </c>
      <c r="AG399" s="20">
        <f t="shared" si="87"/>
        <v>43.679033149171268</v>
      </c>
      <c r="AH399" s="20">
        <f t="shared" si="88"/>
        <v>0</v>
      </c>
    </row>
    <row r="400" spans="1:35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7">
        <f t="shared" si="94"/>
        <v>260.32949522119253</v>
      </c>
      <c r="O400" s="7">
        <f t="shared" si="93"/>
        <v>4099</v>
      </c>
      <c r="P400" s="7">
        <f t="shared" si="95"/>
        <v>3838.6705047788073</v>
      </c>
      <c r="Q400" s="7">
        <f t="shared" si="96"/>
        <v>1585.4836860184419</v>
      </c>
      <c r="R400" s="7">
        <f t="shared" si="97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98"/>
        <v>118616</v>
      </c>
      <c r="X400" s="103">
        <f t="shared" si="99"/>
        <v>142502</v>
      </c>
      <c r="Y400" s="103"/>
      <c r="Z400" s="7">
        <v>18130</v>
      </c>
      <c r="AB400" s="2">
        <v>13162</v>
      </c>
      <c r="AC400" s="78">
        <v>103708</v>
      </c>
      <c r="AD400" s="103">
        <f t="shared" si="80"/>
        <v>142502</v>
      </c>
      <c r="AE400" s="64">
        <f t="shared" si="89"/>
        <v>0.16083233694604082</v>
      </c>
      <c r="AF400" s="64">
        <f t="shared" si="90"/>
        <v>6.0036350367012402E-2</v>
      </c>
      <c r="AG400" s="20">
        <f t="shared" si="87"/>
        <v>159.06318123963436</v>
      </c>
      <c r="AH400" s="20">
        <f t="shared" si="88"/>
        <v>101.26631398155817</v>
      </c>
    </row>
    <row r="401" spans="1:35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7">
        <f t="shared" si="94"/>
        <v>508.37974551621608</v>
      </c>
      <c r="O401" s="7">
        <f t="shared" si="93"/>
        <v>4026.0833333333335</v>
      </c>
      <c r="P401" s="7">
        <f t="shared" si="95"/>
        <v>3517.7035878171173</v>
      </c>
      <c r="Q401" s="7">
        <f t="shared" si="96"/>
        <v>1382.4292948226794</v>
      </c>
      <c r="R401" s="7">
        <f t="shared" si="97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98"/>
        <v>84131</v>
      </c>
      <c r="X401" s="103">
        <f t="shared" si="99"/>
        <v>118768</v>
      </c>
      <c r="Y401" s="103"/>
      <c r="Z401" s="7">
        <v>32112</v>
      </c>
      <c r="AB401" s="2">
        <v>29561</v>
      </c>
      <c r="AC401" s="78">
        <v>147302</v>
      </c>
      <c r="AD401" s="103">
        <f t="shared" si="80"/>
        <v>118768</v>
      </c>
      <c r="AE401" s="64">
        <f t="shared" si="89"/>
        <v>0.20056102429023367</v>
      </c>
      <c r="AF401" s="64">
        <f t="shared" si="90"/>
        <v>0.16178305604203153</v>
      </c>
      <c r="AG401" s="20">
        <f t="shared" si="87"/>
        <v>241.55904033889558</v>
      </c>
      <c r="AH401" s="20">
        <f t="shared" si="88"/>
        <v>266.82070517732052</v>
      </c>
    </row>
    <row r="402" spans="1:35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7">
        <f t="shared" si="94"/>
        <v>520.06947307697328</v>
      </c>
      <c r="O402" s="7">
        <f t="shared" si="93"/>
        <v>4044.2499999999995</v>
      </c>
      <c r="P402" s="7">
        <f t="shared" si="95"/>
        <v>3524.1805269230267</v>
      </c>
      <c r="Q402" s="7">
        <f t="shared" si="96"/>
        <v>1312.4177431142002</v>
      </c>
      <c r="R402" s="7">
        <f t="shared" si="97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 t="shared" si="98"/>
        <v>113258</v>
      </c>
      <c r="X402" s="103">
        <f t="shared" si="99"/>
        <v>153940</v>
      </c>
      <c r="Y402" s="103"/>
      <c r="Z402" s="7">
        <v>45815</v>
      </c>
      <c r="AB402" s="2">
        <v>25926</v>
      </c>
      <c r="AC402" s="78">
        <v>140661</v>
      </c>
      <c r="AD402" s="103">
        <f t="shared" si="80"/>
        <v>153940</v>
      </c>
      <c r="AE402" s="64">
        <f t="shared" si="89"/>
        <v>0.29965519938006985</v>
      </c>
      <c r="AF402" s="64">
        <f t="shared" si="90"/>
        <v>0.10947057295050019</v>
      </c>
      <c r="AG402" s="20">
        <f t="shared" si="87"/>
        <v>358.73721619117356</v>
      </c>
      <c r="AH402" s="20">
        <f t="shared" si="88"/>
        <v>161.33225688579967</v>
      </c>
    </row>
    <row r="403" spans="1:35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7">
        <f t="shared" si="94"/>
        <v>216.2986582673569</v>
      </c>
      <c r="O403" s="7">
        <f t="shared" si="93"/>
        <v>4067.333333333333</v>
      </c>
      <c r="P403" s="7">
        <f t="shared" si="95"/>
        <v>3851.0346750659764</v>
      </c>
      <c r="Q403" s="7">
        <f t="shared" si="96"/>
        <v>1374.4513417326432</v>
      </c>
      <c r="R403" s="7">
        <f t="shared" si="97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98"/>
        <v>100923</v>
      </c>
      <c r="X403" s="103">
        <f t="shared" si="99"/>
        <v>137928</v>
      </c>
      <c r="Y403" s="103"/>
      <c r="AB403" s="2">
        <v>28853</v>
      </c>
      <c r="AC403" s="78">
        <v>75885</v>
      </c>
      <c r="AD403" s="103">
        <f t="shared" si="80"/>
        <v>137928</v>
      </c>
      <c r="AE403" s="64">
        <f t="shared" si="89"/>
        <v>0</v>
      </c>
      <c r="AF403" s="64">
        <f t="shared" si="90"/>
        <v>0.13597275390058583</v>
      </c>
      <c r="AG403" s="20">
        <f t="shared" ref="AG403:AG425" si="100">+AE403*K403</f>
        <v>0</v>
      </c>
      <c r="AH403" s="20">
        <f t="shared" ref="AH403:AH425" si="101">+AF403*I403</f>
        <v>216.2986582673569</v>
      </c>
    </row>
    <row r="404" spans="1:35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7">
        <f t="shared" si="94"/>
        <v>0</v>
      </c>
      <c r="O404" s="7">
        <f t="shared" si="93"/>
        <v>3770.3333333333335</v>
      </c>
      <c r="P404" s="7">
        <f t="shared" si="95"/>
        <v>3770.3333333333335</v>
      </c>
      <c r="Q404" s="7">
        <f t="shared" si="96"/>
        <v>1440</v>
      </c>
      <c r="R404" s="7">
        <f t="shared" si="97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98"/>
        <v>70609</v>
      </c>
      <c r="X404" s="103">
        <f t="shared" si="99"/>
        <v>77314</v>
      </c>
      <c r="Y404" s="103"/>
      <c r="AB404" s="2"/>
      <c r="AC404" s="78">
        <v>79208</v>
      </c>
      <c r="AD404" s="103">
        <f t="shared" si="80"/>
        <v>77314</v>
      </c>
      <c r="AE404" s="64">
        <f t="shared" si="89"/>
        <v>0</v>
      </c>
      <c r="AF404" s="64">
        <f t="shared" si="90"/>
        <v>0</v>
      </c>
      <c r="AG404" s="20">
        <f t="shared" si="100"/>
        <v>0</v>
      </c>
      <c r="AH404" s="20">
        <f t="shared" si="101"/>
        <v>0</v>
      </c>
    </row>
    <row r="405" spans="1:35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7" t="e">
        <f t="shared" si="94"/>
        <v>#DIV/0!</v>
      </c>
      <c r="O405" s="7">
        <f t="shared" si="93"/>
        <v>0</v>
      </c>
      <c r="P405" s="7" t="e">
        <f t="shared" si="95"/>
        <v>#DIV/0!</v>
      </c>
      <c r="Q405" s="7" t="e">
        <f t="shared" si="96"/>
        <v>#DIV/0!</v>
      </c>
      <c r="R405" s="7" t="e">
        <f t="shared" si="97"/>
        <v>#DIV/0!</v>
      </c>
      <c r="T405" s="7"/>
      <c r="U405" s="7"/>
      <c r="V405" s="7"/>
      <c r="W405" s="7">
        <f t="shared" si="98"/>
        <v>0</v>
      </c>
      <c r="X405" s="103">
        <f t="shared" si="99"/>
        <v>0</v>
      </c>
      <c r="Y405" s="103"/>
      <c r="AD405" s="103">
        <f t="shared" si="80"/>
        <v>0</v>
      </c>
      <c r="AE405" s="64" t="e">
        <f t="shared" si="89"/>
        <v>#DIV/0!</v>
      </c>
      <c r="AF405" s="64" t="e">
        <f t="shared" si="90"/>
        <v>#DIV/0!</v>
      </c>
      <c r="AG405" s="20" t="e">
        <f t="shared" si="100"/>
        <v>#DIV/0!</v>
      </c>
      <c r="AH405" s="20" t="e">
        <f t="shared" si="101"/>
        <v>#DIV/0!</v>
      </c>
    </row>
    <row r="406" spans="1:35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7">
        <f t="shared" si="94"/>
        <v>57.476022463727801</v>
      </c>
      <c r="O406" s="7">
        <f t="shared" si="93"/>
        <v>4069.4166666666665</v>
      </c>
      <c r="P406" s="7">
        <f t="shared" si="95"/>
        <v>4011.9406442029385</v>
      </c>
      <c r="Q406" s="7">
        <f t="shared" si="96"/>
        <v>1544.0833333333333</v>
      </c>
      <c r="R406" s="7">
        <f t="shared" si="97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98"/>
        <v>119206</v>
      </c>
      <c r="X406" s="103">
        <f t="shared" si="99"/>
        <v>131983</v>
      </c>
      <c r="Y406" s="103"/>
      <c r="Z406" s="7">
        <v>7609</v>
      </c>
      <c r="AB406" s="2"/>
      <c r="AC406" s="78">
        <v>143728</v>
      </c>
      <c r="AD406" s="103">
        <f t="shared" si="80"/>
        <v>131983</v>
      </c>
      <c r="AE406" s="64">
        <f t="shared" si="89"/>
        <v>4.8705053990871654E-2</v>
      </c>
      <c r="AF406" s="64">
        <f t="shared" si="90"/>
        <v>0</v>
      </c>
      <c r="AG406" s="20">
        <f t="shared" si="100"/>
        <v>57.476022463727801</v>
      </c>
      <c r="AH406" s="20">
        <f t="shared" si="101"/>
        <v>0</v>
      </c>
    </row>
    <row r="407" spans="1:35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7">
        <f t="shared" si="94"/>
        <v>284.10126982112166</v>
      </c>
      <c r="O407" s="7">
        <f t="shared" si="93"/>
        <v>4067.6666666666661</v>
      </c>
      <c r="P407" s="7">
        <f t="shared" si="95"/>
        <v>3783.5653968455449</v>
      </c>
      <c r="Q407" s="7">
        <f t="shared" si="96"/>
        <v>1462.0879483180495</v>
      </c>
      <c r="R407" s="7">
        <f t="shared" si="97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98"/>
        <v>116567</v>
      </c>
      <c r="X407" s="103">
        <f t="shared" si="99"/>
        <v>136092</v>
      </c>
      <c r="Y407" s="103"/>
      <c r="Z407" s="7">
        <v>28842</v>
      </c>
      <c r="AB407" s="2">
        <v>7479</v>
      </c>
      <c r="AC407" s="78">
        <v>124063</v>
      </c>
      <c r="AD407" s="103">
        <f t="shared" si="80"/>
        <v>136092</v>
      </c>
      <c r="AE407" s="64">
        <f t="shared" si="89"/>
        <v>0.2138803672327769</v>
      </c>
      <c r="AF407" s="64">
        <f t="shared" si="90"/>
        <v>3.5721056344237723E-2</v>
      </c>
      <c r="AG407" s="20">
        <f t="shared" si="100"/>
        <v>229.9392181391712</v>
      </c>
      <c r="AH407" s="20">
        <f t="shared" si="101"/>
        <v>54.162051681950445</v>
      </c>
      <c r="AI407" s="20"/>
    </row>
    <row r="408" spans="1:35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7">
        <f t="shared" si="94"/>
        <v>372.79687414192369</v>
      </c>
      <c r="O408" s="7">
        <f t="shared" si="93"/>
        <v>4065.75</v>
      </c>
      <c r="P408" s="7">
        <f t="shared" si="95"/>
        <v>3692.953125858076</v>
      </c>
      <c r="Q408" s="7">
        <f t="shared" si="96"/>
        <v>1323.1687916594415</v>
      </c>
      <c r="R408" s="7">
        <f t="shared" si="97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98"/>
        <v>98349</v>
      </c>
      <c r="X408" s="103">
        <f t="shared" si="99"/>
        <v>144175</v>
      </c>
      <c r="Y408" s="103"/>
      <c r="Z408" s="7">
        <v>10301</v>
      </c>
      <c r="AB408" s="2">
        <v>38463</v>
      </c>
      <c r="AC408" s="78">
        <v>117878</v>
      </c>
      <c r="AD408" s="103">
        <f t="shared" si="80"/>
        <v>144175</v>
      </c>
      <c r="AE408" s="64">
        <f t="shared" si="89"/>
        <v>8.0396002646804327E-2</v>
      </c>
      <c r="AF408" s="64">
        <f t="shared" si="90"/>
        <v>0.17340697069533556</v>
      </c>
      <c r="AG408" s="20">
        <f t="shared" si="100"/>
        <v>95.215665801365247</v>
      </c>
      <c r="AH408" s="20">
        <f t="shared" si="101"/>
        <v>277.58120834055842</v>
      </c>
    </row>
    <row r="409" spans="1:35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7">
        <f t="shared" si="94"/>
        <v>310.98188013318884</v>
      </c>
      <c r="O409" s="7">
        <f t="shared" si="93"/>
        <v>3993.666666666667</v>
      </c>
      <c r="P409" s="7">
        <f t="shared" si="95"/>
        <v>3682.684786533478</v>
      </c>
      <c r="Q409" s="7">
        <f t="shared" si="96"/>
        <v>1474.7274829957746</v>
      </c>
      <c r="R409" s="7">
        <f t="shared" si="97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98"/>
        <v>90550</v>
      </c>
      <c r="X409" s="103">
        <f t="shared" si="99"/>
        <v>112178</v>
      </c>
      <c r="Y409" s="103"/>
      <c r="Z409" s="7">
        <v>15451</v>
      </c>
      <c r="AB409" s="2">
        <v>15209</v>
      </c>
      <c r="AC409" s="78">
        <v>86836</v>
      </c>
      <c r="AD409" s="103">
        <f t="shared" si="80"/>
        <v>112178</v>
      </c>
      <c r="AE409" s="64">
        <f t="shared" si="89"/>
        <v>0.16369846607397853</v>
      </c>
      <c r="AF409" s="64">
        <f t="shared" si="90"/>
        <v>8.8126459733637627E-2</v>
      </c>
      <c r="AG409" s="20">
        <f t="shared" si="100"/>
        <v>168.45936312896339</v>
      </c>
      <c r="AH409" s="20">
        <f t="shared" si="101"/>
        <v>142.52251700422545</v>
      </c>
    </row>
    <row r="410" spans="1:35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7">
        <f t="shared" si="94"/>
        <v>63.159555931812051</v>
      </c>
      <c r="O410" s="7">
        <f t="shared" si="93"/>
        <v>4095.6666666666665</v>
      </c>
      <c r="P410" s="7">
        <f t="shared" si="95"/>
        <v>4032.5071107348545</v>
      </c>
      <c r="Q410" s="7">
        <f t="shared" si="96"/>
        <v>1613.5</v>
      </c>
      <c r="R410" s="7">
        <f t="shared" si="97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98"/>
        <v>94323</v>
      </c>
      <c r="X410" s="103">
        <f t="shared" si="99"/>
        <v>102963</v>
      </c>
      <c r="Y410" s="103"/>
      <c r="Z410" s="7">
        <v>6531</v>
      </c>
      <c r="AB410" s="2"/>
      <c r="AC410" s="78">
        <v>103948</v>
      </c>
      <c r="AD410" s="103">
        <f t="shared" si="80"/>
        <v>102963</v>
      </c>
      <c r="AE410" s="64">
        <f t="shared" si="89"/>
        <v>5.7803132335398466E-2</v>
      </c>
      <c r="AF410" s="64">
        <f t="shared" si="90"/>
        <v>0</v>
      </c>
      <c r="AG410" s="20">
        <f t="shared" si="100"/>
        <v>63.159555931812051</v>
      </c>
      <c r="AH410" s="20">
        <f t="shared" si="101"/>
        <v>0</v>
      </c>
    </row>
    <row r="411" spans="1:35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7">
        <f t="shared" si="94"/>
        <v>0</v>
      </c>
      <c r="O411" s="7">
        <f t="shared" si="93"/>
        <v>3879.3333333333335</v>
      </c>
      <c r="P411" s="7">
        <f t="shared" si="95"/>
        <v>3879.333333333333</v>
      </c>
      <c r="Q411" s="7">
        <f t="shared" si="96"/>
        <v>1528.9166666666667</v>
      </c>
      <c r="R411" s="7">
        <f t="shared" si="97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98"/>
        <v>92516</v>
      </c>
      <c r="X411" s="103">
        <f t="shared" si="99"/>
        <v>98509</v>
      </c>
      <c r="Y411" s="103"/>
      <c r="AB411" s="2"/>
      <c r="AC411" s="78">
        <v>68945</v>
      </c>
      <c r="AD411" s="103">
        <f t="shared" si="80"/>
        <v>98509</v>
      </c>
      <c r="AE411" s="64">
        <f t="shared" si="89"/>
        <v>0</v>
      </c>
      <c r="AF411" s="64">
        <f t="shared" si="90"/>
        <v>0</v>
      </c>
      <c r="AG411" s="20">
        <f t="shared" si="100"/>
        <v>0</v>
      </c>
      <c r="AH411" s="20">
        <f t="shared" si="101"/>
        <v>0</v>
      </c>
    </row>
    <row r="412" spans="1:35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7" t="e">
        <f t="shared" si="94"/>
        <v>#DIV/0!</v>
      </c>
      <c r="O412" s="7">
        <f t="shared" si="93"/>
        <v>0</v>
      </c>
      <c r="P412" s="7" t="e">
        <f t="shared" si="95"/>
        <v>#DIV/0!</v>
      </c>
      <c r="Q412" s="7" t="e">
        <f t="shared" si="96"/>
        <v>#DIV/0!</v>
      </c>
      <c r="R412" s="7" t="e">
        <f t="shared" si="97"/>
        <v>#DIV/0!</v>
      </c>
      <c r="T412" s="7"/>
      <c r="U412" s="7"/>
      <c r="V412" s="7"/>
      <c r="W412" s="7">
        <f t="shared" si="98"/>
        <v>0</v>
      </c>
      <c r="X412" s="103">
        <f t="shared" si="99"/>
        <v>0</v>
      </c>
      <c r="Y412" s="103"/>
      <c r="AB412" s="2"/>
      <c r="AD412" s="103">
        <f t="shared" si="80"/>
        <v>0</v>
      </c>
      <c r="AE412" s="64" t="e">
        <f t="shared" si="89"/>
        <v>#DIV/0!</v>
      </c>
      <c r="AF412" s="64" t="e">
        <f t="shared" si="90"/>
        <v>#DIV/0!</v>
      </c>
      <c r="AG412" s="20" t="e">
        <f t="shared" si="100"/>
        <v>#DIV/0!</v>
      </c>
      <c r="AH412" s="20" t="e">
        <f t="shared" si="101"/>
        <v>#DIV/0!</v>
      </c>
    </row>
    <row r="413" spans="1:35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7">
        <f t="shared" si="94"/>
        <v>0</v>
      </c>
      <c r="O413" s="7">
        <f t="shared" si="93"/>
        <v>4073.4166666666665</v>
      </c>
      <c r="P413" s="7">
        <f t="shared" si="95"/>
        <v>4073.4166666666665</v>
      </c>
      <c r="Q413" s="7">
        <f t="shared" si="96"/>
        <v>1643.25</v>
      </c>
      <c r="R413" s="7">
        <f t="shared" si="97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98"/>
        <v>114643</v>
      </c>
      <c r="X413" s="103">
        <f t="shared" si="99"/>
        <v>124046</v>
      </c>
      <c r="Y413" s="103"/>
      <c r="AC413" s="78">
        <v>135932</v>
      </c>
      <c r="AD413" s="103">
        <f t="shared" si="80"/>
        <v>124046</v>
      </c>
      <c r="AE413" s="192">
        <f>+(Z413/AC413*0.95)</f>
        <v>0</v>
      </c>
      <c r="AF413" s="192">
        <f>+(AB413/AD413*0.6)</f>
        <v>0</v>
      </c>
      <c r="AG413" s="20">
        <f t="shared" si="100"/>
        <v>0</v>
      </c>
      <c r="AH413" s="20">
        <f t="shared" si="101"/>
        <v>0</v>
      </c>
      <c r="AI413" s="20"/>
    </row>
    <row r="414" spans="1:35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7">
        <f t="shared" si="94"/>
        <v>141.0921637674912</v>
      </c>
      <c r="O414" s="7">
        <f t="shared" si="93"/>
        <v>4154.5833333333339</v>
      </c>
      <c r="P414" s="7">
        <f t="shared" si="95"/>
        <v>4013.491169565842</v>
      </c>
      <c r="Q414" s="7">
        <f t="shared" si="96"/>
        <v>1687.75</v>
      </c>
      <c r="R414" s="7">
        <f t="shared" si="97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98"/>
        <v>116529</v>
      </c>
      <c r="X414" s="103">
        <f t="shared" si="99"/>
        <v>126422</v>
      </c>
      <c r="Y414" s="103"/>
      <c r="Z414" s="7">
        <v>17756</v>
      </c>
      <c r="AB414" s="2"/>
      <c r="AC414" s="78">
        <v>143834</v>
      </c>
      <c r="AD414" s="103">
        <f t="shared" si="80"/>
        <v>126422</v>
      </c>
      <c r="AE414" s="192">
        <f t="shared" ref="AE414:AE418" si="102">+(Z414/AC414*0.95)</f>
        <v>0.11727547033385707</v>
      </c>
      <c r="AF414" s="192">
        <f t="shared" ref="AF414:AF418" si="103">+(AB414/AD414*0.6)</f>
        <v>0</v>
      </c>
      <c r="AG414" s="20">
        <f t="shared" si="100"/>
        <v>141.0921637674912</v>
      </c>
      <c r="AH414" s="20">
        <f t="shared" si="101"/>
        <v>0</v>
      </c>
      <c r="AI414" s="20"/>
    </row>
    <row r="415" spans="1:35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7">
        <f t="shared" si="94"/>
        <v>435.95884584169949</v>
      </c>
      <c r="O415" s="7">
        <f t="shared" si="93"/>
        <v>4062.3333333333335</v>
      </c>
      <c r="P415" s="7">
        <f t="shared" si="95"/>
        <v>3626.3744874916338</v>
      </c>
      <c r="Q415" s="7">
        <f t="shared" si="96"/>
        <v>1463.0243107848351</v>
      </c>
      <c r="R415" s="7">
        <f t="shared" si="97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98"/>
        <v>105170</v>
      </c>
      <c r="X415" s="103">
        <f t="shared" si="99"/>
        <v>142892</v>
      </c>
      <c r="Y415" s="103"/>
      <c r="Z415" s="7">
        <v>29351</v>
      </c>
      <c r="AB415" s="2">
        <v>29339</v>
      </c>
      <c r="AC415" s="78">
        <v>140204</v>
      </c>
      <c r="AD415" s="103">
        <f t="shared" si="80"/>
        <v>142892</v>
      </c>
      <c r="AE415" s="192">
        <f t="shared" si="102"/>
        <v>0.19887770677013494</v>
      </c>
      <c r="AF415" s="192">
        <f t="shared" si="103"/>
        <v>0.12319374072726255</v>
      </c>
      <c r="AG415" s="20">
        <f t="shared" si="100"/>
        <v>230.39982329320134</v>
      </c>
      <c r="AH415" s="20">
        <f t="shared" si="101"/>
        <v>205.55902254849818</v>
      </c>
      <c r="AI415" s="20"/>
    </row>
    <row r="416" spans="1:35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7">
        <f t="shared" ref="N416:N422" si="104">+AH416+AG416</f>
        <v>130.63826216232829</v>
      </c>
      <c r="O416" s="7">
        <f t="shared" ref="O416:O422" si="105">+B416+C416+D416+F416+I416+K416+J416</f>
        <v>3993.6666666666665</v>
      </c>
      <c r="P416" s="7">
        <f t="shared" si="95"/>
        <v>3863.0284045043386</v>
      </c>
      <c r="Q416" s="7">
        <f t="shared" si="96"/>
        <v>1561.9450711710049</v>
      </c>
      <c r="R416" s="7">
        <f t="shared" si="97"/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98"/>
        <v>104362</v>
      </c>
      <c r="X416" s="103">
        <f t="shared" si="99"/>
        <v>130156</v>
      </c>
      <c r="Y416" s="103"/>
      <c r="AB416" s="2">
        <v>16743</v>
      </c>
      <c r="AC416" s="78">
        <v>105572</v>
      </c>
      <c r="AD416" s="103">
        <f t="shared" si="80"/>
        <v>130156</v>
      </c>
      <c r="AE416" s="192">
        <f t="shared" si="102"/>
        <v>0</v>
      </c>
      <c r="AF416" s="192">
        <f t="shared" si="103"/>
        <v>7.718276529702818E-2</v>
      </c>
      <c r="AG416" s="20">
        <f t="shared" si="100"/>
        <v>0</v>
      </c>
      <c r="AH416" s="20">
        <f t="shared" si="101"/>
        <v>130.63826216232829</v>
      </c>
    </row>
    <row r="417" spans="1:35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7">
        <f t="shared" si="104"/>
        <v>0</v>
      </c>
      <c r="O417" s="7">
        <f t="shared" si="105"/>
        <v>3956.75</v>
      </c>
      <c r="P417" s="7">
        <f t="shared" si="95"/>
        <v>3956.75</v>
      </c>
      <c r="Q417" s="7">
        <f t="shared" si="96"/>
        <v>1731.6666666666665</v>
      </c>
      <c r="R417" s="7">
        <f t="shared" si="97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98"/>
        <v>130610</v>
      </c>
      <c r="X417" s="103">
        <f t="shared" si="99"/>
        <v>138303</v>
      </c>
      <c r="Y417" s="103"/>
      <c r="AB417" s="2"/>
      <c r="AC417" s="78">
        <v>78588</v>
      </c>
      <c r="AD417" s="103">
        <f t="shared" si="80"/>
        <v>138303</v>
      </c>
      <c r="AE417" s="192">
        <f t="shared" si="102"/>
        <v>0</v>
      </c>
      <c r="AF417" s="192">
        <f t="shared" si="103"/>
        <v>0</v>
      </c>
      <c r="AG417" s="20">
        <f t="shared" si="100"/>
        <v>0</v>
      </c>
      <c r="AH417" s="20">
        <f t="shared" si="101"/>
        <v>0</v>
      </c>
      <c r="AI417" s="20"/>
    </row>
    <row r="418" spans="1:35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7">
        <f t="shared" si="104"/>
        <v>0</v>
      </c>
      <c r="O418" s="7">
        <f t="shared" si="105"/>
        <v>4055.333333333333</v>
      </c>
      <c r="P418" s="7">
        <f t="shared" si="95"/>
        <v>4055.333333333333</v>
      </c>
      <c r="Q418" s="7">
        <f t="shared" si="96"/>
        <v>1629.083333333333</v>
      </c>
      <c r="R418" s="7">
        <f t="shared" si="97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98"/>
        <v>127682</v>
      </c>
      <c r="X418" s="103">
        <f t="shared" si="99"/>
        <v>135570</v>
      </c>
      <c r="Y418" s="103"/>
      <c r="AB418" s="2"/>
      <c r="AC418" s="78">
        <v>94250</v>
      </c>
      <c r="AD418" s="103">
        <f t="shared" si="80"/>
        <v>135570</v>
      </c>
      <c r="AE418" s="192">
        <f t="shared" si="102"/>
        <v>0</v>
      </c>
      <c r="AF418" s="192">
        <f t="shared" si="103"/>
        <v>0</v>
      </c>
      <c r="AG418" s="20">
        <f t="shared" si="100"/>
        <v>0</v>
      </c>
      <c r="AH418" s="20">
        <f t="shared" si="101"/>
        <v>0</v>
      </c>
    </row>
    <row r="419" spans="1:35">
      <c r="A419" s="28">
        <v>46075</v>
      </c>
      <c r="E419"/>
      <c r="F419"/>
      <c r="G419"/>
      <c r="H419"/>
      <c r="I419"/>
      <c r="J419"/>
      <c r="K419"/>
      <c r="L419"/>
      <c r="M419"/>
      <c r="N419" s="107">
        <f t="shared" si="104"/>
        <v>0</v>
      </c>
      <c r="O419" s="7">
        <f t="shared" si="105"/>
        <v>0</v>
      </c>
      <c r="P419" s="7">
        <f t="shared" si="95"/>
        <v>0</v>
      </c>
      <c r="Q419" s="7">
        <f t="shared" si="96"/>
        <v>0</v>
      </c>
      <c r="R419" s="7">
        <f t="shared" si="97"/>
        <v>0</v>
      </c>
      <c r="T419" s="7"/>
      <c r="U419" s="7"/>
      <c r="V419" s="7"/>
      <c r="W419" s="7">
        <f t="shared" si="98"/>
        <v>0</v>
      </c>
      <c r="X419" s="103">
        <f t="shared" si="99"/>
        <v>0</v>
      </c>
      <c r="Y419" s="103"/>
      <c r="AB419" s="2"/>
      <c r="AC419" s="78"/>
      <c r="AE419" s="192"/>
      <c r="AF419" s="192"/>
      <c r="AG419" s="20">
        <f t="shared" si="100"/>
        <v>0</v>
      </c>
      <c r="AH419" s="20">
        <f t="shared" si="101"/>
        <v>0</v>
      </c>
    </row>
    <row r="420" spans="1:35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7">
        <f t="shared" si="104"/>
        <v>6.9538514150186064</v>
      </c>
      <c r="O420" s="7">
        <f t="shared" si="105"/>
        <v>3987.4999999999995</v>
      </c>
      <c r="P420" s="7">
        <f t="shared" si="95"/>
        <v>3980.546148584981</v>
      </c>
      <c r="Q420" s="7">
        <f t="shared" si="96"/>
        <v>1589.2297957506355</v>
      </c>
      <c r="R420" s="7">
        <f t="shared" si="97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98"/>
        <v>130075</v>
      </c>
      <c r="X420" s="103">
        <f t="shared" si="99"/>
        <v>139111</v>
      </c>
      <c r="Y420" s="103"/>
      <c r="Z420" s="7">
        <v>476</v>
      </c>
      <c r="AB420" s="2">
        <v>464</v>
      </c>
      <c r="AC420" s="78">
        <v>142061</v>
      </c>
      <c r="AD420" s="103">
        <f t="shared" si="80"/>
        <v>139111</v>
      </c>
      <c r="AE420" s="192">
        <f t="shared" ref="AE420:AE422" si="106">+(Z420/AC420*0.95)</f>
        <v>3.1831396371981048E-3</v>
      </c>
      <c r="AF420" s="192">
        <f t="shared" ref="AF420:AF422" si="107">+(AB420/AD420*0.6)</f>
        <v>2.0012795537376628E-3</v>
      </c>
      <c r="AG420" s="20">
        <f t="shared" si="100"/>
        <v>3.7669804989875235</v>
      </c>
      <c r="AH420" s="20">
        <f t="shared" si="101"/>
        <v>3.1868709160310829</v>
      </c>
      <c r="AI420" s="20"/>
    </row>
    <row r="421" spans="1:35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7">
        <f t="shared" si="104"/>
        <v>98.654003093425914</v>
      </c>
      <c r="O421" s="7">
        <f t="shared" si="105"/>
        <v>4035.916666666667</v>
      </c>
      <c r="P421" s="7">
        <f t="shared" si="95"/>
        <v>3937.2626635732408</v>
      </c>
      <c r="Q421" s="7">
        <f t="shared" si="96"/>
        <v>1790.8333333333335</v>
      </c>
      <c r="R421" s="7">
        <f t="shared" si="97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98"/>
        <v>146586</v>
      </c>
      <c r="X421" s="103">
        <f t="shared" si="99"/>
        <v>154719</v>
      </c>
      <c r="Y421" s="103"/>
      <c r="Z421" s="7">
        <v>12267</v>
      </c>
      <c r="AB421" s="2"/>
      <c r="AC421" s="78">
        <v>134802</v>
      </c>
      <c r="AD421" s="103">
        <f t="shared" ref="AD421:AD444" si="108">+X421</f>
        <v>154719</v>
      </c>
      <c r="AE421" s="192">
        <f t="shared" si="106"/>
        <v>8.6450126852717316E-2</v>
      </c>
      <c r="AF421" s="192">
        <f t="shared" si="107"/>
        <v>0</v>
      </c>
      <c r="AG421" s="20">
        <f t="shared" si="100"/>
        <v>98.654003093425914</v>
      </c>
      <c r="AH421" s="20">
        <f t="shared" si="101"/>
        <v>0</v>
      </c>
      <c r="AI421" s="20"/>
    </row>
    <row r="422" spans="1:35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7">
        <f t="shared" si="104"/>
        <v>120.2427592986103</v>
      </c>
      <c r="O422" s="7">
        <f t="shared" si="105"/>
        <v>4126.833333333333</v>
      </c>
      <c r="P422" s="7">
        <f t="shared" si="95"/>
        <v>4006.590574034723</v>
      </c>
      <c r="Q422" s="7">
        <f t="shared" si="96"/>
        <v>1747.6539062225811</v>
      </c>
      <c r="R422" s="7">
        <f t="shared" si="97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98"/>
        <v>146370</v>
      </c>
      <c r="X422" s="103">
        <f t="shared" si="99"/>
        <v>170958</v>
      </c>
      <c r="Y422" s="103"/>
      <c r="Z422" s="7">
        <v>5059</v>
      </c>
      <c r="AB422" s="2">
        <v>12449</v>
      </c>
      <c r="AC422" s="78">
        <v>138225</v>
      </c>
      <c r="AD422" s="103">
        <f t="shared" si="108"/>
        <v>170958</v>
      </c>
      <c r="AE422" s="192">
        <f t="shared" si="106"/>
        <v>3.4769759450171814E-2</v>
      </c>
      <c r="AF422" s="192">
        <f t="shared" si="107"/>
        <v>4.3691432983539814E-2</v>
      </c>
      <c r="AG422" s="20">
        <f t="shared" si="100"/>
        <v>40.396665521191281</v>
      </c>
      <c r="AH422" s="20">
        <f t="shared" si="101"/>
        <v>79.846093777419014</v>
      </c>
      <c r="AI422" s="20"/>
    </row>
    <row r="423" spans="1:35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7">
        <f t="shared" ref="N423:N486" si="109">+AH423+AG423</f>
        <v>443.18511126820431</v>
      </c>
      <c r="O423" s="7">
        <f t="shared" ref="O423:O433" si="110">+B423+C423+D423+F423+I423+K423+J423</f>
        <v>4117.25</v>
      </c>
      <c r="P423" s="7">
        <f t="shared" si="95"/>
        <v>3674.0648887317961</v>
      </c>
      <c r="Q423" s="7">
        <f t="shared" si="96"/>
        <v>1608.8423510907874</v>
      </c>
      <c r="R423" s="7">
        <f t="shared" si="97"/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98"/>
        <v>133104</v>
      </c>
      <c r="X423" s="103">
        <f t="shared" si="99"/>
        <v>171665</v>
      </c>
      <c r="Y423" s="103"/>
      <c r="Z423" s="7">
        <v>33424</v>
      </c>
      <c r="AB423" s="2">
        <v>28524</v>
      </c>
      <c r="AC423" s="78">
        <v>143372</v>
      </c>
      <c r="AD423" s="103">
        <f t="shared" si="108"/>
        <v>171665</v>
      </c>
      <c r="AE423" s="192">
        <f t="shared" ref="AE423:AE425" si="111">+(Z423/AC423*0.95)</f>
        <v>0.22147141701308484</v>
      </c>
      <c r="AF423" s="192">
        <f t="shared" ref="AF423:AF425" si="112">+(AB423/AD423*0.6)</f>
        <v>9.969650190778552E-2</v>
      </c>
      <c r="AG423" s="20">
        <f t="shared" si="100"/>
        <v>265.02746235899156</v>
      </c>
      <c r="AH423" s="20">
        <f t="shared" si="101"/>
        <v>178.15764890921275</v>
      </c>
      <c r="AI423" s="20"/>
    </row>
    <row r="424" spans="1:35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7">
        <f t="shared" si="109"/>
        <v>203.08480901221557</v>
      </c>
      <c r="O424" s="7">
        <f t="shared" si="110"/>
        <v>4422.9166666666661</v>
      </c>
      <c r="P424" s="7">
        <f t="shared" si="95"/>
        <v>4219.8318576544507</v>
      </c>
      <c r="Q424" s="7">
        <f t="shared" si="96"/>
        <v>1754.1308668395629</v>
      </c>
      <c r="R424" s="7">
        <f t="shared" si="97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98"/>
        <v>141170</v>
      </c>
      <c r="X424" s="103">
        <f t="shared" si="99"/>
        <v>165417</v>
      </c>
      <c r="Y424" s="103"/>
      <c r="Z424" s="7">
        <v>12837</v>
      </c>
      <c r="AB424" s="2">
        <v>14381</v>
      </c>
      <c r="AC424" s="78">
        <v>137614</v>
      </c>
      <c r="AD424" s="103">
        <f t="shared" si="108"/>
        <v>165417</v>
      </c>
      <c r="AE424" s="192">
        <f t="shared" si="111"/>
        <v>8.8618527184734106E-2</v>
      </c>
      <c r="AF424" s="192">
        <f t="shared" si="112"/>
        <v>5.2162716044904689E-2</v>
      </c>
      <c r="AG424" s="20">
        <f t="shared" si="100"/>
        <v>106.54900918511197</v>
      </c>
      <c r="AH424" s="20">
        <f t="shared" si="101"/>
        <v>96.535799827103602</v>
      </c>
      <c r="AI424" s="20"/>
    </row>
    <row r="425" spans="1:35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7">
        <f t="shared" si="109"/>
        <v>87.059112642323001</v>
      </c>
      <c r="O425" s="7">
        <f t="shared" si="110"/>
        <v>4088.833333333333</v>
      </c>
      <c r="P425" s="7">
        <f t="shared" si="95"/>
        <v>4001.7742206910098</v>
      </c>
      <c r="Q425" s="7">
        <f t="shared" si="96"/>
        <v>1625.431407945601</v>
      </c>
      <c r="R425" s="7">
        <f t="shared" si="97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98"/>
        <v>126661</v>
      </c>
      <c r="X425" s="103">
        <f t="shared" si="99"/>
        <v>143140</v>
      </c>
      <c r="Y425" s="103"/>
      <c r="Z425" s="7">
        <v>3595</v>
      </c>
      <c r="AB425" s="2">
        <v>7932</v>
      </c>
      <c r="AC425" s="78">
        <v>119698</v>
      </c>
      <c r="AD425" s="103">
        <f t="shared" si="108"/>
        <v>143140</v>
      </c>
      <c r="AE425" s="192">
        <f t="shared" si="111"/>
        <v>2.8532222760614213E-2</v>
      </c>
      <c r="AF425" s="192">
        <f t="shared" si="112"/>
        <v>3.324856783568534E-2</v>
      </c>
      <c r="AG425" s="20">
        <f t="shared" si="100"/>
        <v>31.15718725459072</v>
      </c>
      <c r="AH425" s="20">
        <f t="shared" si="101"/>
        <v>55.901925387732284</v>
      </c>
      <c r="AI425" s="20"/>
    </row>
    <row r="426" spans="1:35">
      <c r="A426" s="28">
        <v>46082</v>
      </c>
      <c r="E426"/>
      <c r="F426"/>
      <c r="G426"/>
      <c r="H426"/>
      <c r="I426"/>
      <c r="J426"/>
      <c r="K426"/>
      <c r="L426"/>
      <c r="M426"/>
      <c r="N426" s="107">
        <f t="shared" si="109"/>
        <v>0</v>
      </c>
      <c r="T426" s="7"/>
      <c r="U426" s="7"/>
      <c r="V426" s="7"/>
      <c r="W426" s="7">
        <f t="shared" si="98"/>
        <v>0</v>
      </c>
      <c r="X426" s="103">
        <f t="shared" si="99"/>
        <v>0</v>
      </c>
      <c r="Y426" s="103"/>
      <c r="AB426" s="2"/>
      <c r="AC426" s="78"/>
      <c r="AD426" s="103"/>
      <c r="AE426" s="192"/>
      <c r="AF426" s="192"/>
      <c r="AG426" s="20"/>
      <c r="AH426" s="20"/>
    </row>
    <row r="427" spans="1:35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7">
        <f t="shared" si="109"/>
        <v>0</v>
      </c>
      <c r="O427" s="7">
        <f t="shared" si="110"/>
        <v>5709.916666666667</v>
      </c>
      <c r="P427" s="7">
        <f t="shared" ref="P427:P467" si="113">+B427+C427+D427+F427+J427+Q427+R427</f>
        <v>5709.9166666666661</v>
      </c>
      <c r="Q427" s="7">
        <f t="shared" ref="Q427:Q467" si="114">+I427-AH427</f>
        <v>2646.3333333333335</v>
      </c>
      <c r="R427" s="7">
        <f t="shared" ref="R427:R467" si="115">+K427-AG427</f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98"/>
        <v>160540</v>
      </c>
      <c r="X427" s="103">
        <f t="shared" si="99"/>
        <v>170506</v>
      </c>
      <c r="Y427" s="103"/>
      <c r="AB427" s="2"/>
      <c r="AC427" s="78">
        <v>175528</v>
      </c>
      <c r="AD427" s="103">
        <f t="shared" si="108"/>
        <v>170506</v>
      </c>
      <c r="AE427" s="192">
        <f t="shared" ref="AE427:AE432" si="116">+(Z427/AC427*0.95)</f>
        <v>0</v>
      </c>
      <c r="AF427" s="192">
        <f t="shared" ref="AF427:AF432" si="117">+(AB427/AD427*0.6)</f>
        <v>0</v>
      </c>
      <c r="AG427" s="20">
        <f t="shared" ref="AG427:AG432" si="118">+AE427*K427</f>
        <v>0</v>
      </c>
      <c r="AH427" s="20">
        <f t="shared" ref="AH427:AH432" si="119">+AF427*I427</f>
        <v>0</v>
      </c>
    </row>
    <row r="428" spans="1:35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7">
        <f t="shared" si="109"/>
        <v>0</v>
      </c>
      <c r="O428" s="7">
        <f t="shared" si="110"/>
        <v>5618.75</v>
      </c>
      <c r="P428" s="7">
        <f t="shared" si="113"/>
        <v>5618.75</v>
      </c>
      <c r="Q428" s="7">
        <f t="shared" si="114"/>
        <v>2666.916666666667</v>
      </c>
      <c r="R428" s="7">
        <f t="shared" si="115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98"/>
        <v>185709</v>
      </c>
      <c r="X428" s="103">
        <f t="shared" si="99"/>
        <v>200581</v>
      </c>
      <c r="Y428" s="103"/>
      <c r="AB428" s="2"/>
      <c r="AC428" s="78">
        <v>167689</v>
      </c>
      <c r="AD428" s="103">
        <f t="shared" si="108"/>
        <v>200581</v>
      </c>
      <c r="AE428" s="192">
        <f t="shared" si="116"/>
        <v>0</v>
      </c>
      <c r="AF428" s="192">
        <f t="shared" si="117"/>
        <v>0</v>
      </c>
      <c r="AG428" s="20">
        <f t="shared" si="118"/>
        <v>0</v>
      </c>
      <c r="AH428" s="20">
        <f t="shared" si="119"/>
        <v>0</v>
      </c>
    </row>
    <row r="429" spans="1:35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7">
        <f t="shared" si="109"/>
        <v>0</v>
      </c>
      <c r="O429" s="7">
        <f t="shared" si="110"/>
        <v>4850.333333333333</v>
      </c>
      <c r="P429" s="7">
        <f t="shared" si="113"/>
        <v>4850.333333333333</v>
      </c>
      <c r="Q429" s="7">
        <f t="shared" si="114"/>
        <v>2264.9166666666665</v>
      </c>
      <c r="R429" s="7">
        <f t="shared" si="115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98"/>
        <v>175340</v>
      </c>
      <c r="X429" s="103">
        <f t="shared" si="99"/>
        <v>187064</v>
      </c>
      <c r="Y429" s="103"/>
      <c r="AB429" s="2"/>
      <c r="AC429" s="78">
        <v>221549</v>
      </c>
      <c r="AD429" s="103">
        <f t="shared" si="108"/>
        <v>187064</v>
      </c>
      <c r="AE429" s="192">
        <f t="shared" si="116"/>
        <v>0</v>
      </c>
      <c r="AF429" s="192">
        <f t="shared" si="117"/>
        <v>0</v>
      </c>
      <c r="AG429" s="20">
        <f t="shared" si="118"/>
        <v>0</v>
      </c>
      <c r="AH429" s="20">
        <f t="shared" si="119"/>
        <v>0</v>
      </c>
    </row>
    <row r="430" spans="1:35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7">
        <f t="shared" si="109"/>
        <v>0</v>
      </c>
      <c r="O430" s="7">
        <f t="shared" si="110"/>
        <v>4671.75</v>
      </c>
      <c r="P430" s="7">
        <f t="shared" si="113"/>
        <v>4671.75</v>
      </c>
      <c r="Q430" s="7">
        <f t="shared" si="114"/>
        <v>2020.5</v>
      </c>
      <c r="R430" s="7">
        <f t="shared" si="115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98"/>
        <v>160369</v>
      </c>
      <c r="X430" s="103">
        <f t="shared" si="99"/>
        <v>171305</v>
      </c>
      <c r="Y430" s="103"/>
      <c r="AB430" s="2"/>
      <c r="AC430" s="78">
        <v>150215</v>
      </c>
      <c r="AD430" s="103">
        <f t="shared" si="108"/>
        <v>171305</v>
      </c>
      <c r="AE430" s="192">
        <f t="shared" si="116"/>
        <v>0</v>
      </c>
      <c r="AF430" s="192">
        <f t="shared" si="117"/>
        <v>0</v>
      </c>
      <c r="AG430" s="20">
        <f t="shared" si="118"/>
        <v>0</v>
      </c>
      <c r="AH430" s="20">
        <f t="shared" si="119"/>
        <v>0</v>
      </c>
    </row>
    <row r="431" spans="1:35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7">
        <f t="shared" si="109"/>
        <v>218.07888744321312</v>
      </c>
      <c r="O431" s="7">
        <f t="shared" si="110"/>
        <v>4645.75</v>
      </c>
      <c r="P431" s="7">
        <f t="shared" si="113"/>
        <v>4427.6711125567872</v>
      </c>
      <c r="Q431" s="7">
        <f t="shared" si="114"/>
        <v>1907.0476578117</v>
      </c>
      <c r="R431" s="7">
        <f t="shared" si="115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98"/>
        <v>142182</v>
      </c>
      <c r="X431" s="103">
        <f t="shared" si="99"/>
        <v>161416</v>
      </c>
      <c r="Y431" s="103"/>
      <c r="Z431" s="7">
        <v>19991</v>
      </c>
      <c r="AB431" s="2">
        <v>6442</v>
      </c>
      <c r="AC431" s="78">
        <v>157714</v>
      </c>
      <c r="AD431" s="103">
        <f t="shared" si="108"/>
        <v>161416</v>
      </c>
      <c r="AE431" s="192">
        <f t="shared" si="116"/>
        <v>0.12041702068300848</v>
      </c>
      <c r="AF431" s="192">
        <f t="shared" si="117"/>
        <v>2.3945581602815087E-2</v>
      </c>
      <c r="AG431" s="20">
        <f t="shared" si="118"/>
        <v>171.29321192157957</v>
      </c>
      <c r="AH431" s="20">
        <f t="shared" si="119"/>
        <v>46.78567552163355</v>
      </c>
    </row>
    <row r="432" spans="1:35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7">
        <f t="shared" si="109"/>
        <v>128.24795772960954</v>
      </c>
      <c r="O432" s="7">
        <f t="shared" si="110"/>
        <v>5114.25</v>
      </c>
      <c r="P432" s="7">
        <f t="shared" si="113"/>
        <v>4986.002042270391</v>
      </c>
      <c r="Q432" s="7">
        <f t="shared" si="114"/>
        <v>2305.166666666667</v>
      </c>
      <c r="R432" s="7">
        <f t="shared" si="115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98"/>
        <v>176977</v>
      </c>
      <c r="X432" s="103">
        <f t="shared" si="99"/>
        <v>188394</v>
      </c>
      <c r="Y432" s="103"/>
      <c r="Z432" s="7">
        <v>14955</v>
      </c>
      <c r="AB432" s="2"/>
      <c r="AC432" s="78">
        <v>162809</v>
      </c>
      <c r="AD432" s="103">
        <f t="shared" si="108"/>
        <v>188394</v>
      </c>
      <c r="AE432" s="192">
        <f t="shared" si="116"/>
        <v>8.7263296255121026E-2</v>
      </c>
      <c r="AF432" s="192">
        <f t="shared" si="117"/>
        <v>0</v>
      </c>
      <c r="AG432" s="20">
        <f t="shared" si="118"/>
        <v>128.24795772960954</v>
      </c>
      <c r="AH432" s="20">
        <f t="shared" si="119"/>
        <v>0</v>
      </c>
    </row>
    <row r="433" spans="1:35" ht="14.4" customHeight="1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7">
        <f t="shared" si="109"/>
        <v>0</v>
      </c>
      <c r="O433" s="7">
        <f t="shared" si="110"/>
        <v>0</v>
      </c>
      <c r="P433" s="7">
        <f t="shared" si="113"/>
        <v>0</v>
      </c>
      <c r="Q433" s="7">
        <f t="shared" si="114"/>
        <v>0</v>
      </c>
      <c r="R433" s="7">
        <f t="shared" si="115"/>
        <v>0</v>
      </c>
      <c r="S433" s="74"/>
      <c r="T433" s="74"/>
      <c r="U433" s="190"/>
      <c r="V433" s="7"/>
      <c r="W433" s="7">
        <f t="shared" si="98"/>
        <v>0</v>
      </c>
      <c r="X433" s="103">
        <f t="shared" si="99"/>
        <v>0</v>
      </c>
      <c r="Y433" s="103"/>
      <c r="AB433" s="2"/>
      <c r="AC433" s="78"/>
      <c r="AD433" s="103"/>
      <c r="AE433" s="192"/>
      <c r="AF433" s="192"/>
      <c r="AG433" s="20"/>
      <c r="AH433" s="20"/>
    </row>
    <row r="434" spans="1:35" ht="14.4" customHeight="1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7">
        <f t="shared" si="109"/>
        <v>69.683324711830323</v>
      </c>
      <c r="O434" s="7">
        <f t="shared" ref="O434:O440" si="120">+B434+C434+D434+F434+I434+K434+J434</f>
        <v>5787.25</v>
      </c>
      <c r="P434" s="7">
        <f t="shared" si="113"/>
        <v>5717.5666752881698</v>
      </c>
      <c r="Q434" s="7">
        <f t="shared" si="114"/>
        <v>2718.9833419548363</v>
      </c>
      <c r="R434" s="7">
        <f t="shared" si="115"/>
        <v>1665</v>
      </c>
      <c r="S434" s="7">
        <v>6609</v>
      </c>
      <c r="T434" s="7">
        <v>15465</v>
      </c>
      <c r="U434" s="7">
        <v>6154</v>
      </c>
      <c r="V434" s="103">
        <v>196380</v>
      </c>
      <c r="W434" s="7">
        <f t="shared" si="98"/>
        <v>183617</v>
      </c>
      <c r="X434" s="103">
        <f t="shared" si="99"/>
        <v>204914</v>
      </c>
      <c r="Y434" s="103"/>
      <c r="AB434" s="2">
        <v>8534</v>
      </c>
      <c r="AC434" s="78">
        <v>184135</v>
      </c>
      <c r="AD434" s="103">
        <f t="shared" si="108"/>
        <v>204914</v>
      </c>
      <c r="AE434" s="192">
        <f t="shared" ref="AE434:AE440" si="121">+(Z434/AC434*0.95)</f>
        <v>0</v>
      </c>
      <c r="AF434" s="192">
        <f t="shared" ref="AF434:AF440" si="122">+(AB434/AD434*0.6)</f>
        <v>2.498804376470129E-2</v>
      </c>
      <c r="AG434" s="20">
        <f t="shared" ref="AG434:AG444" si="123">+AE434*K434</f>
        <v>0</v>
      </c>
      <c r="AH434" s="20">
        <f t="shared" ref="AH434:AH444" si="124">+AF434*I434</f>
        <v>69.683324711830323</v>
      </c>
    </row>
    <row r="435" spans="1:35" ht="14.4" customHeight="1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7">
        <f t="shared" si="109"/>
        <v>46.825575256963646</v>
      </c>
      <c r="O435" s="7">
        <f t="shared" si="120"/>
        <v>5950.0833333333339</v>
      </c>
      <c r="P435" s="7">
        <f t="shared" si="113"/>
        <v>5903.25775807637</v>
      </c>
      <c r="Q435" s="7">
        <f t="shared" si="114"/>
        <v>2712.3410914097035</v>
      </c>
      <c r="R435" s="7">
        <f t="shared" si="115"/>
        <v>1867.25</v>
      </c>
      <c r="S435" s="7">
        <v>5213</v>
      </c>
      <c r="T435" s="7">
        <v>14214</v>
      </c>
      <c r="U435" s="7">
        <v>6087</v>
      </c>
      <c r="V435" s="103">
        <v>219045</v>
      </c>
      <c r="W435" s="7">
        <f t="shared" si="98"/>
        <v>207745</v>
      </c>
      <c r="X435" s="103">
        <f t="shared" si="99"/>
        <v>225421</v>
      </c>
      <c r="Y435" s="103"/>
      <c r="AB435" s="2">
        <v>6376</v>
      </c>
      <c r="AC435" s="78">
        <v>196484</v>
      </c>
      <c r="AD435" s="103">
        <f t="shared" si="108"/>
        <v>225421</v>
      </c>
      <c r="AE435" s="192">
        <f t="shared" si="121"/>
        <v>0</v>
      </c>
      <c r="AF435" s="192">
        <f t="shared" si="122"/>
        <v>1.6970912204275556E-2</v>
      </c>
      <c r="AG435" s="20">
        <f t="shared" si="123"/>
        <v>0</v>
      </c>
      <c r="AH435" s="20">
        <f t="shared" si="124"/>
        <v>46.825575256963646</v>
      </c>
    </row>
    <row r="436" spans="1:35" ht="14.4" customHeight="1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7">
        <f t="shared" si="109"/>
        <v>21.149116287151166</v>
      </c>
      <c r="O436" s="7">
        <f t="shared" si="120"/>
        <v>6018.833333333333</v>
      </c>
      <c r="P436" s="7">
        <f t="shared" si="113"/>
        <v>5997.6842170461814</v>
      </c>
      <c r="Q436" s="7">
        <f t="shared" si="114"/>
        <v>2750.6666666666665</v>
      </c>
      <c r="R436" s="7">
        <f t="shared" si="115"/>
        <v>1900.7675503795153</v>
      </c>
      <c r="S436" s="7">
        <v>3668</v>
      </c>
      <c r="T436" s="7">
        <v>12505</v>
      </c>
      <c r="U436" s="7">
        <v>6939</v>
      </c>
      <c r="V436" s="103">
        <v>227633</v>
      </c>
      <c r="W436" s="7">
        <f t="shared" si="98"/>
        <v>217026</v>
      </c>
      <c r="X436" s="103">
        <f t="shared" si="99"/>
        <v>227633</v>
      </c>
      <c r="Y436" s="103"/>
      <c r="Z436" s="7">
        <v>2400</v>
      </c>
      <c r="AB436" s="2"/>
      <c r="AC436" s="78">
        <v>207194</v>
      </c>
      <c r="AD436" s="103">
        <f t="shared" si="108"/>
        <v>227633</v>
      </c>
      <c r="AE436" s="192">
        <f t="shared" si="121"/>
        <v>1.1004179657712094E-2</v>
      </c>
      <c r="AF436" s="192">
        <f t="shared" si="122"/>
        <v>0</v>
      </c>
      <c r="AG436" s="20">
        <f t="shared" si="123"/>
        <v>21.149116287151166</v>
      </c>
      <c r="AH436" s="20">
        <f t="shared" si="124"/>
        <v>0</v>
      </c>
    </row>
    <row r="437" spans="1:35" ht="14.4" customHeight="1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7">
        <f t="shared" si="109"/>
        <v>16.022096524951788</v>
      </c>
      <c r="O437" s="7">
        <f t="shared" si="120"/>
        <v>5827.5</v>
      </c>
      <c r="P437" s="7">
        <f t="shared" si="113"/>
        <v>5811.4779034750482</v>
      </c>
      <c r="Q437" s="7">
        <f t="shared" si="114"/>
        <v>2685.6445701417151</v>
      </c>
      <c r="R437" s="7">
        <f t="shared" si="115"/>
        <v>1872.5</v>
      </c>
      <c r="S437" s="7">
        <v>4251</v>
      </c>
      <c r="T437" s="7">
        <v>15359</v>
      </c>
      <c r="U437" s="7">
        <v>8600</v>
      </c>
      <c r="V437" s="103">
        <v>237710</v>
      </c>
      <c r="W437" s="7">
        <f t="shared" si="98"/>
        <v>224859</v>
      </c>
      <c r="X437" s="103">
        <f t="shared" si="99"/>
        <v>240083</v>
      </c>
      <c r="Y437" s="103"/>
      <c r="AB437" s="2">
        <v>2373</v>
      </c>
      <c r="AC437" s="78">
        <v>213939</v>
      </c>
      <c r="AD437" s="103">
        <f t="shared" si="108"/>
        <v>240083</v>
      </c>
      <c r="AE437" s="192">
        <f t="shared" si="121"/>
        <v>0</v>
      </c>
      <c r="AF437" s="192">
        <f t="shared" si="122"/>
        <v>5.9304490530358248E-3</v>
      </c>
      <c r="AG437" s="20">
        <f t="shared" si="123"/>
        <v>0</v>
      </c>
      <c r="AH437" s="20">
        <f t="shared" si="124"/>
        <v>16.022096524951788</v>
      </c>
    </row>
    <row r="438" spans="1:35" ht="14.4" customHeight="1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7">
        <f t="shared" si="109"/>
        <v>0</v>
      </c>
      <c r="O438" s="7">
        <f t="shared" si="120"/>
        <v>5880</v>
      </c>
      <c r="P438" s="7">
        <f t="shared" si="113"/>
        <v>5880</v>
      </c>
      <c r="Q438" s="7">
        <f t="shared" si="114"/>
        <v>2746.5</v>
      </c>
      <c r="R438" s="7">
        <f t="shared" si="115"/>
        <v>1756.1666666666667</v>
      </c>
      <c r="S438" s="7">
        <v>5672</v>
      </c>
      <c r="T438" s="7">
        <v>16111</v>
      </c>
      <c r="U438" s="7">
        <v>7767</v>
      </c>
      <c r="V438" s="103">
        <v>236877</v>
      </c>
      <c r="W438" s="7">
        <f t="shared" si="98"/>
        <v>223438</v>
      </c>
      <c r="X438" s="103">
        <f t="shared" si="99"/>
        <v>236877</v>
      </c>
      <c r="Y438" s="103"/>
      <c r="AB438" s="2"/>
      <c r="AC438" s="78">
        <v>202249</v>
      </c>
      <c r="AD438" s="103">
        <f t="shared" si="108"/>
        <v>236877</v>
      </c>
      <c r="AE438" s="192">
        <f t="shared" si="121"/>
        <v>0</v>
      </c>
      <c r="AF438" s="192">
        <f t="shared" si="122"/>
        <v>0</v>
      </c>
      <c r="AG438" s="20">
        <f t="shared" si="123"/>
        <v>0</v>
      </c>
      <c r="AH438" s="20">
        <f t="shared" si="124"/>
        <v>0</v>
      </c>
    </row>
    <row r="439" spans="1:35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7">
        <f t="shared" si="109"/>
        <v>0</v>
      </c>
      <c r="O439" s="7">
        <f t="shared" si="120"/>
        <v>5520.416666666667</v>
      </c>
      <c r="P439" s="7">
        <f t="shared" si="113"/>
        <v>5520.416666666667</v>
      </c>
      <c r="Q439" s="7">
        <f t="shared" si="114"/>
        <v>2638.5</v>
      </c>
      <c r="R439" s="7">
        <f t="shared" si="115"/>
        <v>1578.1666666666667</v>
      </c>
      <c r="S439" s="7">
        <v>4408</v>
      </c>
      <c r="T439" s="7">
        <v>14185</v>
      </c>
      <c r="U439" s="7">
        <v>6539</v>
      </c>
      <c r="V439" s="103">
        <v>226868</v>
      </c>
      <c r="W439" s="7">
        <f t="shared" si="98"/>
        <v>215921</v>
      </c>
      <c r="X439" s="103">
        <f t="shared" si="99"/>
        <v>226868</v>
      </c>
      <c r="Y439" s="103"/>
      <c r="AB439" s="2"/>
      <c r="AC439" s="78">
        <v>182757</v>
      </c>
      <c r="AD439" s="103">
        <f t="shared" si="108"/>
        <v>226868</v>
      </c>
      <c r="AE439" s="192">
        <f t="shared" si="121"/>
        <v>0</v>
      </c>
      <c r="AF439" s="192">
        <f t="shared" si="122"/>
        <v>0</v>
      </c>
      <c r="AG439" s="20">
        <f t="shared" si="123"/>
        <v>0</v>
      </c>
      <c r="AH439" s="20">
        <f t="shared" si="124"/>
        <v>0</v>
      </c>
    </row>
    <row r="440" spans="1:35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7">
        <f t="shared" si="109"/>
        <v>0</v>
      </c>
      <c r="O440" s="7">
        <f t="shared" si="120"/>
        <v>4250.25</v>
      </c>
      <c r="P440" s="7">
        <f t="shared" si="113"/>
        <v>4250.25</v>
      </c>
      <c r="Q440" s="7">
        <f t="shared" si="114"/>
        <v>1604.916666666667</v>
      </c>
      <c r="R440" s="7">
        <f t="shared" si="115"/>
        <v>1267.1666666666665</v>
      </c>
      <c r="S440" s="7">
        <v>5619</v>
      </c>
      <c r="T440" s="7">
        <v>16914</v>
      </c>
      <c r="U440" s="7">
        <v>8272</v>
      </c>
      <c r="V440" s="103">
        <v>161107</v>
      </c>
      <c r="W440" s="7">
        <f t="shared" si="98"/>
        <v>147216</v>
      </c>
      <c r="X440" s="103">
        <f t="shared" si="99"/>
        <v>161107</v>
      </c>
      <c r="Y440" s="103"/>
      <c r="AB440" s="2"/>
      <c r="AC440" s="78">
        <v>155764</v>
      </c>
      <c r="AD440" s="103">
        <f t="shared" si="108"/>
        <v>161107</v>
      </c>
      <c r="AE440" s="192">
        <f t="shared" si="121"/>
        <v>0</v>
      </c>
      <c r="AF440" s="192">
        <f t="shared" si="122"/>
        <v>0</v>
      </c>
      <c r="AG440" s="20">
        <f t="shared" si="123"/>
        <v>0</v>
      </c>
      <c r="AH440" s="20">
        <f t="shared" si="124"/>
        <v>0</v>
      </c>
    </row>
    <row r="441" spans="1:35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7">
        <f t="shared" si="109"/>
        <v>0</v>
      </c>
      <c r="O441" s="7">
        <f t="shared" ref="O441:O444" si="125">+B441+C441+D441+F441+I441+K441+J441</f>
        <v>5287.166666666667</v>
      </c>
      <c r="P441" s="7">
        <f t="shared" si="113"/>
        <v>5287.166666666667</v>
      </c>
      <c r="Q441" s="7">
        <f t="shared" si="114"/>
        <v>2402.5833333333335</v>
      </c>
      <c r="R441" s="7">
        <f t="shared" si="115"/>
        <v>1721.3333333333335</v>
      </c>
      <c r="S441" s="7">
        <v>9574</v>
      </c>
      <c r="T441" s="7">
        <v>16549</v>
      </c>
      <c r="U441" s="7">
        <v>3905</v>
      </c>
      <c r="V441" s="103">
        <v>196826</v>
      </c>
      <c r="W441" s="7">
        <f t="shared" si="98"/>
        <v>183347</v>
      </c>
      <c r="X441" s="103">
        <f t="shared" si="99"/>
        <v>196826</v>
      </c>
      <c r="Y441" s="103"/>
      <c r="AB441" s="2"/>
      <c r="AC441" s="78">
        <v>194766</v>
      </c>
      <c r="AD441" s="103">
        <f t="shared" si="108"/>
        <v>196826</v>
      </c>
      <c r="AE441" s="192">
        <f t="shared" ref="AE441:AE444" si="126">+(Z441/AC441*0.95)</f>
        <v>0</v>
      </c>
      <c r="AF441" s="192">
        <f t="shared" ref="AF441:AF444" si="127">+(AB441/AD441*0.6)</f>
        <v>0</v>
      </c>
      <c r="AG441" s="20">
        <f t="shared" si="123"/>
        <v>0</v>
      </c>
      <c r="AH441" s="20">
        <f t="shared" si="124"/>
        <v>0</v>
      </c>
    </row>
    <row r="442" spans="1:35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7">
        <f t="shared" si="109"/>
        <v>0</v>
      </c>
      <c r="O442" s="7">
        <f t="shared" si="125"/>
        <v>4290.6666666666661</v>
      </c>
      <c r="P442" s="7">
        <f t="shared" si="113"/>
        <v>4290.6666666666661</v>
      </c>
      <c r="Q442" s="7">
        <f t="shared" si="114"/>
        <v>2037.25</v>
      </c>
      <c r="R442" s="7">
        <f t="shared" si="115"/>
        <v>1017</v>
      </c>
      <c r="S442" s="7">
        <v>14336</v>
      </c>
      <c r="T442" s="7">
        <v>20404</v>
      </c>
      <c r="U442" s="7">
        <v>3797</v>
      </c>
      <c r="V442" s="103">
        <v>183886</v>
      </c>
      <c r="W442" s="7">
        <f t="shared" si="98"/>
        <v>165753</v>
      </c>
      <c r="X442" s="103">
        <f t="shared" si="99"/>
        <v>183886</v>
      </c>
      <c r="Y442" s="103"/>
      <c r="AC442" s="78">
        <v>113058</v>
      </c>
      <c r="AD442" s="103">
        <f t="shared" si="108"/>
        <v>183886</v>
      </c>
      <c r="AE442" s="192">
        <f t="shared" si="126"/>
        <v>0</v>
      </c>
      <c r="AF442" s="192">
        <f t="shared" si="127"/>
        <v>0</v>
      </c>
      <c r="AG442" s="20">
        <f t="shared" si="123"/>
        <v>0</v>
      </c>
      <c r="AH442" s="20">
        <f t="shared" si="124"/>
        <v>0</v>
      </c>
    </row>
    <row r="443" spans="1:35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7">
        <f t="shared" si="109"/>
        <v>0</v>
      </c>
      <c r="O443" s="7">
        <f t="shared" si="125"/>
        <v>4149.416666666667</v>
      </c>
      <c r="P443" s="7">
        <f t="shared" si="113"/>
        <v>4149.416666666667</v>
      </c>
      <c r="Q443" s="7">
        <f t="shared" si="114"/>
        <v>1658.9166666666672</v>
      </c>
      <c r="R443" s="7">
        <f t="shared" si="115"/>
        <v>1191.4166666666665</v>
      </c>
      <c r="S443" s="7">
        <v>9724</v>
      </c>
      <c r="T443" s="7">
        <v>14960</v>
      </c>
      <c r="U443" s="7">
        <v>3272</v>
      </c>
      <c r="V443" s="103">
        <v>129772</v>
      </c>
      <c r="W443" s="7">
        <f t="shared" si="98"/>
        <v>116776</v>
      </c>
      <c r="X443" s="103">
        <f t="shared" si="99"/>
        <v>129772</v>
      </c>
      <c r="Y443" s="103"/>
      <c r="AC443" s="78">
        <v>87749</v>
      </c>
      <c r="AD443" s="103">
        <f t="shared" si="108"/>
        <v>129772</v>
      </c>
      <c r="AE443" s="192">
        <f t="shared" si="126"/>
        <v>0</v>
      </c>
      <c r="AF443" s="192">
        <f t="shared" si="127"/>
        <v>0</v>
      </c>
      <c r="AG443" s="20">
        <f t="shared" si="123"/>
        <v>0</v>
      </c>
      <c r="AH443" s="20">
        <f t="shared" si="124"/>
        <v>0</v>
      </c>
    </row>
    <row r="444" spans="1:35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7">
        <f t="shared" si="109"/>
        <v>0</v>
      </c>
      <c r="O444" s="7">
        <f t="shared" si="125"/>
        <v>1315</v>
      </c>
      <c r="P444" s="7">
        <f t="shared" si="113"/>
        <v>1315</v>
      </c>
      <c r="Q444" s="7">
        <f t="shared" si="114"/>
        <v>547.5</v>
      </c>
      <c r="R444" s="7">
        <f t="shared" si="115"/>
        <v>375</v>
      </c>
      <c r="S444" s="7">
        <v>1399</v>
      </c>
      <c r="T444" s="7">
        <v>2165</v>
      </c>
      <c r="U444" s="7">
        <v>245</v>
      </c>
      <c r="V444" s="103">
        <v>23290</v>
      </c>
      <c r="W444" s="7">
        <f t="shared" si="98"/>
        <v>21646</v>
      </c>
      <c r="X444" s="103">
        <f t="shared" si="99"/>
        <v>23290</v>
      </c>
      <c r="Y444" s="103"/>
      <c r="Z444" s="74"/>
      <c r="AA444" s="74"/>
      <c r="AC444" s="78">
        <v>22179</v>
      </c>
      <c r="AD444" s="103">
        <f t="shared" si="108"/>
        <v>23290</v>
      </c>
      <c r="AE444" s="192">
        <f t="shared" si="126"/>
        <v>0</v>
      </c>
      <c r="AF444" s="192">
        <f t="shared" si="127"/>
        <v>0</v>
      </c>
      <c r="AG444" s="20">
        <f t="shared" si="123"/>
        <v>0</v>
      </c>
      <c r="AH444" s="20">
        <f t="shared" si="124"/>
        <v>0</v>
      </c>
    </row>
    <row r="445" spans="1:35" ht="16.8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0"/>
      <c r="M445"/>
      <c r="N445" s="107">
        <f t="shared" si="109"/>
        <v>0</v>
      </c>
      <c r="O445" s="7">
        <f t="shared" ref="O445:O453" si="128">+B445+C445+D445+F445+I445+K445+J445</f>
        <v>0</v>
      </c>
      <c r="P445" s="7">
        <f t="shared" si="113"/>
        <v>0</v>
      </c>
      <c r="Q445" s="7">
        <f t="shared" si="114"/>
        <v>0</v>
      </c>
      <c r="R445" s="7">
        <f t="shared" si="115"/>
        <v>0</v>
      </c>
      <c r="T445" s="7"/>
      <c r="U445" s="7"/>
      <c r="V445" s="74"/>
      <c r="W445" s="7">
        <f t="shared" si="98"/>
        <v>0</v>
      </c>
      <c r="X445" s="103">
        <f t="shared" si="99"/>
        <v>0</v>
      </c>
      <c r="Y445" s="103"/>
      <c r="Z445" s="190"/>
      <c r="AA445" s="190"/>
      <c r="AD445" s="103"/>
      <c r="AE445" s="192"/>
      <c r="AF445" s="192"/>
      <c r="AG445" s="20"/>
      <c r="AH445" s="20"/>
    </row>
    <row r="446" spans="1:35" ht="16.8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7">
        <f t="shared" si="109"/>
        <v>0</v>
      </c>
      <c r="O446" s="7">
        <f t="shared" si="128"/>
        <v>0</v>
      </c>
      <c r="P446" s="7">
        <f t="shared" si="113"/>
        <v>0</v>
      </c>
      <c r="Q446" s="7">
        <f t="shared" si="114"/>
        <v>0</v>
      </c>
      <c r="R446" s="7">
        <f t="shared" si="115"/>
        <v>0</v>
      </c>
      <c r="T446" s="7"/>
      <c r="U446" s="7"/>
      <c r="V446" s="74"/>
      <c r="W446" s="7">
        <f t="shared" si="98"/>
        <v>0</v>
      </c>
      <c r="X446" s="103">
        <f t="shared" si="99"/>
        <v>0</v>
      </c>
      <c r="Y446" s="103"/>
      <c r="Z446" s="190"/>
      <c r="AA446" s="190"/>
      <c r="AC446" s="78"/>
      <c r="AD446" s="103"/>
      <c r="AE446" s="192"/>
      <c r="AF446" s="192"/>
      <c r="AG446" s="20"/>
      <c r="AH446" s="20"/>
    </row>
    <row r="447" spans="1:35" ht="16.8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0"/>
      <c r="M447"/>
      <c r="N447" s="107">
        <f t="shared" si="109"/>
        <v>0</v>
      </c>
      <c r="O447" s="7">
        <f t="shared" si="128"/>
        <v>0</v>
      </c>
      <c r="P447" s="7">
        <f t="shared" si="113"/>
        <v>0</v>
      </c>
      <c r="Q447" s="7">
        <f t="shared" si="114"/>
        <v>0</v>
      </c>
      <c r="R447" s="7">
        <f t="shared" si="115"/>
        <v>0</v>
      </c>
      <c r="W447" s="7">
        <f t="shared" si="98"/>
        <v>0</v>
      </c>
      <c r="X447" s="103">
        <f t="shared" si="99"/>
        <v>0</v>
      </c>
      <c r="Y447" s="103"/>
      <c r="AE447" s="192"/>
      <c r="AF447" s="192"/>
      <c r="AG447" s="20"/>
      <c r="AH447" s="20"/>
    </row>
    <row r="448" spans="1:35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7">
        <f t="shared" si="109"/>
        <v>0</v>
      </c>
      <c r="O448" s="7">
        <f t="shared" si="128"/>
        <v>4476.916666666667</v>
      </c>
      <c r="P448" s="7">
        <f t="shared" si="113"/>
        <v>4476.916666666667</v>
      </c>
      <c r="Q448" s="7">
        <f t="shared" si="114"/>
        <v>1967.4999999999998</v>
      </c>
      <c r="R448" s="7">
        <f t="shared" si="115"/>
        <v>1508.7500000000002</v>
      </c>
      <c r="S448" s="7">
        <v>6457</v>
      </c>
      <c r="T448" s="7">
        <v>9332</v>
      </c>
      <c r="U448" s="7">
        <v>797</v>
      </c>
      <c r="V448" s="103">
        <v>140064</v>
      </c>
      <c r="W448" s="7">
        <f t="shared" si="98"/>
        <v>132810</v>
      </c>
      <c r="X448" s="103">
        <f t="shared" si="99"/>
        <v>140064</v>
      </c>
      <c r="Y448" s="103"/>
      <c r="Z448" s="190"/>
      <c r="AA448" s="190"/>
      <c r="AC448" s="78">
        <v>167958</v>
      </c>
      <c r="AD448" s="103">
        <f t="shared" ref="AD448:AD511" si="129">+X448</f>
        <v>140064</v>
      </c>
      <c r="AE448" s="192">
        <f t="shared" ref="AE448:AE453" si="130">+(Z448/AC448*0.95)</f>
        <v>0</v>
      </c>
      <c r="AF448" s="192">
        <f t="shared" ref="AF448:AF453" si="131">+(AB448/AD448*0.6)</f>
        <v>0</v>
      </c>
      <c r="AG448" s="20">
        <f t="shared" ref="AG448:AG453" si="132">+AE448*K448</f>
        <v>0</v>
      </c>
      <c r="AH448" s="20">
        <f t="shared" ref="AH448:AH453" si="133">+AF448*I448</f>
        <v>0</v>
      </c>
      <c r="AI448" s="27"/>
    </row>
    <row r="449" spans="1:35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7">
        <f t="shared" si="109"/>
        <v>0</v>
      </c>
      <c r="O449" s="7">
        <f t="shared" si="128"/>
        <v>4569.2500000000009</v>
      </c>
      <c r="P449" s="7">
        <f t="shared" si="113"/>
        <v>4569.2500000000009</v>
      </c>
      <c r="Q449" s="7">
        <f t="shared" si="114"/>
        <v>2263.916666666667</v>
      </c>
      <c r="R449" s="7">
        <f t="shared" si="115"/>
        <v>1369.6666666666667</v>
      </c>
      <c r="S449" s="7">
        <v>7810</v>
      </c>
      <c r="T449" s="7">
        <v>11346</v>
      </c>
      <c r="U449" s="7">
        <v>3161</v>
      </c>
      <c r="V449" s="103">
        <v>194351</v>
      </c>
      <c r="W449" s="7">
        <f t="shared" si="98"/>
        <v>183380</v>
      </c>
      <c r="X449" s="103">
        <f t="shared" si="99"/>
        <v>194351</v>
      </c>
      <c r="Y449" s="103"/>
      <c r="AC449" s="78">
        <v>154730</v>
      </c>
      <c r="AD449" s="103">
        <f t="shared" si="129"/>
        <v>194351</v>
      </c>
      <c r="AE449" s="192">
        <f t="shared" si="130"/>
        <v>0</v>
      </c>
      <c r="AF449" s="192">
        <f t="shared" si="131"/>
        <v>0</v>
      </c>
      <c r="AG449" s="20">
        <f t="shared" si="132"/>
        <v>0</v>
      </c>
      <c r="AH449" s="20">
        <f t="shared" si="133"/>
        <v>0</v>
      </c>
      <c r="AI449" s="27"/>
    </row>
    <row r="450" spans="1:35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7">
        <f t="shared" si="109"/>
        <v>106.82105888504971</v>
      </c>
      <c r="O450" s="7">
        <f t="shared" si="128"/>
        <v>4595</v>
      </c>
      <c r="P450" s="7">
        <f t="shared" si="113"/>
        <v>4488.1789411149502</v>
      </c>
      <c r="Q450" s="7">
        <f t="shared" si="114"/>
        <v>2349.6666666666665</v>
      </c>
      <c r="R450" s="7">
        <f t="shared" si="115"/>
        <v>1082.4289411149502</v>
      </c>
      <c r="S450" s="7">
        <v>5754</v>
      </c>
      <c r="T450" s="7">
        <v>12904</v>
      </c>
      <c r="U450" s="7">
        <v>5147</v>
      </c>
      <c r="V450" s="103">
        <v>197964</v>
      </c>
      <c r="W450" s="7">
        <f t="shared" si="98"/>
        <v>187063</v>
      </c>
      <c r="X450" s="103">
        <f t="shared" si="99"/>
        <v>197964</v>
      </c>
      <c r="Y450" s="103"/>
      <c r="Z450" s="7">
        <v>14284</v>
      </c>
      <c r="AB450" s="2"/>
      <c r="AC450" s="78">
        <v>151074</v>
      </c>
      <c r="AD450" s="103">
        <f t="shared" si="129"/>
        <v>197964</v>
      </c>
      <c r="AE450" s="192">
        <f t="shared" si="130"/>
        <v>8.9822206335967797E-2</v>
      </c>
      <c r="AF450" s="192">
        <f t="shared" si="131"/>
        <v>0</v>
      </c>
      <c r="AG450" s="20">
        <f t="shared" si="132"/>
        <v>106.82105888504971</v>
      </c>
      <c r="AH450" s="20">
        <f t="shared" si="133"/>
        <v>0</v>
      </c>
      <c r="AI450" s="27"/>
    </row>
    <row r="451" spans="1:35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7">
        <f t="shared" si="109"/>
        <v>688.45810163156511</v>
      </c>
      <c r="O451" s="7">
        <f t="shared" si="128"/>
        <v>4358.75</v>
      </c>
      <c r="P451" s="7">
        <f t="shared" si="113"/>
        <v>3670.2918983684349</v>
      </c>
      <c r="Q451" s="7">
        <f t="shared" si="114"/>
        <v>1798.2867064728571</v>
      </c>
      <c r="R451" s="7">
        <f t="shared" si="115"/>
        <v>772.17185856224421</v>
      </c>
      <c r="S451" s="7">
        <v>5907</v>
      </c>
      <c r="T451" s="7">
        <v>13679</v>
      </c>
      <c r="U451" s="7">
        <v>5416</v>
      </c>
      <c r="V451" s="103">
        <v>138247</v>
      </c>
      <c r="W451" s="7">
        <f t="shared" ref="W451:W514" si="134">+V451-U451-S451+AA451</f>
        <v>126924</v>
      </c>
      <c r="X451" s="103">
        <f t="shared" ref="X451:X514" si="135">+V451+AB451+AA451</f>
        <v>178113</v>
      </c>
      <c r="Y451" s="103"/>
      <c r="Z451" s="7">
        <v>59293</v>
      </c>
      <c r="AB451" s="2">
        <v>39866</v>
      </c>
      <c r="AC451" s="78">
        <v>162545</v>
      </c>
      <c r="AD451" s="103">
        <f t="shared" si="129"/>
        <v>178113</v>
      </c>
      <c r="AE451" s="192">
        <f t="shared" si="130"/>
        <v>0.34654003506721215</v>
      </c>
      <c r="AF451" s="192">
        <f>+(AB451/AD451*0.6)</f>
        <v>0.13429452089403918</v>
      </c>
      <c r="AG451" s="20">
        <f t="shared" si="132"/>
        <v>409.4948081044223</v>
      </c>
      <c r="AH451" s="20">
        <f t="shared" si="133"/>
        <v>278.96329352714287</v>
      </c>
      <c r="AI451" s="27"/>
    </row>
    <row r="452" spans="1:35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7">
        <f t="shared" si="109"/>
        <v>131.61444828255495</v>
      </c>
      <c r="O452" s="7">
        <f t="shared" si="128"/>
        <v>4002.3333333333335</v>
      </c>
      <c r="P452" s="7">
        <f t="shared" si="113"/>
        <v>3870.7188850507782</v>
      </c>
      <c r="Q452" s="7">
        <f t="shared" si="114"/>
        <v>1668.1611056075296</v>
      </c>
      <c r="R452" s="7">
        <f t="shared" si="115"/>
        <v>956.89111277658196</v>
      </c>
      <c r="S452" s="7">
        <v>4246</v>
      </c>
      <c r="T452" s="7">
        <v>12029</v>
      </c>
      <c r="U452" s="7">
        <v>5459</v>
      </c>
      <c r="V452" s="103">
        <v>135013</v>
      </c>
      <c r="W452" s="7">
        <f t="shared" si="134"/>
        <v>125308</v>
      </c>
      <c r="X452" s="103">
        <f t="shared" si="135"/>
        <v>152426</v>
      </c>
      <c r="Y452" s="103"/>
      <c r="Z452" s="7">
        <v>1108</v>
      </c>
      <c r="AB452" s="2">
        <v>17413</v>
      </c>
      <c r="AC452" s="78">
        <v>114749</v>
      </c>
      <c r="AD452" s="103">
        <f t="shared" si="129"/>
        <v>152426</v>
      </c>
      <c r="AE452" s="192">
        <f t="shared" si="130"/>
        <v>9.1730646890168972E-3</v>
      </c>
      <c r="AF452" s="192">
        <f t="shared" si="131"/>
        <v>6.8543424350176477E-2</v>
      </c>
      <c r="AG452" s="20">
        <f t="shared" si="132"/>
        <v>8.8588872234180691</v>
      </c>
      <c r="AH452" s="20">
        <f t="shared" si="133"/>
        <v>122.75556105913688</v>
      </c>
      <c r="AI452" s="27"/>
    </row>
    <row r="453" spans="1:35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7">
        <f t="shared" si="109"/>
        <v>90.738158811237525</v>
      </c>
      <c r="O453" s="7">
        <f t="shared" si="128"/>
        <v>3928.9166666666661</v>
      </c>
      <c r="P453" s="7">
        <f t="shared" si="113"/>
        <v>3838.1785078554285</v>
      </c>
      <c r="Q453" s="7">
        <f t="shared" si="114"/>
        <v>1566.7618411887624</v>
      </c>
      <c r="R453" s="7">
        <f t="shared" si="115"/>
        <v>985.08333333333326</v>
      </c>
      <c r="S453" s="7">
        <v>9615</v>
      </c>
      <c r="T453" s="7">
        <v>16208</v>
      </c>
      <c r="U453" s="7">
        <v>5323</v>
      </c>
      <c r="V453" s="103">
        <v>133077</v>
      </c>
      <c r="W453" s="7">
        <f t="shared" si="134"/>
        <v>118139</v>
      </c>
      <c r="X453" s="103">
        <f t="shared" si="135"/>
        <v>146438</v>
      </c>
      <c r="Y453" s="103"/>
      <c r="AB453" s="2">
        <v>13361</v>
      </c>
      <c r="AC453" s="78">
        <v>92110</v>
      </c>
      <c r="AD453" s="103">
        <f t="shared" si="129"/>
        <v>146438</v>
      </c>
      <c r="AE453" s="192">
        <f t="shared" si="130"/>
        <v>0</v>
      </c>
      <c r="AF453" s="192">
        <f t="shared" si="131"/>
        <v>5.4743987216432893E-2</v>
      </c>
      <c r="AG453" s="20">
        <f t="shared" si="132"/>
        <v>0</v>
      </c>
      <c r="AH453" s="20">
        <f t="shared" si="133"/>
        <v>90.738158811237525</v>
      </c>
      <c r="AI453" s="27"/>
    </row>
    <row r="454" spans="1:35" ht="16.8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7">
        <f t="shared" si="109"/>
        <v>0</v>
      </c>
      <c r="O454" s="7">
        <f t="shared" ref="O454:O461" si="136">+B454+C454+D454+F454+I454+K454+J454</f>
        <v>0</v>
      </c>
      <c r="P454" s="7">
        <f t="shared" si="113"/>
        <v>0</v>
      </c>
      <c r="Q454" s="7">
        <f t="shared" si="114"/>
        <v>0</v>
      </c>
      <c r="R454" s="7">
        <f t="shared" si="115"/>
        <v>0</v>
      </c>
      <c r="S454" s="165"/>
      <c r="T454" s="164"/>
      <c r="V454" s="103"/>
      <c r="W454" s="7">
        <f t="shared" si="134"/>
        <v>0</v>
      </c>
      <c r="X454" s="103">
        <f t="shared" si="135"/>
        <v>0</v>
      </c>
      <c r="Y454" s="103"/>
      <c r="AB454" s="2"/>
      <c r="AD454" s="103"/>
      <c r="AE454" s="192"/>
      <c r="AF454" s="192"/>
      <c r="AG454" s="20"/>
      <c r="AH454" s="20"/>
    </row>
    <row r="455" spans="1:35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7">
        <f t="shared" si="109"/>
        <v>0</v>
      </c>
      <c r="O455" s="7">
        <f t="shared" si="136"/>
        <v>4098.75</v>
      </c>
      <c r="P455" s="7">
        <f t="shared" si="113"/>
        <v>4098.75</v>
      </c>
      <c r="Q455" s="7">
        <f t="shared" si="114"/>
        <v>1681.75</v>
      </c>
      <c r="R455" s="7">
        <f t="shared" si="115"/>
        <v>1144.5833333333335</v>
      </c>
      <c r="S455" s="7">
        <v>5240</v>
      </c>
      <c r="T455" s="7">
        <v>11539</v>
      </c>
      <c r="U455" s="7">
        <v>3567</v>
      </c>
      <c r="V455" s="103">
        <v>137391</v>
      </c>
      <c r="W455" s="7">
        <f t="shared" si="134"/>
        <v>128584</v>
      </c>
      <c r="X455" s="103">
        <f t="shared" si="135"/>
        <v>137391</v>
      </c>
      <c r="Y455" s="103"/>
      <c r="AB455" s="2"/>
      <c r="AC455" s="78">
        <v>147380</v>
      </c>
      <c r="AD455" s="103">
        <f t="shared" si="129"/>
        <v>137391</v>
      </c>
      <c r="AE455" s="192">
        <f t="shared" ref="AE455:AE460" si="137">+(Z455/AC455*0.95)</f>
        <v>0</v>
      </c>
      <c r="AF455" s="192">
        <f t="shared" ref="AF455:AF460" si="138">+(AB455/AD455*0.6)</f>
        <v>0</v>
      </c>
      <c r="AG455" s="20">
        <f t="shared" ref="AG455:AG460" si="139">+AE455*K455</f>
        <v>0</v>
      </c>
      <c r="AH455" s="20">
        <f t="shared" ref="AH455:AH460" si="140">+AF455*I455</f>
        <v>0</v>
      </c>
    </row>
    <row r="456" spans="1:35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7">
        <f t="shared" si="109"/>
        <v>0</v>
      </c>
      <c r="O456" s="7">
        <f t="shared" si="136"/>
        <v>4021.0833333333335</v>
      </c>
      <c r="P456" s="7">
        <f t="shared" si="113"/>
        <v>4021.0833333333335</v>
      </c>
      <c r="Q456" s="7">
        <f t="shared" si="114"/>
        <v>1603.0833333333333</v>
      </c>
      <c r="R456" s="7">
        <f t="shared" si="115"/>
        <v>1177.9166666666665</v>
      </c>
      <c r="S456" s="7">
        <v>4995</v>
      </c>
      <c r="T456" s="7">
        <v>11431</v>
      </c>
      <c r="U456" s="7">
        <v>5823</v>
      </c>
      <c r="V456" s="103">
        <v>150863</v>
      </c>
      <c r="W456" s="7">
        <f t="shared" si="134"/>
        <v>140045</v>
      </c>
      <c r="X456" s="103">
        <f t="shared" si="135"/>
        <v>150863</v>
      </c>
      <c r="Y456" s="103"/>
      <c r="AB456" s="2"/>
      <c r="AC456" s="78">
        <v>148942</v>
      </c>
      <c r="AD456" s="103">
        <f t="shared" si="129"/>
        <v>150863</v>
      </c>
      <c r="AE456" s="192">
        <f t="shared" si="137"/>
        <v>0</v>
      </c>
      <c r="AF456" s="192">
        <f t="shared" si="138"/>
        <v>0</v>
      </c>
      <c r="AG456" s="20">
        <f t="shared" si="139"/>
        <v>0</v>
      </c>
      <c r="AH456" s="20">
        <f t="shared" si="140"/>
        <v>0</v>
      </c>
    </row>
    <row r="457" spans="1:35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7">
        <f t="shared" si="109"/>
        <v>136.00679111287204</v>
      </c>
      <c r="O457" s="7">
        <f t="shared" si="136"/>
        <v>3995.6666666666665</v>
      </c>
      <c r="P457" s="7">
        <f t="shared" si="113"/>
        <v>3859.6598755537952</v>
      </c>
      <c r="Q457" s="7">
        <f t="shared" si="114"/>
        <v>1488.4098755537948</v>
      </c>
      <c r="R457" s="7">
        <f t="shared" si="115"/>
        <v>1075.25</v>
      </c>
      <c r="S457" s="7">
        <v>8491</v>
      </c>
      <c r="T457" s="7">
        <v>14221</v>
      </c>
      <c r="U457" s="7">
        <v>4190</v>
      </c>
      <c r="V457" s="103">
        <v>143333</v>
      </c>
      <c r="W457" s="7">
        <f t="shared" si="134"/>
        <v>130652</v>
      </c>
      <c r="X457" s="103">
        <f t="shared" si="135"/>
        <v>166578</v>
      </c>
      <c r="Y457" s="103"/>
      <c r="AB457" s="2">
        <v>23245</v>
      </c>
      <c r="AC457" s="78">
        <v>139764</v>
      </c>
      <c r="AD457" s="103">
        <f t="shared" si="129"/>
        <v>166578</v>
      </c>
      <c r="AE457" s="192">
        <f t="shared" si="137"/>
        <v>0</v>
      </c>
      <c r="AF457" s="192">
        <f t="shared" si="138"/>
        <v>8.3726542520620964E-2</v>
      </c>
      <c r="AG457" s="20">
        <f t="shared" si="139"/>
        <v>0</v>
      </c>
      <c r="AH457" s="20">
        <f t="shared" si="140"/>
        <v>136.00679111287204</v>
      </c>
    </row>
    <row r="458" spans="1:35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7">
        <f t="shared" si="109"/>
        <v>176.13562084857003</v>
      </c>
      <c r="O458" s="7">
        <f t="shared" si="136"/>
        <v>4143.75</v>
      </c>
      <c r="P458" s="7">
        <f t="shared" si="113"/>
        <v>3967.6143791514301</v>
      </c>
      <c r="Q458" s="7">
        <f t="shared" si="114"/>
        <v>1957.8829230935446</v>
      </c>
      <c r="R458" s="7">
        <f t="shared" si="115"/>
        <v>663.39812272455174</v>
      </c>
      <c r="S458" s="7">
        <v>7998</v>
      </c>
      <c r="T458" s="7">
        <v>15062</v>
      </c>
      <c r="U458" s="7">
        <v>4799</v>
      </c>
      <c r="V458" s="103">
        <v>157309</v>
      </c>
      <c r="W458" s="7">
        <f t="shared" si="134"/>
        <v>144512</v>
      </c>
      <c r="X458" s="103">
        <f t="shared" si="135"/>
        <v>157347</v>
      </c>
      <c r="Y458" s="103"/>
      <c r="Z458" s="7">
        <v>22476</v>
      </c>
      <c r="AB458" s="2">
        <v>38</v>
      </c>
      <c r="AC458" s="78">
        <v>101903</v>
      </c>
      <c r="AD458" s="103">
        <f t="shared" si="129"/>
        <v>157347</v>
      </c>
      <c r="AE458" s="192">
        <f t="shared" si="137"/>
        <v>0.20953455737318821</v>
      </c>
      <c r="AF458" s="192">
        <f t="shared" si="138"/>
        <v>1.4490266735304772E-4</v>
      </c>
      <c r="AG458" s="20">
        <f t="shared" si="139"/>
        <v>175.8518772754482</v>
      </c>
      <c r="AH458" s="20">
        <f t="shared" si="140"/>
        <v>0.28374357312182624</v>
      </c>
    </row>
    <row r="459" spans="1:35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7">
        <f t="shared" si="109"/>
        <v>0</v>
      </c>
      <c r="O459" s="7">
        <f t="shared" si="136"/>
        <v>4136.5833333333339</v>
      </c>
      <c r="P459" s="7">
        <f t="shared" si="113"/>
        <v>4136.5833333333339</v>
      </c>
      <c r="Q459" s="7">
        <f t="shared" si="114"/>
        <v>1873.75</v>
      </c>
      <c r="R459" s="7">
        <f t="shared" si="115"/>
        <v>1035.4166666666665</v>
      </c>
      <c r="S459" s="7">
        <v>7154</v>
      </c>
      <c r="T459" s="7">
        <v>12498</v>
      </c>
      <c r="U459" s="7">
        <v>4183</v>
      </c>
      <c r="V459" s="103">
        <v>156080</v>
      </c>
      <c r="W459" s="7">
        <f t="shared" si="134"/>
        <v>144743</v>
      </c>
      <c r="X459" s="103">
        <f t="shared" si="135"/>
        <v>156080</v>
      </c>
      <c r="Y459" s="103"/>
      <c r="AB459" s="2"/>
      <c r="AC459" s="78">
        <v>120543</v>
      </c>
      <c r="AD459" s="103">
        <f t="shared" si="129"/>
        <v>156080</v>
      </c>
      <c r="AE459" s="192">
        <f t="shared" si="137"/>
        <v>0</v>
      </c>
      <c r="AF459" s="192">
        <f t="shared" si="138"/>
        <v>0</v>
      </c>
      <c r="AG459" s="20">
        <f t="shared" si="139"/>
        <v>0</v>
      </c>
      <c r="AH459" s="20">
        <f t="shared" si="140"/>
        <v>0</v>
      </c>
    </row>
    <row r="460" spans="1:35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7">
        <f t="shared" si="109"/>
        <v>0</v>
      </c>
      <c r="O460" s="7">
        <f t="shared" si="136"/>
        <v>3467.666666666667</v>
      </c>
      <c r="P460" s="7">
        <f t="shared" si="113"/>
        <v>3467.666666666667</v>
      </c>
      <c r="Q460" s="7">
        <f t="shared" si="114"/>
        <v>1467.4999999999998</v>
      </c>
      <c r="R460" s="7">
        <f t="shared" si="115"/>
        <v>936.66666666666674</v>
      </c>
      <c r="S460" s="7">
        <v>6315</v>
      </c>
      <c r="T460" s="7">
        <v>12155</v>
      </c>
      <c r="U460" s="7">
        <v>4270</v>
      </c>
      <c r="V460" s="103">
        <v>126619</v>
      </c>
      <c r="W460" s="7">
        <f t="shared" si="134"/>
        <v>116034</v>
      </c>
      <c r="X460" s="103">
        <f t="shared" si="135"/>
        <v>126619</v>
      </c>
      <c r="Y460" s="103"/>
      <c r="AB460" s="2"/>
      <c r="AC460" s="78">
        <v>114645</v>
      </c>
      <c r="AD460" s="103">
        <f t="shared" si="129"/>
        <v>126619</v>
      </c>
      <c r="AE460" s="192">
        <f t="shared" si="137"/>
        <v>0</v>
      </c>
      <c r="AF460" s="192">
        <f t="shared" si="138"/>
        <v>0</v>
      </c>
      <c r="AG460" s="20">
        <f t="shared" si="139"/>
        <v>0</v>
      </c>
      <c r="AH460" s="20">
        <f t="shared" si="140"/>
        <v>0</v>
      </c>
    </row>
    <row r="461" spans="1:35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7">
        <f t="shared" si="109"/>
        <v>0</v>
      </c>
      <c r="O461" s="7">
        <f t="shared" si="136"/>
        <v>0</v>
      </c>
      <c r="P461" s="7">
        <f t="shared" si="113"/>
        <v>0</v>
      </c>
      <c r="Q461" s="7">
        <f t="shared" si="114"/>
        <v>0</v>
      </c>
      <c r="R461" s="7">
        <f t="shared" si="115"/>
        <v>0</v>
      </c>
      <c r="T461" s="7"/>
      <c r="U461" s="7"/>
      <c r="V461" s="103"/>
      <c r="W461" s="7">
        <f t="shared" si="134"/>
        <v>0</v>
      </c>
      <c r="X461" s="103">
        <f t="shared" si="135"/>
        <v>0</v>
      </c>
      <c r="Y461" s="103"/>
      <c r="AB461" s="2"/>
      <c r="AC461" s="78"/>
      <c r="AD461" s="103"/>
      <c r="AE461" s="192"/>
      <c r="AF461" s="192"/>
      <c r="AG461" s="20"/>
      <c r="AH461" s="20"/>
    </row>
    <row r="462" spans="1:35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7">
        <f t="shared" si="109"/>
        <v>0</v>
      </c>
      <c r="O462" s="7">
        <f t="shared" ref="O462:O467" si="141">+B462+C462+D462+F462+I462+K462+J462</f>
        <v>4392.75</v>
      </c>
      <c r="P462" s="7">
        <f t="shared" si="113"/>
        <v>4392.75</v>
      </c>
      <c r="Q462" s="7">
        <f t="shared" si="114"/>
        <v>2024.75</v>
      </c>
      <c r="R462" s="7">
        <f t="shared" si="115"/>
        <v>1208.9166666666667</v>
      </c>
      <c r="S462" s="7">
        <v>3132</v>
      </c>
      <c r="T462" s="7">
        <v>9963</v>
      </c>
      <c r="U462" s="7">
        <v>2447</v>
      </c>
      <c r="V462" s="103">
        <v>141815</v>
      </c>
      <c r="W462" s="7">
        <f t="shared" si="134"/>
        <v>136236</v>
      </c>
      <c r="X462" s="103">
        <f t="shared" si="135"/>
        <v>141815</v>
      </c>
      <c r="Y462" s="103"/>
      <c r="AB462" s="2"/>
      <c r="AC462" s="78">
        <v>138164</v>
      </c>
      <c r="AD462" s="103">
        <f t="shared" si="129"/>
        <v>141815</v>
      </c>
      <c r="AE462" s="192">
        <f t="shared" ref="AE462:AE467" si="142">+(Z462/AC462*0.95)</f>
        <v>0</v>
      </c>
      <c r="AF462" s="192">
        <f t="shared" ref="AF462:AF467" si="143">+(AB462/AD462*0.6)</f>
        <v>0</v>
      </c>
      <c r="AG462" s="20">
        <f t="shared" ref="AG462:AG467" si="144">+AE462*K462</f>
        <v>0</v>
      </c>
      <c r="AH462" s="20">
        <f t="shared" ref="AH462:AH467" si="145">+AF462*I462</f>
        <v>0</v>
      </c>
    </row>
    <row r="463" spans="1:35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7">
        <f t="shared" si="109"/>
        <v>0</v>
      </c>
      <c r="O463" s="7">
        <f t="shared" si="141"/>
        <v>4303.3333333333339</v>
      </c>
      <c r="P463" s="7">
        <f t="shared" si="113"/>
        <v>4303.3333333333339</v>
      </c>
      <c r="Q463" s="7">
        <f t="shared" si="114"/>
        <v>1829.75</v>
      </c>
      <c r="R463" s="7">
        <f t="shared" si="115"/>
        <v>1200.0833333333335</v>
      </c>
      <c r="S463" s="7">
        <v>4480</v>
      </c>
      <c r="T463" s="7">
        <v>10171</v>
      </c>
      <c r="U463" s="7">
        <v>3563</v>
      </c>
      <c r="V463" s="103">
        <v>142688</v>
      </c>
      <c r="W463" s="7">
        <f t="shared" si="134"/>
        <v>134645</v>
      </c>
      <c r="X463" s="103">
        <f t="shared" si="135"/>
        <v>142688</v>
      </c>
      <c r="Y463" s="103"/>
      <c r="AC463" s="78">
        <v>150498</v>
      </c>
      <c r="AD463" s="103">
        <f t="shared" si="129"/>
        <v>142688</v>
      </c>
      <c r="AE463" s="192">
        <f t="shared" si="142"/>
        <v>0</v>
      </c>
      <c r="AF463" s="192">
        <f t="shared" si="143"/>
        <v>0</v>
      </c>
      <c r="AG463" s="20">
        <f t="shared" si="144"/>
        <v>0</v>
      </c>
      <c r="AH463" s="20">
        <f t="shared" si="145"/>
        <v>0</v>
      </c>
    </row>
    <row r="464" spans="1:35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7">
        <f t="shared" si="109"/>
        <v>0</v>
      </c>
      <c r="O464" s="7">
        <f t="shared" si="141"/>
        <v>4470.25</v>
      </c>
      <c r="P464" s="7">
        <f t="shared" si="113"/>
        <v>4470.25</v>
      </c>
      <c r="Q464" s="7">
        <f t="shared" si="114"/>
        <v>2172.8333333333335</v>
      </c>
      <c r="R464" s="7">
        <f t="shared" si="115"/>
        <v>1137.25</v>
      </c>
      <c r="S464" s="7">
        <v>5197</v>
      </c>
      <c r="T464" s="7">
        <v>11257</v>
      </c>
      <c r="U464" s="7">
        <v>4194</v>
      </c>
      <c r="V464" s="103">
        <v>173757</v>
      </c>
      <c r="W464" s="7">
        <f t="shared" si="134"/>
        <v>164366</v>
      </c>
      <c r="X464" s="103">
        <f t="shared" si="135"/>
        <v>173757</v>
      </c>
      <c r="Y464" s="103"/>
      <c r="AC464" s="78">
        <v>135226</v>
      </c>
      <c r="AD464" s="103">
        <f t="shared" si="129"/>
        <v>173757</v>
      </c>
      <c r="AE464" s="192">
        <f t="shared" si="142"/>
        <v>0</v>
      </c>
      <c r="AF464" s="192">
        <f t="shared" si="143"/>
        <v>0</v>
      </c>
      <c r="AG464" s="20">
        <f t="shared" si="144"/>
        <v>0</v>
      </c>
      <c r="AH464" s="20">
        <f t="shared" si="145"/>
        <v>0</v>
      </c>
    </row>
    <row r="465" spans="1:35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7">
        <f t="shared" si="109"/>
        <v>0</v>
      </c>
      <c r="O465" s="7">
        <f t="shared" si="141"/>
        <v>4571.083333333333</v>
      </c>
      <c r="P465" s="7">
        <f t="shared" si="113"/>
        <v>4571.083333333333</v>
      </c>
      <c r="Q465" s="7">
        <f t="shared" si="114"/>
        <v>2145.6666666666665</v>
      </c>
      <c r="R465" s="7">
        <f t="shared" si="115"/>
        <v>1186.5</v>
      </c>
      <c r="S465" s="7">
        <v>7002</v>
      </c>
      <c r="T465" s="7">
        <v>17685</v>
      </c>
      <c r="U465" s="7">
        <v>4321</v>
      </c>
      <c r="V465" s="103">
        <v>180019</v>
      </c>
      <c r="W465" s="7">
        <f t="shared" si="134"/>
        <v>168696</v>
      </c>
      <c r="X465" s="103">
        <f t="shared" si="135"/>
        <v>180019</v>
      </c>
      <c r="Y465" s="103"/>
      <c r="AC465" s="78">
        <v>139569</v>
      </c>
      <c r="AD465" s="103">
        <f t="shared" si="129"/>
        <v>180019</v>
      </c>
      <c r="AE465" s="192">
        <f t="shared" si="142"/>
        <v>0</v>
      </c>
      <c r="AF465" s="192">
        <f t="shared" si="143"/>
        <v>0</v>
      </c>
      <c r="AG465" s="20">
        <f t="shared" si="144"/>
        <v>0</v>
      </c>
      <c r="AH465" s="20">
        <f t="shared" si="145"/>
        <v>0</v>
      </c>
    </row>
    <row r="466" spans="1:35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7">
        <f t="shared" si="109"/>
        <v>82.865192802453777</v>
      </c>
      <c r="O466" s="7">
        <f t="shared" si="141"/>
        <v>4292.333333333333</v>
      </c>
      <c r="P466" s="7">
        <f t="shared" si="113"/>
        <v>4209.4681405308793</v>
      </c>
      <c r="Q466" s="7">
        <f t="shared" si="114"/>
        <v>1965.5</v>
      </c>
      <c r="R466" s="7">
        <f t="shared" si="115"/>
        <v>1019.1348071975463</v>
      </c>
      <c r="S466" s="7">
        <v>7888</v>
      </c>
      <c r="T466" s="7">
        <v>13908</v>
      </c>
      <c r="U466" s="7">
        <v>4251</v>
      </c>
      <c r="V466" s="103">
        <v>159246</v>
      </c>
      <c r="W466" s="7">
        <f t="shared" si="134"/>
        <v>147107</v>
      </c>
      <c r="X466" s="103">
        <f t="shared" si="135"/>
        <v>159246</v>
      </c>
      <c r="Y466" s="103"/>
      <c r="Z466" s="7">
        <v>10245</v>
      </c>
      <c r="AC466" s="78">
        <v>129433</v>
      </c>
      <c r="AD466" s="103">
        <f t="shared" si="129"/>
        <v>159246</v>
      </c>
      <c r="AE466" s="192">
        <f t="shared" si="142"/>
        <v>7.5195274775366402E-2</v>
      </c>
      <c r="AF466" s="192">
        <f t="shared" si="143"/>
        <v>0</v>
      </c>
      <c r="AG466" s="20">
        <f t="shared" si="144"/>
        <v>82.865192802453777</v>
      </c>
      <c r="AH466" s="20">
        <f t="shared" si="145"/>
        <v>0</v>
      </c>
      <c r="AI466" s="20"/>
    </row>
    <row r="467" spans="1:35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7">
        <f t="shared" si="109"/>
        <v>65.369722032687775</v>
      </c>
      <c r="O467" s="7">
        <f t="shared" si="141"/>
        <v>3895.916666666667</v>
      </c>
      <c r="P467" s="7">
        <f t="shared" si="113"/>
        <v>3830.5469446339794</v>
      </c>
      <c r="Q467" s="7">
        <f t="shared" si="114"/>
        <v>1638.7136113006457</v>
      </c>
      <c r="R467" s="7">
        <f t="shared" si="115"/>
        <v>1104.4166666666667</v>
      </c>
      <c r="S467" s="7">
        <v>3793</v>
      </c>
      <c r="T467" s="7">
        <v>15388</v>
      </c>
      <c r="U467" s="7">
        <v>4201</v>
      </c>
      <c r="V467" s="103">
        <v>146791</v>
      </c>
      <c r="W467" s="7">
        <f t="shared" si="134"/>
        <v>138797</v>
      </c>
      <c r="X467" s="103">
        <f t="shared" si="135"/>
        <v>156817</v>
      </c>
      <c r="Y467" s="103"/>
      <c r="AB467" s="2">
        <v>10026</v>
      </c>
      <c r="AC467" s="78">
        <v>124565</v>
      </c>
      <c r="AD467" s="103">
        <f t="shared" si="129"/>
        <v>156817</v>
      </c>
      <c r="AE467" s="192">
        <f t="shared" si="142"/>
        <v>0</v>
      </c>
      <c r="AF467" s="192">
        <f t="shared" si="143"/>
        <v>3.8360636920742007E-2</v>
      </c>
      <c r="AG467" s="20">
        <f t="shared" si="144"/>
        <v>0</v>
      </c>
      <c r="AH467" s="20">
        <f t="shared" si="145"/>
        <v>65.369722032687775</v>
      </c>
    </row>
    <row r="468" spans="1:35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7">
        <f t="shared" si="109"/>
        <v>0</v>
      </c>
      <c r="S468" s="74"/>
      <c r="T468" s="74"/>
      <c r="U468" s="74"/>
      <c r="V468" s="103"/>
      <c r="W468" s="7">
        <f t="shared" si="134"/>
        <v>0</v>
      </c>
      <c r="X468" s="103">
        <f t="shared" si="135"/>
        <v>0</v>
      </c>
      <c r="Y468" s="103"/>
      <c r="AD468" s="103">
        <f t="shared" si="129"/>
        <v>0</v>
      </c>
      <c r="AE468" s="192"/>
      <c r="AF468" s="192"/>
      <c r="AG468" s="20"/>
      <c r="AH468" s="20"/>
    </row>
    <row r="469" spans="1:35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7">
        <f t="shared" si="109"/>
        <v>0</v>
      </c>
      <c r="O469" s="7">
        <f t="shared" ref="O469:O516" si="146">+B469+C469+D469+F469+I469+K469+J469</f>
        <v>4031.583333333333</v>
      </c>
      <c r="P469" s="7">
        <f t="shared" ref="P469:P500" si="147">+B469+C469+D469+F469+J469+Q469+R469</f>
        <v>4031.583333333333</v>
      </c>
      <c r="Q469" s="7">
        <f t="shared" ref="Q469:Q500" si="148">+I469-AH469</f>
        <v>1569.75</v>
      </c>
      <c r="R469" s="7">
        <f t="shared" ref="R469:R500" si="149">+K469-AG469</f>
        <v>1197.6666666666665</v>
      </c>
      <c r="S469" s="7">
        <v>2739</v>
      </c>
      <c r="T469" s="7">
        <v>12815</v>
      </c>
      <c r="U469" s="7">
        <v>4141</v>
      </c>
      <c r="V469" s="103">
        <v>134647</v>
      </c>
      <c r="W469" s="7">
        <f t="shared" si="134"/>
        <v>127767</v>
      </c>
      <c r="X469" s="103">
        <f t="shared" si="135"/>
        <v>134647</v>
      </c>
      <c r="Y469" s="103"/>
      <c r="AC469" s="78">
        <v>132752</v>
      </c>
      <c r="AD469" s="103">
        <f t="shared" si="129"/>
        <v>134647</v>
      </c>
      <c r="AE469" s="192">
        <f t="shared" ref="AE469:AE475" si="150">+(Z469/AC469*0.95)</f>
        <v>0</v>
      </c>
      <c r="AF469" s="192">
        <f t="shared" ref="AF469:AF475" si="151">+(AB469/AD469*0.6)</f>
        <v>0</v>
      </c>
      <c r="AG469" s="20">
        <f t="shared" ref="AG469:AG495" si="152">+AE469*K469</f>
        <v>0</v>
      </c>
      <c r="AH469" s="20">
        <f t="shared" ref="AH469:AH495" si="153">+AF469*I469</f>
        <v>0</v>
      </c>
      <c r="AI469" s="20"/>
    </row>
    <row r="470" spans="1:35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7">
        <f t="shared" si="109"/>
        <v>0</v>
      </c>
      <c r="O470" s="7">
        <f t="shared" si="146"/>
        <v>4157</v>
      </c>
      <c r="P470" s="7">
        <f t="shared" si="147"/>
        <v>4157</v>
      </c>
      <c r="Q470" s="7">
        <f t="shared" si="148"/>
        <v>1627</v>
      </c>
      <c r="R470" s="7">
        <f t="shared" si="149"/>
        <v>1296.0833333333333</v>
      </c>
      <c r="S470" s="7">
        <v>3723</v>
      </c>
      <c r="T470" s="7">
        <v>12120</v>
      </c>
      <c r="U470" s="7">
        <v>6869</v>
      </c>
      <c r="V470" s="103">
        <v>144859</v>
      </c>
      <c r="W470" s="7">
        <f t="shared" si="134"/>
        <v>134267</v>
      </c>
      <c r="X470" s="103">
        <f t="shared" si="135"/>
        <v>144859</v>
      </c>
      <c r="Y470" s="103"/>
      <c r="AC470" s="78">
        <v>150916</v>
      </c>
      <c r="AD470" s="103">
        <f t="shared" si="129"/>
        <v>144859</v>
      </c>
      <c r="AE470" s="192">
        <f t="shared" si="150"/>
        <v>0</v>
      </c>
      <c r="AF470" s="192">
        <f t="shared" si="151"/>
        <v>0</v>
      </c>
      <c r="AG470" s="20">
        <f t="shared" si="152"/>
        <v>0</v>
      </c>
      <c r="AH470" s="20">
        <f t="shared" si="153"/>
        <v>0</v>
      </c>
      <c r="AI470" s="20"/>
    </row>
    <row r="471" spans="1:35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7">
        <f t="shared" si="109"/>
        <v>0</v>
      </c>
      <c r="O471" s="7">
        <f t="shared" si="146"/>
        <v>3984.25</v>
      </c>
      <c r="P471" s="7">
        <f t="shared" si="147"/>
        <v>3984.25</v>
      </c>
      <c r="Q471" s="7">
        <f t="shared" si="148"/>
        <v>1732.3333333333335</v>
      </c>
      <c r="R471" s="7">
        <f t="shared" si="149"/>
        <v>1148.0000000000002</v>
      </c>
      <c r="S471" s="7">
        <v>1880</v>
      </c>
      <c r="T471" s="7">
        <v>9553</v>
      </c>
      <c r="U471" s="7">
        <v>5084</v>
      </c>
      <c r="V471" s="103">
        <v>158487</v>
      </c>
      <c r="W471" s="7">
        <f t="shared" si="134"/>
        <v>151523</v>
      </c>
      <c r="X471" s="103">
        <f t="shared" si="135"/>
        <v>158487</v>
      </c>
      <c r="Y471" s="103"/>
      <c r="AC471" s="78">
        <v>133898</v>
      </c>
      <c r="AD471" s="103">
        <f t="shared" si="129"/>
        <v>158487</v>
      </c>
      <c r="AE471" s="192">
        <f t="shared" si="150"/>
        <v>0</v>
      </c>
      <c r="AF471" s="192">
        <f t="shared" si="151"/>
        <v>0</v>
      </c>
      <c r="AG471" s="20">
        <f t="shared" si="152"/>
        <v>0</v>
      </c>
      <c r="AH471" s="20">
        <f t="shared" si="153"/>
        <v>0</v>
      </c>
      <c r="AI471" s="20"/>
    </row>
    <row r="472" spans="1:35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7">
        <f t="shared" si="109"/>
        <v>0</v>
      </c>
      <c r="O472" s="7">
        <f t="shared" si="146"/>
        <v>3986.25</v>
      </c>
      <c r="P472" s="7">
        <f t="shared" si="147"/>
        <v>3986.25</v>
      </c>
      <c r="Q472" s="7">
        <f t="shared" si="148"/>
        <v>1733.5</v>
      </c>
      <c r="R472" s="7">
        <f t="shared" si="149"/>
        <v>1158.75</v>
      </c>
      <c r="S472" s="7">
        <v>4440</v>
      </c>
      <c r="T472" s="7">
        <v>14006</v>
      </c>
      <c r="U472" s="7">
        <v>5195</v>
      </c>
      <c r="V472" s="103">
        <v>159831</v>
      </c>
      <c r="W472" s="7">
        <f t="shared" si="134"/>
        <v>150196</v>
      </c>
      <c r="X472" s="103">
        <f t="shared" si="135"/>
        <v>159831</v>
      </c>
      <c r="Y472" s="103"/>
      <c r="AC472" s="78">
        <v>132832</v>
      </c>
      <c r="AD472" s="103">
        <f t="shared" si="129"/>
        <v>159831</v>
      </c>
      <c r="AE472" s="192">
        <f t="shared" si="150"/>
        <v>0</v>
      </c>
      <c r="AF472" s="192">
        <f t="shared" si="151"/>
        <v>0</v>
      </c>
      <c r="AG472" s="20">
        <f t="shared" si="152"/>
        <v>0</v>
      </c>
      <c r="AH472" s="20">
        <f t="shared" si="153"/>
        <v>0</v>
      </c>
      <c r="AI472" s="20"/>
    </row>
    <row r="473" spans="1:35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7">
        <f t="shared" si="109"/>
        <v>112.21866073633933</v>
      </c>
      <c r="O473" s="7">
        <f t="shared" si="146"/>
        <v>4091.916666666667</v>
      </c>
      <c r="P473" s="7">
        <f t="shared" si="147"/>
        <v>3979.6980059303273</v>
      </c>
      <c r="Q473" s="7">
        <f t="shared" si="148"/>
        <v>1856.8228375181097</v>
      </c>
      <c r="R473" s="7">
        <f t="shared" si="149"/>
        <v>1092.4585017455511</v>
      </c>
      <c r="S473" s="7">
        <v>357</v>
      </c>
      <c r="T473" s="7">
        <v>9024</v>
      </c>
      <c r="U473" s="7">
        <v>6136</v>
      </c>
      <c r="V473" s="103">
        <v>158145</v>
      </c>
      <c r="W473" s="7">
        <f t="shared" si="134"/>
        <v>151652</v>
      </c>
      <c r="X473" s="103">
        <f t="shared" si="135"/>
        <v>159905</v>
      </c>
      <c r="Y473" s="103"/>
      <c r="Z473" s="2">
        <v>12081</v>
      </c>
      <c r="AA473" s="2"/>
      <c r="AB473" s="2">
        <v>1760</v>
      </c>
      <c r="AC473" s="78">
        <v>137015</v>
      </c>
      <c r="AD473" s="103">
        <f t="shared" si="129"/>
        <v>159905</v>
      </c>
      <c r="AE473" s="192">
        <f t="shared" si="150"/>
        <v>8.3764186402948582E-2</v>
      </c>
      <c r="AF473" s="192">
        <f t="shared" si="151"/>
        <v>6.6039210781401458E-3</v>
      </c>
      <c r="AG473" s="20">
        <f t="shared" si="152"/>
        <v>99.874831587782367</v>
      </c>
      <c r="AH473" s="20">
        <f t="shared" si="153"/>
        <v>12.343829148556956</v>
      </c>
      <c r="AI473" s="20"/>
    </row>
    <row r="474" spans="1:35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7">
        <f t="shared" si="109"/>
        <v>305.60528699206577</v>
      </c>
      <c r="O474" s="7">
        <f t="shared" si="146"/>
        <v>3992</v>
      </c>
      <c r="P474" s="7">
        <f t="shared" si="147"/>
        <v>3686.3947130079341</v>
      </c>
      <c r="Q474" s="7">
        <f t="shared" si="148"/>
        <v>1671.6809899565249</v>
      </c>
      <c r="R474" s="7">
        <f t="shared" si="149"/>
        <v>947.04705638474297</v>
      </c>
      <c r="S474" s="7">
        <v>2986</v>
      </c>
      <c r="T474" s="7">
        <v>9889</v>
      </c>
      <c r="U474" s="7">
        <v>5889</v>
      </c>
      <c r="V474" s="103">
        <v>153334</v>
      </c>
      <c r="W474" s="7">
        <f t="shared" si="134"/>
        <v>144459</v>
      </c>
      <c r="X474" s="103">
        <f t="shared" si="135"/>
        <v>165381</v>
      </c>
      <c r="Y474" s="103"/>
      <c r="Z474" s="2">
        <v>28200</v>
      </c>
      <c r="AA474" s="2"/>
      <c r="AB474" s="2">
        <v>12047</v>
      </c>
      <c r="AC474" s="78">
        <v>137484</v>
      </c>
      <c r="AD474" s="103">
        <f t="shared" si="129"/>
        <v>165381</v>
      </c>
      <c r="AE474" s="192">
        <f t="shared" si="150"/>
        <v>0.19485903814262023</v>
      </c>
      <c r="AF474" s="192">
        <f t="shared" si="151"/>
        <v>4.3706350789994013E-2</v>
      </c>
      <c r="AG474" s="20">
        <f t="shared" si="152"/>
        <v>229.20294361525706</v>
      </c>
      <c r="AH474" s="20">
        <f t="shared" si="153"/>
        <v>76.402343376808702</v>
      </c>
      <c r="AI474" s="20"/>
    </row>
    <row r="475" spans="1:35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7">
        <f t="shared" si="109"/>
        <v>559.89048217995423</v>
      </c>
      <c r="O475" s="7">
        <f t="shared" si="146"/>
        <v>3433.666666666667</v>
      </c>
      <c r="P475" s="7">
        <f t="shared" si="147"/>
        <v>2873.7761844867127</v>
      </c>
      <c r="Q475" s="7">
        <f t="shared" si="148"/>
        <v>1258.8706166645147</v>
      </c>
      <c r="R475" s="7">
        <f t="shared" si="149"/>
        <v>806.23890115553127</v>
      </c>
      <c r="S475" s="7">
        <v>970</v>
      </c>
      <c r="T475" s="7">
        <v>9512</v>
      </c>
      <c r="U475" s="7">
        <v>4403</v>
      </c>
      <c r="V475" s="103">
        <v>107656</v>
      </c>
      <c r="W475" s="7">
        <f t="shared" si="134"/>
        <v>102283</v>
      </c>
      <c r="X475" s="103">
        <f t="shared" si="135"/>
        <v>162633</v>
      </c>
      <c r="Y475" s="103"/>
      <c r="Z475" s="2">
        <v>29871</v>
      </c>
      <c r="AA475" s="2"/>
      <c r="AB475" s="2">
        <v>54977</v>
      </c>
      <c r="AC475" s="78">
        <v>123868</v>
      </c>
      <c r="AD475" s="103">
        <f t="shared" si="129"/>
        <v>162633</v>
      </c>
      <c r="AE475" s="192">
        <f t="shared" si="150"/>
        <v>0.22909427777957178</v>
      </c>
      <c r="AF475" s="192">
        <f t="shared" si="151"/>
        <v>0.20282599472431792</v>
      </c>
      <c r="AG475" s="20">
        <f t="shared" si="152"/>
        <v>239.59443217780219</v>
      </c>
      <c r="AH475" s="20">
        <f t="shared" si="153"/>
        <v>320.29605000215207</v>
      </c>
      <c r="AI475" s="20"/>
    </row>
    <row r="476" spans="1:35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7">
        <f t="shared" si="109"/>
        <v>199.93568321486129</v>
      </c>
      <c r="O476" s="7">
        <f t="shared" si="146"/>
        <v>3939.5833333333335</v>
      </c>
      <c r="P476" s="7">
        <f t="shared" si="147"/>
        <v>3739.6476501184725</v>
      </c>
      <c r="Q476" s="7">
        <f t="shared" si="148"/>
        <v>1575.0833333333335</v>
      </c>
      <c r="R476" s="7">
        <f t="shared" si="149"/>
        <v>1068.8143167851388</v>
      </c>
      <c r="S476" s="7">
        <v>155</v>
      </c>
      <c r="T476" s="7">
        <v>2201</v>
      </c>
      <c r="U476" s="7">
        <v>178</v>
      </c>
      <c r="V476" s="103">
        <v>139615</v>
      </c>
      <c r="W476" s="7">
        <f t="shared" si="134"/>
        <v>139282</v>
      </c>
      <c r="X476" s="103">
        <f t="shared" si="135"/>
        <v>139615</v>
      </c>
      <c r="Y476" s="103"/>
      <c r="Z476" s="2">
        <v>24806</v>
      </c>
      <c r="AA476" s="2"/>
      <c r="AB476" s="2"/>
      <c r="AC476" s="78">
        <v>149543</v>
      </c>
      <c r="AD476" s="103">
        <f t="shared" si="129"/>
        <v>139615</v>
      </c>
      <c r="AE476" s="192">
        <f t="shared" ref="AE476:AE478" si="154">+(Z476/AC476*0.95)</f>
        <v>0.15758477494767392</v>
      </c>
      <c r="AF476" s="192">
        <f t="shared" ref="AF476:AF478" si="155">+(AB476/AD476*0.6)</f>
        <v>0</v>
      </c>
      <c r="AG476" s="20">
        <f t="shared" si="152"/>
        <v>199.93568321486129</v>
      </c>
      <c r="AH476" s="20">
        <f t="shared" si="153"/>
        <v>0</v>
      </c>
      <c r="AI476" s="20"/>
    </row>
    <row r="477" spans="1:35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7">
        <f t="shared" si="109"/>
        <v>527.38670328325622</v>
      </c>
      <c r="O477" s="7">
        <f t="shared" si="146"/>
        <v>4202.416666666667</v>
      </c>
      <c r="P477" s="7">
        <f t="shared" si="147"/>
        <v>3675.0299633834106</v>
      </c>
      <c r="Q477" s="7">
        <f t="shared" si="148"/>
        <v>1647.9533741760733</v>
      </c>
      <c r="R477" s="7">
        <f t="shared" si="149"/>
        <v>827.57658920733729</v>
      </c>
      <c r="S477" s="7">
        <v>5978</v>
      </c>
      <c r="T477" s="7">
        <v>9662</v>
      </c>
      <c r="U477" s="7">
        <v>2324</v>
      </c>
      <c r="V477" s="103">
        <v>145580</v>
      </c>
      <c r="W477" s="7">
        <f t="shared" si="134"/>
        <v>137278</v>
      </c>
      <c r="X477" s="103">
        <f t="shared" si="135"/>
        <v>172042</v>
      </c>
      <c r="Y477" s="103"/>
      <c r="Z477" s="2">
        <v>47459</v>
      </c>
      <c r="AA477" s="2"/>
      <c r="AB477" s="2">
        <v>26462</v>
      </c>
      <c r="AC477" s="78">
        <v>148777</v>
      </c>
      <c r="AD477" s="103">
        <f t="shared" si="129"/>
        <v>172042</v>
      </c>
      <c r="AE477" s="192">
        <f t="shared" si="154"/>
        <v>0.30304448940360401</v>
      </c>
      <c r="AF477" s="192">
        <f t="shared" si="155"/>
        <v>9.2286767184757201E-2</v>
      </c>
      <c r="AG477" s="20">
        <f t="shared" si="152"/>
        <v>359.84007745932951</v>
      </c>
      <c r="AH477" s="20">
        <f t="shared" si="153"/>
        <v>167.54662582392669</v>
      </c>
      <c r="AI477" s="20"/>
    </row>
    <row r="478" spans="1:35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7">
        <f t="shared" si="109"/>
        <v>429.11166438540863</v>
      </c>
      <c r="O478" s="7">
        <f t="shared" si="146"/>
        <v>4359.25</v>
      </c>
      <c r="P478" s="7">
        <f t="shared" si="147"/>
        <v>3930.1383356145916</v>
      </c>
      <c r="Q478" s="7">
        <f t="shared" si="148"/>
        <v>1760.8700525639781</v>
      </c>
      <c r="R478" s="7">
        <f t="shared" si="149"/>
        <v>967.10161638394652</v>
      </c>
      <c r="S478" s="7">
        <v>5387</v>
      </c>
      <c r="T478" s="7">
        <v>12300</v>
      </c>
      <c r="U478" s="7">
        <v>2787</v>
      </c>
      <c r="V478" s="103">
        <v>154288</v>
      </c>
      <c r="W478" s="7">
        <f t="shared" si="134"/>
        <v>146114</v>
      </c>
      <c r="X478" s="103">
        <f t="shared" si="135"/>
        <v>185298</v>
      </c>
      <c r="Y478" s="103"/>
      <c r="Z478" s="2">
        <v>30038</v>
      </c>
      <c r="AA478" s="2"/>
      <c r="AB478" s="2">
        <v>31010</v>
      </c>
      <c r="AC478" s="78">
        <v>147201</v>
      </c>
      <c r="AD478" s="103">
        <f t="shared" si="129"/>
        <v>185298</v>
      </c>
      <c r="AE478" s="192">
        <f t="shared" si="154"/>
        <v>0.19385805802949707</v>
      </c>
      <c r="AF478" s="192">
        <f t="shared" si="155"/>
        <v>0.10041122947900138</v>
      </c>
      <c r="AG478" s="20">
        <f t="shared" si="152"/>
        <v>232.56505028271997</v>
      </c>
      <c r="AH478" s="20">
        <f t="shared" si="153"/>
        <v>196.54661410268864</v>
      </c>
      <c r="AI478" s="20"/>
    </row>
    <row r="479" spans="1:35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7">
        <f t="shared" si="109"/>
        <v>450.48657549045816</v>
      </c>
      <c r="O479" s="7">
        <f t="shared" si="146"/>
        <v>3953.75</v>
      </c>
      <c r="P479" s="7">
        <f t="shared" si="147"/>
        <v>3503.2634245095419</v>
      </c>
      <c r="Q479" s="7">
        <f t="shared" si="148"/>
        <v>1586.9529022675581</v>
      </c>
      <c r="R479" s="7">
        <f t="shared" si="149"/>
        <v>864.39385557531693</v>
      </c>
      <c r="S479" s="7">
        <v>6601</v>
      </c>
      <c r="T479" s="7">
        <v>11546</v>
      </c>
      <c r="U479" s="7">
        <v>2418</v>
      </c>
      <c r="V479" s="103">
        <v>147698</v>
      </c>
      <c r="W479" s="7">
        <f t="shared" si="134"/>
        <v>138679</v>
      </c>
      <c r="X479" s="103">
        <f t="shared" si="135"/>
        <v>190087</v>
      </c>
      <c r="Y479" s="103"/>
      <c r="Z479" s="2">
        <v>25791</v>
      </c>
      <c r="AA479" s="2"/>
      <c r="AB479" s="2">
        <v>42389</v>
      </c>
      <c r="AC479" s="78">
        <v>127634</v>
      </c>
      <c r="AD479" s="103">
        <f t="shared" si="129"/>
        <v>190087</v>
      </c>
      <c r="AE479" s="192">
        <f t="shared" ref="AE479:AE489" si="156">+(Z479/AC479*0.95)</f>
        <v>0.19196648228528446</v>
      </c>
      <c r="AF479" s="192">
        <f t="shared" ref="AF479:AF489" si="157">+(AB479/AD479*0.6)</f>
        <v>0.13379873426378447</v>
      </c>
      <c r="AG479" s="20">
        <f t="shared" si="152"/>
        <v>205.35614442468304</v>
      </c>
      <c r="AH479" s="20">
        <f t="shared" si="153"/>
        <v>245.13043106577513</v>
      </c>
      <c r="AI479" s="20"/>
    </row>
    <row r="480" spans="1:35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7">
        <f t="shared" si="109"/>
        <v>188.94230218303483</v>
      </c>
      <c r="O480" s="7">
        <f t="shared" si="146"/>
        <v>3878.9166666666665</v>
      </c>
      <c r="P480" s="7">
        <f t="shared" si="147"/>
        <v>3689.9743644836317</v>
      </c>
      <c r="Q480" s="7">
        <f t="shared" si="148"/>
        <v>1501.0000840786288</v>
      </c>
      <c r="R480" s="7">
        <f t="shared" si="149"/>
        <v>914.64094707166964</v>
      </c>
      <c r="S480" s="7">
        <v>6199</v>
      </c>
      <c r="T480" s="7">
        <v>12728</v>
      </c>
      <c r="U480" s="7">
        <v>2980</v>
      </c>
      <c r="V480" s="103">
        <v>133049</v>
      </c>
      <c r="W480" s="7">
        <f t="shared" si="134"/>
        <v>123870</v>
      </c>
      <c r="X480" s="103">
        <f t="shared" si="135"/>
        <v>143120</v>
      </c>
      <c r="Y480" s="103"/>
      <c r="Z480" s="2">
        <v>14299</v>
      </c>
      <c r="AA480" s="2"/>
      <c r="AB480" s="2">
        <v>10071</v>
      </c>
      <c r="AC480" s="78">
        <v>114781</v>
      </c>
      <c r="AD480" s="103">
        <f t="shared" si="129"/>
        <v>143120</v>
      </c>
      <c r="AE480" s="192">
        <f t="shared" si="156"/>
        <v>0.11834754881034316</v>
      </c>
      <c r="AF480" s="192">
        <f t="shared" si="157"/>
        <v>4.2220514253773059E-2</v>
      </c>
      <c r="AG480" s="20">
        <f t="shared" si="152"/>
        <v>122.77571959499681</v>
      </c>
      <c r="AH480" s="20">
        <f t="shared" si="153"/>
        <v>66.166582588038011</v>
      </c>
      <c r="AI480" s="20"/>
    </row>
    <row r="481" spans="1:38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7">
        <f t="shared" si="109"/>
        <v>20.583825906609324</v>
      </c>
      <c r="O481" s="7">
        <f t="shared" si="146"/>
        <v>3654.0833333333335</v>
      </c>
      <c r="P481" s="7">
        <f t="shared" si="147"/>
        <v>3633.4995074267235</v>
      </c>
      <c r="Q481" s="7">
        <f t="shared" si="148"/>
        <v>1531.4166666666667</v>
      </c>
      <c r="R481" s="7">
        <f t="shared" si="149"/>
        <v>967.91617409339062</v>
      </c>
      <c r="S481" s="7">
        <v>3060</v>
      </c>
      <c r="T481" s="7">
        <v>5573</v>
      </c>
      <c r="U481" s="7">
        <v>1980</v>
      </c>
      <c r="V481" s="103">
        <v>109755</v>
      </c>
      <c r="W481" s="7">
        <f t="shared" si="134"/>
        <v>104715</v>
      </c>
      <c r="X481" s="103">
        <f t="shared" si="135"/>
        <v>109755</v>
      </c>
      <c r="Y481" s="103"/>
      <c r="Z481" s="2">
        <v>2156</v>
      </c>
      <c r="AA481" s="2"/>
      <c r="AB481" s="2"/>
      <c r="AC481" s="78">
        <v>98361</v>
      </c>
      <c r="AD481" s="103">
        <f t="shared" si="129"/>
        <v>109755</v>
      </c>
      <c r="AE481" s="192">
        <f t="shared" si="156"/>
        <v>2.0823293785138416E-2</v>
      </c>
      <c r="AF481" s="192">
        <f t="shared" si="157"/>
        <v>0</v>
      </c>
      <c r="AG481" s="20">
        <f t="shared" si="152"/>
        <v>20.583825906609324</v>
      </c>
      <c r="AH481" s="20">
        <f t="shared" si="153"/>
        <v>0</v>
      </c>
      <c r="AI481" s="20"/>
    </row>
    <row r="482" spans="1:38">
      <c r="A482" s="28">
        <v>46138</v>
      </c>
      <c r="N482" s="107">
        <f t="shared" si="109"/>
        <v>0</v>
      </c>
      <c r="O482" s="7">
        <f t="shared" si="146"/>
        <v>0</v>
      </c>
      <c r="P482" s="7">
        <f t="shared" si="147"/>
        <v>0</v>
      </c>
      <c r="Q482" s="7">
        <f t="shared" si="148"/>
        <v>0</v>
      </c>
      <c r="R482" s="7">
        <f t="shared" si="149"/>
        <v>0</v>
      </c>
      <c r="T482" s="7"/>
      <c r="U482" s="7"/>
      <c r="V482" s="103"/>
      <c r="W482" s="7">
        <f t="shared" si="134"/>
        <v>0</v>
      </c>
      <c r="X482" s="103">
        <f t="shared" si="135"/>
        <v>0</v>
      </c>
      <c r="Y482" s="103"/>
      <c r="Z482" s="2"/>
      <c r="AA482" s="2"/>
      <c r="AB482" s="2"/>
      <c r="AC482" s="78"/>
      <c r="AD482" s="103"/>
      <c r="AE482" s="192"/>
      <c r="AF482" s="192"/>
      <c r="AG482" s="20">
        <f t="shared" si="152"/>
        <v>0</v>
      </c>
      <c r="AH482" s="20">
        <f t="shared" si="153"/>
        <v>0</v>
      </c>
    </row>
    <row r="483" spans="1:38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7">
        <f t="shared" si="109"/>
        <v>28.042026191678698</v>
      </c>
      <c r="O483" s="7">
        <f t="shared" si="146"/>
        <v>3771.75</v>
      </c>
      <c r="P483" s="7">
        <f t="shared" si="147"/>
        <v>3743.7079738083212</v>
      </c>
      <c r="Q483" s="7">
        <f t="shared" si="148"/>
        <v>1536.2913071416547</v>
      </c>
      <c r="R483" s="7">
        <f t="shared" si="149"/>
        <v>1160.6666666666667</v>
      </c>
      <c r="S483" s="7">
        <v>4286</v>
      </c>
      <c r="T483" s="7">
        <v>11022</v>
      </c>
      <c r="U483" s="7">
        <v>1790</v>
      </c>
      <c r="V483" s="103">
        <v>136379</v>
      </c>
      <c r="W483" s="7">
        <f t="shared" si="134"/>
        <v>130303</v>
      </c>
      <c r="X483" s="103">
        <f t="shared" si="135"/>
        <v>140579</v>
      </c>
      <c r="Y483" s="103"/>
      <c r="Z483"/>
      <c r="AA483"/>
      <c r="AB483" s="2">
        <v>4200</v>
      </c>
      <c r="AC483" s="78">
        <v>130416</v>
      </c>
      <c r="AD483" s="103">
        <f t="shared" si="129"/>
        <v>140579</v>
      </c>
      <c r="AE483" s="192">
        <f t="shared" si="156"/>
        <v>0</v>
      </c>
      <c r="AF483" s="192">
        <f t="shared" si="157"/>
        <v>1.7925863749208629E-2</v>
      </c>
      <c r="AG483" s="20">
        <f t="shared" si="152"/>
        <v>0</v>
      </c>
      <c r="AH483" s="20">
        <f t="shared" si="153"/>
        <v>28.042026191678698</v>
      </c>
    </row>
    <row r="484" spans="1:38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7">
        <f t="shared" si="109"/>
        <v>1.2274924689405322</v>
      </c>
      <c r="O484" s="7">
        <f t="shared" si="146"/>
        <v>3999.083333333333</v>
      </c>
      <c r="P484" s="7">
        <f t="shared" si="147"/>
        <v>3997.8558408643921</v>
      </c>
      <c r="Q484" s="7">
        <f t="shared" si="148"/>
        <v>1656.8558408643926</v>
      </c>
      <c r="R484" s="7">
        <f t="shared" si="149"/>
        <v>1253.5</v>
      </c>
      <c r="S484" s="7">
        <v>4767</v>
      </c>
      <c r="T484" s="7">
        <v>9053</v>
      </c>
      <c r="U484" s="7">
        <v>2911</v>
      </c>
      <c r="V484" s="103">
        <v>152181</v>
      </c>
      <c r="W484" s="7">
        <f t="shared" si="134"/>
        <v>144503</v>
      </c>
      <c r="X484" s="103">
        <f t="shared" si="135"/>
        <v>152369</v>
      </c>
      <c r="Y484" s="103"/>
      <c r="Z484"/>
      <c r="AA484"/>
      <c r="AB484" s="2">
        <v>188</v>
      </c>
      <c r="AC484" s="78">
        <v>144560</v>
      </c>
      <c r="AD484" s="103">
        <f t="shared" si="129"/>
        <v>152369</v>
      </c>
      <c r="AE484" s="192">
        <f t="shared" si="156"/>
        <v>0</v>
      </c>
      <c r="AF484" s="192">
        <f t="shared" si="157"/>
        <v>7.4030806791407699E-4</v>
      </c>
      <c r="AG484" s="20">
        <f t="shared" si="152"/>
        <v>0</v>
      </c>
      <c r="AH484" s="20">
        <f t="shared" si="153"/>
        <v>1.2274924689405322</v>
      </c>
    </row>
    <row r="485" spans="1:38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7">
        <f t="shared" si="109"/>
        <v>0</v>
      </c>
      <c r="O485" s="7">
        <f t="shared" si="146"/>
        <v>3949.416666666667</v>
      </c>
      <c r="P485" s="7">
        <f t="shared" si="147"/>
        <v>3949.4166666666665</v>
      </c>
      <c r="Q485" s="7">
        <f t="shared" si="148"/>
        <v>1683.1666666666667</v>
      </c>
      <c r="R485" s="7">
        <f t="shared" si="149"/>
        <v>1120.8333333333335</v>
      </c>
      <c r="S485" s="7">
        <v>6040</v>
      </c>
      <c r="T485" s="7">
        <v>10770</v>
      </c>
      <c r="U485" s="7">
        <v>2642</v>
      </c>
      <c r="V485" s="103">
        <v>162660</v>
      </c>
      <c r="W485" s="7">
        <f t="shared" si="134"/>
        <v>153978</v>
      </c>
      <c r="X485" s="103">
        <f t="shared" si="135"/>
        <v>162660</v>
      </c>
      <c r="Y485" s="103"/>
      <c r="Z485"/>
      <c r="AA485"/>
      <c r="AB485" s="2"/>
      <c r="AC485" s="78">
        <v>128545</v>
      </c>
      <c r="AD485" s="103">
        <f t="shared" si="129"/>
        <v>162660</v>
      </c>
      <c r="AE485" s="192">
        <f t="shared" si="156"/>
        <v>0</v>
      </c>
      <c r="AF485" s="192">
        <f t="shared" si="157"/>
        <v>0</v>
      </c>
      <c r="AG485" s="20">
        <f t="shared" si="152"/>
        <v>0</v>
      </c>
      <c r="AH485" s="20">
        <f t="shared" si="153"/>
        <v>0</v>
      </c>
    </row>
    <row r="486" spans="1:38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7">
        <f t="shared" si="109"/>
        <v>0</v>
      </c>
      <c r="O486" s="7">
        <f t="shared" si="146"/>
        <v>3895.916666666667</v>
      </c>
      <c r="P486" s="7">
        <f t="shared" si="147"/>
        <v>3895.916666666667</v>
      </c>
      <c r="Q486" s="7">
        <f t="shared" si="148"/>
        <v>1803.3333333333337</v>
      </c>
      <c r="R486" s="7">
        <f t="shared" si="149"/>
        <v>1215.5</v>
      </c>
      <c r="S486" s="7">
        <v>4750</v>
      </c>
      <c r="T486" s="7">
        <v>7993</v>
      </c>
      <c r="U486" s="7">
        <v>2419</v>
      </c>
      <c r="V486" s="103">
        <v>163354</v>
      </c>
      <c r="W486" s="7">
        <f t="shared" si="134"/>
        <v>156185</v>
      </c>
      <c r="X486" s="103">
        <f t="shared" si="135"/>
        <v>163354</v>
      </c>
      <c r="Y486" s="103"/>
      <c r="Z486"/>
      <c r="AA486"/>
      <c r="AB486" s="2"/>
      <c r="AC486" s="78">
        <v>138912</v>
      </c>
      <c r="AD486" s="103">
        <f t="shared" si="129"/>
        <v>163354</v>
      </c>
      <c r="AE486" s="192">
        <f t="shared" si="156"/>
        <v>0</v>
      </c>
      <c r="AF486" s="192">
        <f t="shared" si="157"/>
        <v>0</v>
      </c>
      <c r="AG486" s="20">
        <f t="shared" si="152"/>
        <v>0</v>
      </c>
      <c r="AH486" s="20">
        <f t="shared" si="153"/>
        <v>0</v>
      </c>
    </row>
    <row r="487" spans="1:38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7">
        <f t="shared" ref="N487:N538" si="158">+AH487+AG487</f>
        <v>0</v>
      </c>
      <c r="O487" s="7">
        <f t="shared" si="146"/>
        <v>0</v>
      </c>
      <c r="P487" s="7">
        <f t="shared" si="147"/>
        <v>0</v>
      </c>
      <c r="Q487" s="7">
        <f t="shared" si="148"/>
        <v>0</v>
      </c>
      <c r="R487" s="7">
        <f t="shared" si="149"/>
        <v>0</v>
      </c>
      <c r="T487" s="7"/>
      <c r="U487" s="7"/>
      <c r="V487" s="103"/>
      <c r="W487" s="7">
        <f t="shared" si="134"/>
        <v>0</v>
      </c>
      <c r="X487" s="103">
        <f t="shared" si="135"/>
        <v>0</v>
      </c>
      <c r="Y487" s="103"/>
      <c r="Z487"/>
      <c r="AA487"/>
      <c r="AB487" s="2"/>
      <c r="AD487" s="103"/>
      <c r="AE487" s="192"/>
      <c r="AF487" s="192"/>
      <c r="AG487" s="20">
        <f t="shared" si="152"/>
        <v>0</v>
      </c>
      <c r="AH487" s="20">
        <f t="shared" si="153"/>
        <v>0</v>
      </c>
    </row>
    <row r="488" spans="1:38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7">
        <f t="shared" si="158"/>
        <v>0</v>
      </c>
      <c r="O488" s="7">
        <f t="shared" si="146"/>
        <v>3838.4166666666665</v>
      </c>
      <c r="P488" s="7">
        <f t="shared" si="147"/>
        <v>3838.416666666667</v>
      </c>
      <c r="Q488" s="7">
        <f t="shared" si="148"/>
        <v>1727.9166666666667</v>
      </c>
      <c r="R488" s="7">
        <f t="shared" si="149"/>
        <v>1184.9166666666667</v>
      </c>
      <c r="S488" s="7">
        <v>4303</v>
      </c>
      <c r="T488" s="7">
        <v>9921</v>
      </c>
      <c r="U488" s="7">
        <v>2832</v>
      </c>
      <c r="V488" s="103">
        <v>157855</v>
      </c>
      <c r="W488" s="7">
        <f t="shared" si="134"/>
        <v>150720</v>
      </c>
      <c r="X488" s="103">
        <f t="shared" si="135"/>
        <v>157855</v>
      </c>
      <c r="Y488" s="103"/>
      <c r="Z488"/>
      <c r="AA488"/>
      <c r="AB488" s="2"/>
      <c r="AC488" s="78">
        <v>152718</v>
      </c>
      <c r="AD488" s="103">
        <f t="shared" si="129"/>
        <v>157855</v>
      </c>
      <c r="AE488" s="192">
        <f t="shared" si="156"/>
        <v>0</v>
      </c>
      <c r="AF488" s="192">
        <f t="shared" si="157"/>
        <v>0</v>
      </c>
      <c r="AG488" s="20">
        <f t="shared" si="152"/>
        <v>0</v>
      </c>
      <c r="AH488" s="20">
        <f t="shared" si="153"/>
        <v>0</v>
      </c>
    </row>
    <row r="489" spans="1:38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7">
        <f t="shared" si="158"/>
        <v>0</v>
      </c>
      <c r="O489" s="7">
        <f t="shared" si="146"/>
        <v>3527.3333333333335</v>
      </c>
      <c r="P489" s="7">
        <f t="shared" si="147"/>
        <v>3527.333333333333</v>
      </c>
      <c r="Q489" s="7">
        <f t="shared" si="148"/>
        <v>1656.5</v>
      </c>
      <c r="R489" s="7">
        <f t="shared" si="149"/>
        <v>1034.4166666666667</v>
      </c>
      <c r="S489" s="7">
        <v>4898</v>
      </c>
      <c r="T489" s="7">
        <v>8953</v>
      </c>
      <c r="U489" s="7">
        <v>2998</v>
      </c>
      <c r="V489" s="103">
        <v>161947</v>
      </c>
      <c r="W489" s="7">
        <f t="shared" si="134"/>
        <v>154051</v>
      </c>
      <c r="X489" s="103">
        <f t="shared" si="135"/>
        <v>161947</v>
      </c>
      <c r="Y489" s="103"/>
      <c r="Z489"/>
      <c r="AA489"/>
      <c r="AB489" s="2"/>
      <c r="AC489" s="78">
        <v>127009</v>
      </c>
      <c r="AD489" s="103">
        <f t="shared" si="129"/>
        <v>161947</v>
      </c>
      <c r="AE489" s="192">
        <f t="shared" si="156"/>
        <v>0</v>
      </c>
      <c r="AF489" s="192">
        <f t="shared" si="157"/>
        <v>0</v>
      </c>
      <c r="AG489" s="20">
        <f t="shared" si="152"/>
        <v>0</v>
      </c>
      <c r="AH489" s="20">
        <f t="shared" si="153"/>
        <v>0</v>
      </c>
    </row>
    <row r="490" spans="1:38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7">
        <f t="shared" si="158"/>
        <v>9.0155231417131318E-2</v>
      </c>
      <c r="O490" s="7">
        <f t="shared" si="146"/>
        <v>3761</v>
      </c>
      <c r="P490" s="7">
        <f t="shared" si="147"/>
        <v>3760.9098447685828</v>
      </c>
      <c r="Q490" s="7">
        <f t="shared" si="148"/>
        <v>1604.7038956419431</v>
      </c>
      <c r="R490" s="7">
        <f t="shared" si="149"/>
        <v>1230.95594912664</v>
      </c>
      <c r="S490" s="7">
        <v>8786</v>
      </c>
      <c r="T490" s="7">
        <v>12401</v>
      </c>
      <c r="U490" s="7">
        <v>907</v>
      </c>
      <c r="V490" s="103">
        <v>146182</v>
      </c>
      <c r="W490" s="7">
        <f t="shared" si="134"/>
        <v>136489</v>
      </c>
      <c r="X490" s="103">
        <f t="shared" si="135"/>
        <v>146189</v>
      </c>
      <c r="Y490" s="103"/>
      <c r="Z490" s="2">
        <v>7</v>
      </c>
      <c r="AA490" s="2"/>
      <c r="AB490" s="7">
        <v>7</v>
      </c>
      <c r="AC490" s="78">
        <v>185834</v>
      </c>
      <c r="AD490" s="103">
        <f t="shared" si="129"/>
        <v>146189</v>
      </c>
      <c r="AE490" s="192">
        <f t="shared" ref="AE490:AE495" si="159">+(Z490/AC490*0.95)</f>
        <v>3.5784624987892421E-5</v>
      </c>
      <c r="AF490" s="192">
        <f t="shared" ref="AF490:AF495" si="160">+(AB490/AD490*0.6)</f>
        <v>2.872993180061427E-5</v>
      </c>
      <c r="AG490" s="20">
        <f t="shared" si="152"/>
        <v>4.4050873360095569E-2</v>
      </c>
      <c r="AH490" s="20">
        <f t="shared" si="153"/>
        <v>4.6104358057035749E-2</v>
      </c>
    </row>
    <row r="491" spans="1:38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7">
        <f t="shared" si="158"/>
        <v>0.1772782921318643</v>
      </c>
      <c r="O491" s="7">
        <f t="shared" si="146"/>
        <v>4401.083333333333</v>
      </c>
      <c r="P491" s="7">
        <f t="shared" si="147"/>
        <v>4400.9060550412014</v>
      </c>
      <c r="Q491" s="7">
        <f t="shared" si="148"/>
        <v>1998.7174722304405</v>
      </c>
      <c r="R491" s="7">
        <f t="shared" si="149"/>
        <v>1190.6885828107609</v>
      </c>
      <c r="S491" s="7">
        <v>9263</v>
      </c>
      <c r="T491" s="7">
        <v>12802</v>
      </c>
      <c r="U491" s="7">
        <v>998</v>
      </c>
      <c r="V491" s="103">
        <v>165603</v>
      </c>
      <c r="W491" s="7">
        <f t="shared" si="134"/>
        <v>155342</v>
      </c>
      <c r="X491" s="103">
        <f t="shared" si="135"/>
        <v>165619</v>
      </c>
      <c r="Y491" s="103"/>
      <c r="Z491" s="2">
        <v>8</v>
      </c>
      <c r="AA491" s="2"/>
      <c r="AB491" s="7">
        <v>16</v>
      </c>
      <c r="AC491" s="78">
        <v>147348</v>
      </c>
      <c r="AD491" s="103">
        <f t="shared" si="129"/>
        <v>165619</v>
      </c>
      <c r="AE491" s="192">
        <f t="shared" si="159"/>
        <v>5.1578575888373094E-5</v>
      </c>
      <c r="AF491" s="192">
        <f t="shared" si="160"/>
        <v>5.796436399205405E-5</v>
      </c>
      <c r="AG491" s="20">
        <f t="shared" si="152"/>
        <v>6.141718923908026E-2</v>
      </c>
      <c r="AH491" s="20">
        <f t="shared" si="153"/>
        <v>0.11586110289278403</v>
      </c>
    </row>
    <row r="492" spans="1:38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7">
        <f t="shared" si="158"/>
        <v>2.5001116002599888</v>
      </c>
      <c r="O492" s="7">
        <f t="shared" si="146"/>
        <v>4338.9166666666661</v>
      </c>
      <c r="P492" s="7">
        <f t="shared" si="147"/>
        <v>4336.4165550664065</v>
      </c>
      <c r="Q492" s="7">
        <f t="shared" si="148"/>
        <v>2143.0010027218714</v>
      </c>
      <c r="R492" s="7">
        <f t="shared" si="149"/>
        <v>1213.0822190112021</v>
      </c>
      <c r="S492" s="7">
        <v>5017</v>
      </c>
      <c r="T492" s="7">
        <v>8091</v>
      </c>
      <c r="U492" s="7">
        <v>864</v>
      </c>
      <c r="V492" s="103">
        <v>180723</v>
      </c>
      <c r="W492" s="7">
        <f t="shared" si="134"/>
        <v>174842</v>
      </c>
      <c r="X492" s="103">
        <f t="shared" si="135"/>
        <v>180758</v>
      </c>
      <c r="Y492" s="103"/>
      <c r="Z492" s="2">
        <v>309</v>
      </c>
      <c r="AA492" s="2"/>
      <c r="AB492" s="7">
        <v>35</v>
      </c>
      <c r="AC492" s="78">
        <v>158482</v>
      </c>
      <c r="AD492" s="103">
        <f t="shared" si="129"/>
        <v>180758</v>
      </c>
      <c r="AE492" s="192">
        <f t="shared" si="159"/>
        <v>1.8522608245731375E-3</v>
      </c>
      <c r="AF492" s="192">
        <f t="shared" si="160"/>
        <v>1.1617743059781585E-4</v>
      </c>
      <c r="AG492" s="20">
        <f t="shared" si="152"/>
        <v>2.2511143221312198</v>
      </c>
      <c r="AH492" s="20">
        <f t="shared" si="153"/>
        <v>0.24899727812876882</v>
      </c>
    </row>
    <row r="493" spans="1:38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7">
        <f t="shared" si="158"/>
        <v>6.8517829013315188</v>
      </c>
      <c r="O493" s="7">
        <f t="shared" si="146"/>
        <v>4131.916666666667</v>
      </c>
      <c r="P493" s="7">
        <f t="shared" si="147"/>
        <v>4125.0648837653343</v>
      </c>
      <c r="Q493" s="7">
        <f t="shared" si="148"/>
        <v>2174.151681216083</v>
      </c>
      <c r="R493" s="7">
        <f t="shared" si="149"/>
        <v>1168.246535882585</v>
      </c>
      <c r="S493" s="7">
        <v>2241</v>
      </c>
      <c r="T493" s="7">
        <v>5208</v>
      </c>
      <c r="U493" s="7">
        <v>894</v>
      </c>
      <c r="V493" s="103">
        <v>185592</v>
      </c>
      <c r="W493" s="7">
        <f t="shared" si="134"/>
        <v>182457</v>
      </c>
      <c r="X493" s="103">
        <f t="shared" si="135"/>
        <v>185689</v>
      </c>
      <c r="Y493" s="103"/>
      <c r="Z493" s="2">
        <v>888</v>
      </c>
      <c r="AA493" s="2"/>
      <c r="AB493" s="7">
        <v>97</v>
      </c>
      <c r="AC493" s="78">
        <v>160570</v>
      </c>
      <c r="AD493" s="103">
        <f t="shared" si="129"/>
        <v>185689</v>
      </c>
      <c r="AE493" s="192">
        <f t="shared" si="159"/>
        <v>5.2537833966494361E-3</v>
      </c>
      <c r="AF493" s="192">
        <f t="shared" si="160"/>
        <v>3.1342728971559967E-4</v>
      </c>
      <c r="AG493" s="20">
        <f t="shared" si="152"/>
        <v>6.1701307840817092</v>
      </c>
      <c r="AH493" s="20">
        <f t="shared" si="153"/>
        <v>0.6816521172498099</v>
      </c>
    </row>
    <row r="494" spans="1:38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7">
        <f t="shared" si="158"/>
        <v>45.03336331699505</v>
      </c>
      <c r="O494" s="7">
        <f t="shared" si="146"/>
        <v>4296.9999999999991</v>
      </c>
      <c r="P494" s="7">
        <f t="shared" si="147"/>
        <v>4251.9666366830052</v>
      </c>
      <c r="Q494" s="7">
        <f t="shared" si="148"/>
        <v>2132.6749742107859</v>
      </c>
      <c r="R494" s="7">
        <f t="shared" si="149"/>
        <v>1167.2083291388856</v>
      </c>
      <c r="S494" s="7">
        <v>5073</v>
      </c>
      <c r="T494" s="7">
        <v>5778</v>
      </c>
      <c r="U494" s="7">
        <v>1483</v>
      </c>
      <c r="V494" s="103">
        <v>153229</v>
      </c>
      <c r="W494" s="7">
        <f t="shared" si="134"/>
        <v>146673</v>
      </c>
      <c r="X494" s="103">
        <f t="shared" si="135"/>
        <v>156073</v>
      </c>
      <c r="Y494" s="103"/>
      <c r="Z494" s="2">
        <v>2756</v>
      </c>
      <c r="AA494" s="2"/>
      <c r="AB494" s="7">
        <v>2844</v>
      </c>
      <c r="AC494" s="78">
        <v>145033</v>
      </c>
      <c r="AD494" s="103">
        <f t="shared" si="129"/>
        <v>156073</v>
      </c>
      <c r="AE494" s="192">
        <f t="shared" si="159"/>
        <v>1.8052443237056393E-2</v>
      </c>
      <c r="AF494" s="192">
        <f t="shared" si="160"/>
        <v>1.0933345293548532E-2</v>
      </c>
      <c r="AG494" s="20">
        <f t="shared" si="152"/>
        <v>21.45833752778103</v>
      </c>
      <c r="AH494" s="20">
        <f t="shared" si="153"/>
        <v>23.57502578921402</v>
      </c>
    </row>
    <row r="495" spans="1:38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7">
        <f t="shared" si="158"/>
        <v>197.56128418290598</v>
      </c>
      <c r="O495" s="7">
        <f t="shared" si="146"/>
        <v>3688.9166666666665</v>
      </c>
      <c r="P495" s="7">
        <f t="shared" si="147"/>
        <v>3491.3553824837609</v>
      </c>
      <c r="Q495" s="7">
        <f t="shared" si="148"/>
        <v>1582.6524489913379</v>
      </c>
      <c r="R495" s="7">
        <f t="shared" si="149"/>
        <v>956.61960015908949</v>
      </c>
      <c r="S495" s="7">
        <v>8820</v>
      </c>
      <c r="T495" s="7">
        <v>10436</v>
      </c>
      <c r="U495" s="7">
        <v>1189</v>
      </c>
      <c r="V495" s="103">
        <v>166271</v>
      </c>
      <c r="W495" s="7">
        <f t="shared" si="134"/>
        <v>156262</v>
      </c>
      <c r="X495" s="103">
        <f t="shared" si="135"/>
        <v>173745</v>
      </c>
      <c r="Y495" s="103"/>
      <c r="Z495" s="2">
        <v>18609</v>
      </c>
      <c r="AA495" s="2"/>
      <c r="AB495" s="7">
        <v>7474</v>
      </c>
      <c r="AC495" s="78">
        <v>126344</v>
      </c>
      <c r="AD495" s="103">
        <f t="shared" si="129"/>
        <v>173745</v>
      </c>
      <c r="AE495" s="192">
        <f t="shared" si="159"/>
        <v>0.1399239378205534</v>
      </c>
      <c r="AF495" s="192">
        <f t="shared" si="160"/>
        <v>2.5810239143572476E-2</v>
      </c>
      <c r="AG495" s="20">
        <f t="shared" si="152"/>
        <v>155.63039984091051</v>
      </c>
      <c r="AH495" s="20">
        <f t="shared" si="153"/>
        <v>41.930884341995451</v>
      </c>
    </row>
    <row r="496" spans="1:38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7">
        <f t="shared" si="158"/>
        <v>0</v>
      </c>
      <c r="O496" s="7">
        <f t="shared" si="146"/>
        <v>0</v>
      </c>
      <c r="P496" s="7">
        <f t="shared" si="147"/>
        <v>0</v>
      </c>
      <c r="Q496" s="7">
        <f t="shared" si="148"/>
        <v>0</v>
      </c>
      <c r="R496" s="7">
        <f t="shared" si="149"/>
        <v>0</v>
      </c>
      <c r="T496" s="7"/>
      <c r="U496" s="7"/>
      <c r="V496" s="74"/>
      <c r="W496" s="7">
        <f t="shared" si="134"/>
        <v>0</v>
      </c>
      <c r="X496" s="103">
        <f t="shared" si="135"/>
        <v>0</v>
      </c>
      <c r="Y496" s="103"/>
      <c r="Z496" s="2"/>
      <c r="AA496" s="2"/>
      <c r="AD496" s="103"/>
      <c r="AE496" s="192"/>
      <c r="AF496" s="192"/>
      <c r="AG496" s="20"/>
      <c r="AH496" s="20"/>
      <c r="AI496"/>
      <c r="AJ496"/>
      <c r="AK496"/>
      <c r="AL496"/>
    </row>
    <row r="497" spans="1:84" s="45" customFormat="1">
      <c r="A497" s="28">
        <v>46153</v>
      </c>
      <c r="B497" s="172">
        <v>52.5</v>
      </c>
      <c r="C497" s="172">
        <v>344.08333333333331</v>
      </c>
      <c r="D497" s="172">
        <v>94.5</v>
      </c>
      <c r="E497" s="172">
        <v>481.24999999999994</v>
      </c>
      <c r="F497" s="172">
        <v>306.99999999999994</v>
      </c>
      <c r="G497" s="172">
        <v>147</v>
      </c>
      <c r="H497" s="172">
        <v>61.5</v>
      </c>
      <c r="I497" s="172">
        <v>2340.1666666666665</v>
      </c>
      <c r="J497" s="172">
        <v>155.5</v>
      </c>
      <c r="K497" s="172">
        <v>1689.0833333333333</v>
      </c>
      <c r="L497" s="172">
        <v>159.91666666666666</v>
      </c>
      <c r="M497" s="30">
        <v>340.75</v>
      </c>
      <c r="N497" s="107">
        <f t="shared" si="158"/>
        <v>102.88663490380853</v>
      </c>
      <c r="O497" s="7">
        <f t="shared" si="146"/>
        <v>4982.833333333333</v>
      </c>
      <c r="P497" s="7">
        <f t="shared" si="147"/>
        <v>4879.9466984295241</v>
      </c>
      <c r="Q497" s="7">
        <f t="shared" si="148"/>
        <v>2269.366332722263</v>
      </c>
      <c r="R497" s="7">
        <f t="shared" si="149"/>
        <v>1656.9970323739281</v>
      </c>
      <c r="S497" s="7">
        <v>3364</v>
      </c>
      <c r="T497" s="7">
        <v>3567</v>
      </c>
      <c r="U497" s="7">
        <v>705</v>
      </c>
      <c r="V497" s="103">
        <v>177151</v>
      </c>
      <c r="W497" s="7">
        <f t="shared" si="134"/>
        <v>173082</v>
      </c>
      <c r="X497" s="103">
        <f t="shared" si="135"/>
        <v>186558</v>
      </c>
      <c r="Y497" s="103"/>
      <c r="Z497" s="2">
        <v>3473</v>
      </c>
      <c r="AA497" s="2"/>
      <c r="AB497" s="7">
        <v>9407</v>
      </c>
      <c r="AC497" s="78">
        <v>173684</v>
      </c>
      <c r="AD497" s="103">
        <f t="shared" si="129"/>
        <v>186558</v>
      </c>
      <c r="AE497" s="192">
        <f t="shared" ref="AE497:AE516" si="161">+(Z497/AC497*0.95)</f>
        <v>1.8996280601552243E-2</v>
      </c>
      <c r="AF497" s="192">
        <f t="shared" ref="AF497:AF516" si="162">+(AB497/AD497*0.6)</f>
        <v>3.0254398096034474E-2</v>
      </c>
      <c r="AG497" s="20">
        <f t="shared" ref="AG497:AG509" si="163">+AE497*K497</f>
        <v>32.0863009594052</v>
      </c>
      <c r="AH497" s="20">
        <f t="shared" ref="AH497:AH509" si="164">+AF497*I497</f>
        <v>70.800333944403334</v>
      </c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7">
        <f t="shared" si="158"/>
        <v>46.419781421741703</v>
      </c>
      <c r="O498" s="7">
        <f t="shared" si="146"/>
        <v>4993.25</v>
      </c>
      <c r="P498" s="7">
        <f t="shared" si="147"/>
        <v>4946.8302185782586</v>
      </c>
      <c r="Q498" s="7">
        <f t="shared" si="148"/>
        <v>2326.582258628222</v>
      </c>
      <c r="R498" s="7">
        <f t="shared" si="149"/>
        <v>1581.5812932833696</v>
      </c>
      <c r="S498" s="7">
        <v>8893</v>
      </c>
      <c r="T498" s="7">
        <v>9572</v>
      </c>
      <c r="U498" s="7">
        <v>1894</v>
      </c>
      <c r="V498" s="103">
        <v>196332</v>
      </c>
      <c r="W498" s="7">
        <f t="shared" si="134"/>
        <v>185545</v>
      </c>
      <c r="X498" s="103">
        <f t="shared" si="135"/>
        <v>198380</v>
      </c>
      <c r="Y498" s="103"/>
      <c r="Z498" s="2">
        <v>3512</v>
      </c>
      <c r="AA498" s="2"/>
      <c r="AB498" s="7">
        <v>2048</v>
      </c>
      <c r="AC498" s="78">
        <v>168656</v>
      </c>
      <c r="AD498" s="103">
        <f t="shared" si="129"/>
        <v>198380</v>
      </c>
      <c r="AE498" s="192">
        <f t="shared" si="161"/>
        <v>1.9782278721183946E-2</v>
      </c>
      <c r="AF498" s="192">
        <f t="shared" si="162"/>
        <v>6.1941727996773872E-3</v>
      </c>
      <c r="AG498" s="20">
        <f t="shared" si="163"/>
        <v>31.918706716630297</v>
      </c>
      <c r="AH498" s="20">
        <f t="shared" si="164"/>
        <v>14.501074705111405</v>
      </c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</row>
    <row r="499" spans="1:84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7">
        <f t="shared" si="158"/>
        <v>19.291663278640918</v>
      </c>
      <c r="O499" s="7">
        <f t="shared" si="146"/>
        <v>5049.1666666666661</v>
      </c>
      <c r="P499" s="7">
        <f t="shared" si="147"/>
        <v>5029.875003388026</v>
      </c>
      <c r="Q499" s="7">
        <f t="shared" si="148"/>
        <v>2254.958336721359</v>
      </c>
      <c r="R499" s="7">
        <f t="shared" si="149"/>
        <v>1587.9166666666665</v>
      </c>
      <c r="S499" s="7">
        <v>5804</v>
      </c>
      <c r="T499" s="7">
        <v>8328</v>
      </c>
      <c r="U499" s="7">
        <v>1648</v>
      </c>
      <c r="V499" s="103">
        <v>203689</v>
      </c>
      <c r="W499" s="7">
        <f t="shared" si="134"/>
        <v>196237</v>
      </c>
      <c r="X499" s="103">
        <f t="shared" si="135"/>
        <v>206610</v>
      </c>
      <c r="Y499" s="103"/>
      <c r="Z499" s="2"/>
      <c r="AA499" s="2"/>
      <c r="AB499" s="7">
        <v>2921</v>
      </c>
      <c r="AC499" s="78">
        <v>163061</v>
      </c>
      <c r="AD499" s="103">
        <f t="shared" si="129"/>
        <v>206610</v>
      </c>
      <c r="AE499" s="192">
        <f t="shared" si="161"/>
        <v>0</v>
      </c>
      <c r="AF499" s="192">
        <f t="shared" si="162"/>
        <v>8.4826484681283579E-3</v>
      </c>
      <c r="AG499" s="20">
        <f t="shared" si="163"/>
        <v>0</v>
      </c>
      <c r="AH499" s="20">
        <f t="shared" si="164"/>
        <v>19.291663278640918</v>
      </c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</row>
    <row r="500" spans="1:84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7">
        <f t="shared" si="158"/>
        <v>61.665424601384188</v>
      </c>
      <c r="O500" s="7">
        <f t="shared" si="146"/>
        <v>5281.666666666667</v>
      </c>
      <c r="P500" s="7">
        <f t="shared" si="147"/>
        <v>5220.0012420652829</v>
      </c>
      <c r="Q500" s="7">
        <f t="shared" si="148"/>
        <v>2370.7465102058918</v>
      </c>
      <c r="R500" s="7">
        <f t="shared" si="149"/>
        <v>1695.7547318593909</v>
      </c>
      <c r="S500" s="7">
        <v>5542</v>
      </c>
      <c r="T500" s="7">
        <v>7551</v>
      </c>
      <c r="U500" s="7">
        <v>1493</v>
      </c>
      <c r="V500" s="103">
        <v>210230</v>
      </c>
      <c r="W500" s="7">
        <f t="shared" si="134"/>
        <v>203195</v>
      </c>
      <c r="X500" s="103">
        <f t="shared" si="135"/>
        <v>214239</v>
      </c>
      <c r="Y500" s="103"/>
      <c r="Z500" s="2">
        <v>3688</v>
      </c>
      <c r="AA500" s="2"/>
      <c r="AB500" s="7">
        <v>4009</v>
      </c>
      <c r="AC500" s="78">
        <v>174498</v>
      </c>
      <c r="AD500" s="103">
        <f t="shared" si="129"/>
        <v>214239</v>
      </c>
      <c r="AE500" s="192">
        <f t="shared" si="161"/>
        <v>2.007816708500957E-2</v>
      </c>
      <c r="AF500" s="192">
        <f t="shared" si="162"/>
        <v>1.1227647627182726E-2</v>
      </c>
      <c r="AG500" s="20">
        <f t="shared" si="163"/>
        <v>34.745268140609063</v>
      </c>
      <c r="AH500" s="20">
        <f t="shared" si="164"/>
        <v>26.920156460775122</v>
      </c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7">
        <f t="shared" si="158"/>
        <v>42.636638394870737</v>
      </c>
      <c r="O501" s="7">
        <f t="shared" si="146"/>
        <v>5230.083333333333</v>
      </c>
      <c r="P501" s="7">
        <f t="shared" ref="P501:P532" si="165">+B501+C501+D501+F501+J501+Q501+R501</f>
        <v>5187.4466949384623</v>
      </c>
      <c r="Q501" s="7">
        <f t="shared" ref="Q501:Q532" si="166">+I501-AH501</f>
        <v>2280.1907805985115</v>
      </c>
      <c r="R501" s="7">
        <f t="shared" ref="R501:R532" si="167">+K501-AG501</f>
        <v>1703.3392476732843</v>
      </c>
      <c r="S501" s="7">
        <v>6902</v>
      </c>
      <c r="T501" s="7">
        <v>8677</v>
      </c>
      <c r="U501" s="7">
        <v>1717</v>
      </c>
      <c r="V501" s="103">
        <v>185868</v>
      </c>
      <c r="W501" s="7">
        <f t="shared" si="134"/>
        <v>177249</v>
      </c>
      <c r="X501" s="103">
        <f t="shared" si="135"/>
        <v>189470</v>
      </c>
      <c r="Y501" s="103"/>
      <c r="Z501" s="2">
        <v>1769</v>
      </c>
      <c r="AA501" s="2"/>
      <c r="AB501" s="7">
        <v>3602</v>
      </c>
      <c r="AC501" s="78">
        <v>177002</v>
      </c>
      <c r="AD501" s="103">
        <f t="shared" si="129"/>
        <v>189470</v>
      </c>
      <c r="AE501" s="192">
        <f t="shared" si="161"/>
        <v>9.4945254855877334E-3</v>
      </c>
      <c r="AF501" s="192">
        <f t="shared" si="162"/>
        <v>1.1406555127460812E-2</v>
      </c>
      <c r="AG501" s="20">
        <f t="shared" si="163"/>
        <v>16.327418993382373</v>
      </c>
      <c r="AH501" s="20">
        <f t="shared" si="164"/>
        <v>26.309219401488363</v>
      </c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7">
        <f t="shared" si="158"/>
        <v>26.613774944771421</v>
      </c>
      <c r="O502" s="7">
        <f t="shared" si="146"/>
        <v>5227.4166666666661</v>
      </c>
      <c r="P502" s="7">
        <f t="shared" si="165"/>
        <v>5200.8028917218944</v>
      </c>
      <c r="Q502" s="7">
        <f t="shared" si="166"/>
        <v>2316.2983197241288</v>
      </c>
      <c r="R502" s="7">
        <f t="shared" si="167"/>
        <v>1760.3379053310996</v>
      </c>
      <c r="S502" s="7">
        <v>4466</v>
      </c>
      <c r="T502" s="7">
        <v>9938</v>
      </c>
      <c r="U502" s="7">
        <v>1966</v>
      </c>
      <c r="V502" s="103">
        <v>212415</v>
      </c>
      <c r="W502" s="7">
        <f t="shared" si="134"/>
        <v>205983</v>
      </c>
      <c r="X502" s="103">
        <f t="shared" si="135"/>
        <v>215173</v>
      </c>
      <c r="Y502" s="103"/>
      <c r="Z502" s="2">
        <v>1003</v>
      </c>
      <c r="AA502" s="2"/>
      <c r="AB502" s="7">
        <v>2758</v>
      </c>
      <c r="AC502" s="78">
        <v>194594</v>
      </c>
      <c r="AD502" s="103">
        <f t="shared" si="129"/>
        <v>215173</v>
      </c>
      <c r="AE502" s="192">
        <f t="shared" si="161"/>
        <v>4.8966052396271212E-3</v>
      </c>
      <c r="AF502" s="192">
        <f t="shared" si="162"/>
        <v>7.690555971241745E-3</v>
      </c>
      <c r="AG502" s="20">
        <f t="shared" si="163"/>
        <v>8.6620946689003766</v>
      </c>
      <c r="AH502" s="20">
        <f t="shared" si="164"/>
        <v>17.951680275871045</v>
      </c>
      <c r="AI502"/>
      <c r="AJ502"/>
      <c r="AK502"/>
      <c r="AL502"/>
    </row>
    <row r="503" spans="1:84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7">
        <f t="shared" si="158"/>
        <v>0</v>
      </c>
      <c r="O503" s="7">
        <f t="shared" si="146"/>
        <v>5229.1666666666661</v>
      </c>
      <c r="P503" s="7">
        <f t="shared" si="165"/>
        <v>5229.166666666667</v>
      </c>
      <c r="Q503" s="7">
        <f t="shared" si="166"/>
        <v>2383.666666666667</v>
      </c>
      <c r="R503" s="7">
        <f t="shared" si="167"/>
        <v>1927.9999999999998</v>
      </c>
      <c r="S503" s="7">
        <v>1925</v>
      </c>
      <c r="T503" s="7">
        <v>5525</v>
      </c>
      <c r="U503" s="7">
        <v>1093</v>
      </c>
      <c r="V503" s="103">
        <v>227177</v>
      </c>
      <c r="W503" s="7">
        <f t="shared" si="134"/>
        <v>224159</v>
      </c>
      <c r="X503" s="103">
        <f t="shared" si="135"/>
        <v>227177</v>
      </c>
      <c r="Y503" s="103"/>
      <c r="Z503" s="2"/>
      <c r="AA503" s="2"/>
      <c r="AC503" s="78">
        <v>205814</v>
      </c>
      <c r="AD503" s="103">
        <f t="shared" si="129"/>
        <v>227177</v>
      </c>
      <c r="AE503" s="192">
        <f t="shared" si="161"/>
        <v>0</v>
      </c>
      <c r="AF503" s="192">
        <f t="shared" si="162"/>
        <v>0</v>
      </c>
      <c r="AG503" s="20">
        <f t="shared" si="163"/>
        <v>0</v>
      </c>
      <c r="AH503" s="20">
        <f t="shared" si="164"/>
        <v>0</v>
      </c>
      <c r="AI503"/>
      <c r="AJ503"/>
      <c r="AK503"/>
      <c r="AL503"/>
    </row>
    <row r="504" spans="1:84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7">
        <f t="shared" si="158"/>
        <v>46.396275726682994</v>
      </c>
      <c r="O504" s="7">
        <f t="shared" si="146"/>
        <v>5407.333333333333</v>
      </c>
      <c r="P504" s="7">
        <f t="shared" si="165"/>
        <v>5360.9370576066503</v>
      </c>
      <c r="Q504" s="7">
        <f t="shared" si="166"/>
        <v>2416.833333333333</v>
      </c>
      <c r="R504" s="7">
        <f t="shared" si="167"/>
        <v>2079.1870576066499</v>
      </c>
      <c r="S504" s="7">
        <v>4714</v>
      </c>
      <c r="T504" s="7">
        <v>6635</v>
      </c>
      <c r="U504" s="7">
        <v>1486</v>
      </c>
      <c r="V504" s="103">
        <v>213725</v>
      </c>
      <c r="W504" s="7">
        <f t="shared" si="134"/>
        <v>207525</v>
      </c>
      <c r="X504" s="103">
        <f t="shared" si="135"/>
        <v>213725</v>
      </c>
      <c r="Y504" s="103"/>
      <c r="Z504" s="2">
        <v>5222</v>
      </c>
      <c r="AA504" s="2"/>
      <c r="AC504" s="78">
        <v>227277</v>
      </c>
      <c r="AD504" s="103">
        <f t="shared" si="129"/>
        <v>213725</v>
      </c>
      <c r="AE504" s="192">
        <f t="shared" si="161"/>
        <v>2.1827549642066728E-2</v>
      </c>
      <c r="AF504" s="192">
        <f t="shared" si="162"/>
        <v>0</v>
      </c>
      <c r="AG504" s="20">
        <f t="shared" si="163"/>
        <v>46.396275726682994</v>
      </c>
      <c r="AH504" s="20">
        <f t="shared" si="164"/>
        <v>0</v>
      </c>
      <c r="AI504"/>
      <c r="AJ504"/>
      <c r="AK504"/>
      <c r="AL504"/>
    </row>
    <row r="505" spans="1:84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7">
        <f t="shared" si="158"/>
        <v>59.345307658060108</v>
      </c>
      <c r="O505" s="7">
        <f t="shared" si="146"/>
        <v>5060.75</v>
      </c>
      <c r="P505" s="7">
        <f t="shared" si="165"/>
        <v>5001.4046923419401</v>
      </c>
      <c r="Q505" s="7">
        <f t="shared" si="166"/>
        <v>2300.7666652600187</v>
      </c>
      <c r="R505" s="7">
        <f t="shared" si="167"/>
        <v>1726.6380270819211</v>
      </c>
      <c r="S505" s="7">
        <v>1654</v>
      </c>
      <c r="T505" s="7">
        <v>6232</v>
      </c>
      <c r="U505" s="7">
        <v>1910</v>
      </c>
      <c r="V505" s="103">
        <v>207388</v>
      </c>
      <c r="W505" s="7">
        <f t="shared" si="134"/>
        <v>203824</v>
      </c>
      <c r="X505" s="103">
        <f t="shared" si="135"/>
        <v>213273</v>
      </c>
      <c r="Y505" s="103"/>
      <c r="Z505" s="2">
        <v>2363</v>
      </c>
      <c r="AA505" s="2"/>
      <c r="AB505" s="7">
        <v>5885</v>
      </c>
      <c r="AC505" s="78">
        <v>190293</v>
      </c>
      <c r="AD505" s="103">
        <f t="shared" si="129"/>
        <v>213273</v>
      </c>
      <c r="AE505" s="192">
        <f t="shared" si="161"/>
        <v>1.1796808080171103E-2</v>
      </c>
      <c r="AF505" s="192">
        <f t="shared" si="162"/>
        <v>1.6556244812986173E-2</v>
      </c>
      <c r="AG505" s="20">
        <f t="shared" si="163"/>
        <v>20.611972918078958</v>
      </c>
      <c r="AH505" s="20">
        <f t="shared" si="164"/>
        <v>38.733334739981153</v>
      </c>
      <c r="AI505"/>
      <c r="AJ505"/>
      <c r="AK505"/>
      <c r="AL505"/>
    </row>
    <row r="506" spans="1:84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7">
        <v>159.91666666666666</v>
      </c>
      <c r="M506" s="187">
        <v>356</v>
      </c>
      <c r="N506" s="107">
        <f t="shared" si="158"/>
        <v>23.621790054688113</v>
      </c>
      <c r="O506" s="7">
        <f t="shared" si="146"/>
        <v>5457.3333333333339</v>
      </c>
      <c r="P506" s="7">
        <f t="shared" si="165"/>
        <v>5433.711543278645</v>
      </c>
      <c r="Q506" s="7">
        <f t="shared" si="166"/>
        <v>2484.0092239634582</v>
      </c>
      <c r="R506" s="7">
        <f t="shared" si="167"/>
        <v>1899.2023193151872</v>
      </c>
      <c r="S506" s="7">
        <v>4916</v>
      </c>
      <c r="T506" s="7">
        <v>6695</v>
      </c>
      <c r="U506" s="7">
        <v>1348</v>
      </c>
      <c r="V506" s="103">
        <v>205963</v>
      </c>
      <c r="W506" s="7">
        <f t="shared" si="134"/>
        <v>199699</v>
      </c>
      <c r="X506" s="103">
        <f t="shared" si="135"/>
        <v>208345</v>
      </c>
      <c r="Y506" s="103"/>
      <c r="Z506" s="2">
        <v>724</v>
      </c>
      <c r="AA506" s="2"/>
      <c r="AB506" s="7">
        <v>2382</v>
      </c>
      <c r="AC506" s="78">
        <v>202761</v>
      </c>
      <c r="AD506" s="103">
        <f t="shared" si="129"/>
        <v>208345</v>
      </c>
      <c r="AE506" s="192">
        <f t="shared" si="161"/>
        <v>3.3921710782645574E-3</v>
      </c>
      <c r="AF506" s="192">
        <f t="shared" si="162"/>
        <v>6.8597758525522565E-3</v>
      </c>
      <c r="AG506" s="20">
        <f t="shared" si="163"/>
        <v>6.4643473514794918</v>
      </c>
      <c r="AH506" s="20">
        <f t="shared" si="164"/>
        <v>17.15744270320862</v>
      </c>
      <c r="AI506"/>
      <c r="AJ506"/>
      <c r="AK506"/>
      <c r="AL506"/>
    </row>
    <row r="507" spans="1:84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7">
        <v>159.58333333333331</v>
      </c>
      <c r="M507" s="187">
        <v>350.5</v>
      </c>
      <c r="N507" s="107">
        <f t="shared" si="158"/>
        <v>48.94389880687558</v>
      </c>
      <c r="O507" s="7">
        <f t="shared" si="146"/>
        <v>5177.083333333333</v>
      </c>
      <c r="P507" s="7">
        <f t="shared" si="165"/>
        <v>5128.139434526458</v>
      </c>
      <c r="Q507" s="7">
        <f t="shared" si="166"/>
        <v>2413.5</v>
      </c>
      <c r="R507" s="7">
        <f t="shared" si="167"/>
        <v>1499.472767859791</v>
      </c>
      <c r="S507" s="7">
        <v>7398</v>
      </c>
      <c r="T507" s="7">
        <v>8700</v>
      </c>
      <c r="U507" s="7">
        <v>1476</v>
      </c>
      <c r="V507" s="103">
        <v>220286</v>
      </c>
      <c r="W507" s="7">
        <f t="shared" si="134"/>
        <v>211412</v>
      </c>
      <c r="X507" s="103">
        <f t="shared" si="135"/>
        <v>220286</v>
      </c>
      <c r="Y507" s="103"/>
      <c r="Z507" s="2">
        <v>5609</v>
      </c>
      <c r="AA507" s="2"/>
      <c r="AC507" s="78">
        <v>168577</v>
      </c>
      <c r="AD507" s="103">
        <f t="shared" si="129"/>
        <v>220286</v>
      </c>
      <c r="AE507" s="192">
        <f t="shared" si="161"/>
        <v>3.1608997668721113E-2</v>
      </c>
      <c r="AF507" s="192">
        <f t="shared" si="162"/>
        <v>0</v>
      </c>
      <c r="AG507" s="20">
        <f t="shared" si="163"/>
        <v>48.94389880687558</v>
      </c>
      <c r="AH507" s="20">
        <f t="shared" si="164"/>
        <v>0</v>
      </c>
      <c r="AI507"/>
      <c r="AJ507"/>
      <c r="AK507"/>
      <c r="AL507"/>
    </row>
    <row r="508" spans="1:84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7">
        <v>167.83333333333334</v>
      </c>
      <c r="M508" s="187">
        <v>336.16666666666663</v>
      </c>
      <c r="N508" s="107">
        <f t="shared" si="158"/>
        <v>58.951391460726384</v>
      </c>
      <c r="O508" s="7">
        <f t="shared" si="146"/>
        <v>4890.25</v>
      </c>
      <c r="P508" s="7">
        <f t="shared" si="165"/>
        <v>4831.298608539274</v>
      </c>
      <c r="Q508" s="7">
        <f t="shared" si="166"/>
        <v>2368.01848621626</v>
      </c>
      <c r="R508" s="7">
        <f t="shared" si="167"/>
        <v>1296.5301223230138</v>
      </c>
      <c r="S508" s="7">
        <v>7117</v>
      </c>
      <c r="T508" s="7">
        <v>7867</v>
      </c>
      <c r="U508" s="7">
        <v>1225</v>
      </c>
      <c r="V508" s="103">
        <v>215676</v>
      </c>
      <c r="W508" s="7">
        <f t="shared" si="134"/>
        <v>207334</v>
      </c>
      <c r="X508" s="103">
        <f t="shared" si="135"/>
        <v>222436</v>
      </c>
      <c r="Y508" s="103"/>
      <c r="Z508" s="2">
        <v>1604</v>
      </c>
      <c r="AA508" s="2"/>
      <c r="AB508" s="7">
        <v>6760</v>
      </c>
      <c r="AC508" s="78">
        <v>133499</v>
      </c>
      <c r="AD508" s="103">
        <f t="shared" si="129"/>
        <v>222436</v>
      </c>
      <c r="AE508" s="192">
        <f t="shared" si="161"/>
        <v>1.1414317710245019E-2</v>
      </c>
      <c r="AF508" s="192">
        <f t="shared" si="162"/>
        <v>1.8234458450970166E-2</v>
      </c>
      <c r="AG508" s="20">
        <f t="shared" si="163"/>
        <v>14.969877676986343</v>
      </c>
      <c r="AH508" s="20">
        <f t="shared" si="164"/>
        <v>43.981513783740041</v>
      </c>
      <c r="AI508"/>
      <c r="AJ508"/>
      <c r="AK508"/>
      <c r="AL508"/>
    </row>
    <row r="509" spans="1:84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7">
        <v>132.5</v>
      </c>
      <c r="M509" s="187">
        <v>328.58333333333337</v>
      </c>
      <c r="N509" s="107">
        <f t="shared" si="158"/>
        <v>4.2063540226681946</v>
      </c>
      <c r="O509" s="7">
        <f t="shared" si="146"/>
        <v>4760</v>
      </c>
      <c r="P509" s="7">
        <f t="shared" si="165"/>
        <v>4755.7936459773318</v>
      </c>
      <c r="Q509" s="7">
        <f t="shared" si="166"/>
        <v>2671.9066653907971</v>
      </c>
      <c r="R509" s="7">
        <f t="shared" si="167"/>
        <v>1011.1369805865344</v>
      </c>
      <c r="S509" s="7">
        <v>4832</v>
      </c>
      <c r="T509" s="7">
        <v>5387</v>
      </c>
      <c r="U509" s="7">
        <v>1449</v>
      </c>
      <c r="V509" s="103">
        <v>226799</v>
      </c>
      <c r="W509" s="7">
        <f t="shared" si="134"/>
        <v>220518</v>
      </c>
      <c r="X509" s="103">
        <f t="shared" si="135"/>
        <v>227296</v>
      </c>
      <c r="Y509" s="103"/>
      <c r="Z509" s="2">
        <v>76</v>
      </c>
      <c r="AA509" s="2"/>
      <c r="AB509" s="7">
        <v>497</v>
      </c>
      <c r="AC509" s="78">
        <v>104910</v>
      </c>
      <c r="AD509" s="103">
        <f t="shared" si="129"/>
        <v>227296</v>
      </c>
      <c r="AE509" s="192">
        <f t="shared" si="161"/>
        <v>6.8820894099704509E-4</v>
      </c>
      <c r="AF509" s="192">
        <f t="shared" si="162"/>
        <v>1.3119456567647473E-3</v>
      </c>
      <c r="AG509" s="20">
        <f t="shared" si="163"/>
        <v>0.6963527467988434</v>
      </c>
      <c r="AH509" s="20">
        <f t="shared" si="164"/>
        <v>3.5100012758693508</v>
      </c>
      <c r="AI509"/>
      <c r="AJ509"/>
      <c r="AK509"/>
      <c r="AL509"/>
    </row>
    <row r="510" spans="1:84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7">
        <v>0</v>
      </c>
      <c r="M510" s="187">
        <v>0</v>
      </c>
      <c r="N510" s="107">
        <f t="shared" si="158"/>
        <v>0</v>
      </c>
      <c r="O510" s="7">
        <f t="shared" si="146"/>
        <v>0</v>
      </c>
      <c r="P510" s="7">
        <f t="shared" si="165"/>
        <v>0</v>
      </c>
      <c r="Q510" s="7">
        <f t="shared" si="166"/>
        <v>0</v>
      </c>
      <c r="R510" s="7">
        <f t="shared" si="167"/>
        <v>0</v>
      </c>
      <c r="T510" s="7"/>
      <c r="U510" s="7"/>
      <c r="V510" s="103"/>
      <c r="W510" s="7">
        <f t="shared" si="134"/>
        <v>0</v>
      </c>
      <c r="X510" s="103">
        <f t="shared" si="135"/>
        <v>0</v>
      </c>
      <c r="Y510" s="103"/>
      <c r="Z510" s="2"/>
      <c r="AA510" s="2"/>
      <c r="AC510" s="78"/>
      <c r="AD510" s="103">
        <f t="shared" si="129"/>
        <v>0</v>
      </c>
      <c r="AE510" s="192"/>
      <c r="AF510" s="192"/>
      <c r="AG510" s="20"/>
      <c r="AH510" s="20"/>
      <c r="AI510"/>
      <c r="AJ510"/>
      <c r="AK510"/>
      <c r="AL510"/>
    </row>
    <row r="511" spans="1:84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7">
        <v>155.33333333333331</v>
      </c>
      <c r="M511" s="187">
        <v>327.08333333333331</v>
      </c>
      <c r="N511" s="107">
        <f t="shared" si="158"/>
        <v>0</v>
      </c>
      <c r="O511" s="7">
        <f t="shared" si="146"/>
        <v>4302</v>
      </c>
      <c r="P511" s="7">
        <f t="shared" si="165"/>
        <v>4302</v>
      </c>
      <c r="Q511" s="7">
        <f t="shared" si="166"/>
        <v>1976.5833333333333</v>
      </c>
      <c r="R511" s="7">
        <f t="shared" si="167"/>
        <v>1302.5</v>
      </c>
      <c r="S511" s="7">
        <v>3385</v>
      </c>
      <c r="T511" s="7">
        <v>5173</v>
      </c>
      <c r="U511" s="7">
        <v>1142</v>
      </c>
      <c r="V511" s="103">
        <v>161649</v>
      </c>
      <c r="W511" s="7">
        <f t="shared" si="134"/>
        <v>157122</v>
      </c>
      <c r="X511" s="103">
        <f t="shared" si="135"/>
        <v>161649</v>
      </c>
      <c r="Y511" s="103"/>
      <c r="Z511" s="2"/>
      <c r="AA511" s="2"/>
      <c r="AC511" s="78">
        <v>127706</v>
      </c>
      <c r="AD511" s="103">
        <f t="shared" si="129"/>
        <v>161649</v>
      </c>
      <c r="AE511" s="192">
        <f t="shared" si="161"/>
        <v>0</v>
      </c>
      <c r="AF511" s="192">
        <f t="shared" si="162"/>
        <v>0</v>
      </c>
      <c r="AG511" s="20">
        <f>+AE511*K511</f>
        <v>0</v>
      </c>
      <c r="AH511" s="20">
        <f>+AF511*I511</f>
        <v>0</v>
      </c>
      <c r="AI511"/>
      <c r="AJ511"/>
      <c r="AK511"/>
      <c r="AL511"/>
    </row>
    <row r="512" spans="1:84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7">
        <v>0</v>
      </c>
      <c r="M512" s="187">
        <v>83.416666666666671</v>
      </c>
      <c r="N512" s="107">
        <f t="shared" si="158"/>
        <v>0</v>
      </c>
      <c r="O512" s="7">
        <f t="shared" si="146"/>
        <v>1374.25</v>
      </c>
      <c r="P512" s="7">
        <f t="shared" si="165"/>
        <v>1374.25</v>
      </c>
      <c r="Q512" s="7">
        <f t="shared" si="166"/>
        <v>583.58333333333337</v>
      </c>
      <c r="R512" s="7">
        <f t="shared" si="167"/>
        <v>400.66666666666669</v>
      </c>
      <c r="S512" s="7">
        <v>1732</v>
      </c>
      <c r="T512" s="7">
        <v>1997</v>
      </c>
      <c r="U512" s="7">
        <v>445</v>
      </c>
      <c r="V512" s="103">
        <v>50260</v>
      </c>
      <c r="W512" s="7">
        <f t="shared" si="134"/>
        <v>48083</v>
      </c>
      <c r="X512" s="103">
        <f t="shared" si="135"/>
        <v>50260</v>
      </c>
      <c r="Y512" s="103"/>
      <c r="Z512" s="2"/>
      <c r="AA512" s="2"/>
      <c r="AC512" s="78">
        <v>29460</v>
      </c>
      <c r="AD512" s="103">
        <f t="shared" ref="AD512:AD516" si="168">+X512</f>
        <v>50260</v>
      </c>
      <c r="AE512" s="192">
        <f t="shared" si="161"/>
        <v>0</v>
      </c>
      <c r="AF512" s="192">
        <f t="shared" si="162"/>
        <v>0</v>
      </c>
      <c r="AG512" s="20">
        <f>+AE512*K512</f>
        <v>0</v>
      </c>
      <c r="AH512" s="20">
        <f>+AF512*I512</f>
        <v>0</v>
      </c>
      <c r="AI512"/>
      <c r="AJ512"/>
      <c r="AK512"/>
      <c r="AL512"/>
    </row>
    <row r="513" spans="1:38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7">
        <v>0</v>
      </c>
      <c r="M513" s="101">
        <v>0</v>
      </c>
      <c r="N513" s="107">
        <f t="shared" si="158"/>
        <v>0</v>
      </c>
      <c r="O513" s="7">
        <f t="shared" si="146"/>
        <v>0</v>
      </c>
      <c r="P513" s="7">
        <f t="shared" si="165"/>
        <v>0</v>
      </c>
      <c r="Q513" s="7">
        <f t="shared" si="166"/>
        <v>0</v>
      </c>
      <c r="R513" s="7">
        <f t="shared" si="167"/>
        <v>0</v>
      </c>
      <c r="T513" s="7"/>
      <c r="U513" s="7"/>
      <c r="V513" s="103">
        <v>0</v>
      </c>
      <c r="W513" s="7">
        <f t="shared" si="134"/>
        <v>0</v>
      </c>
      <c r="X513" s="103">
        <f t="shared" si="135"/>
        <v>0</v>
      </c>
      <c r="Y513" s="103"/>
      <c r="Z513" s="2"/>
      <c r="AA513" s="2"/>
      <c r="AC513" s="78"/>
      <c r="AD513" s="103">
        <f t="shared" si="168"/>
        <v>0</v>
      </c>
      <c r="AE513" s="192"/>
      <c r="AF513" s="192"/>
      <c r="AG513" s="20"/>
      <c r="AH513" s="20"/>
      <c r="AI513"/>
      <c r="AJ513"/>
      <c r="AK513"/>
      <c r="AL513"/>
    </row>
    <row r="514" spans="1:38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7">
        <f t="shared" si="158"/>
        <v>0</v>
      </c>
      <c r="O514" s="7">
        <f t="shared" si="146"/>
        <v>0</v>
      </c>
      <c r="P514" s="7">
        <f t="shared" si="165"/>
        <v>0</v>
      </c>
      <c r="Q514" s="7">
        <f t="shared" si="166"/>
        <v>0</v>
      </c>
      <c r="R514" s="7">
        <f t="shared" si="167"/>
        <v>0</v>
      </c>
      <c r="T514" s="7"/>
      <c r="U514" s="7"/>
      <c r="V514" s="103">
        <v>0</v>
      </c>
      <c r="W514" s="7">
        <f t="shared" si="134"/>
        <v>0</v>
      </c>
      <c r="X514" s="103">
        <f t="shared" si="135"/>
        <v>0</v>
      </c>
      <c r="Y514" s="103"/>
      <c r="Z514" s="2"/>
      <c r="AA514" s="2"/>
      <c r="AC514" s="78"/>
      <c r="AD514" s="103">
        <f t="shared" si="168"/>
        <v>0</v>
      </c>
      <c r="AE514" s="192"/>
      <c r="AF514" s="192"/>
      <c r="AG514" s="20"/>
      <c r="AH514" s="20"/>
      <c r="AI514"/>
      <c r="AJ514"/>
      <c r="AK514"/>
      <c r="AL514"/>
    </row>
    <row r="515" spans="1:38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7">
        <f t="shared" si="158"/>
        <v>0</v>
      </c>
      <c r="O515" s="7">
        <f t="shared" si="146"/>
        <v>0</v>
      </c>
      <c r="P515" s="7">
        <f t="shared" si="165"/>
        <v>0</v>
      </c>
      <c r="Q515" s="7">
        <f t="shared" si="166"/>
        <v>0</v>
      </c>
      <c r="R515" s="7">
        <f t="shared" si="167"/>
        <v>0</v>
      </c>
      <c r="T515" s="7"/>
      <c r="U515" s="7"/>
      <c r="V515" s="103"/>
      <c r="W515" s="7">
        <f t="shared" ref="W515:W578" si="169">+V515-U515-S515+AA515</f>
        <v>0</v>
      </c>
      <c r="X515" s="103">
        <f t="shared" ref="X515:X578" si="170">+V515+AB515+AA515</f>
        <v>0</v>
      </c>
      <c r="Y515" s="103"/>
      <c r="Z515" s="2"/>
      <c r="AA515" s="2"/>
      <c r="AC515" s="78"/>
      <c r="AD515" s="103">
        <f t="shared" si="168"/>
        <v>0</v>
      </c>
      <c r="AE515" s="192"/>
      <c r="AF515" s="192"/>
      <c r="AG515" s="20"/>
      <c r="AH515" s="20"/>
      <c r="AI515"/>
      <c r="AJ515"/>
      <c r="AK515"/>
      <c r="AL515"/>
    </row>
    <row r="516" spans="1:38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7">
        <f t="shared" si="158"/>
        <v>69.955893495080261</v>
      </c>
      <c r="O516" s="7">
        <f t="shared" si="146"/>
        <v>4147.333333333333</v>
      </c>
      <c r="P516" s="7">
        <f t="shared" si="165"/>
        <v>4077.3774398382529</v>
      </c>
      <c r="Q516" s="7">
        <f t="shared" si="166"/>
        <v>1767.7810238226928</v>
      </c>
      <c r="R516" s="7">
        <f t="shared" si="167"/>
        <v>1362.2630826822269</v>
      </c>
      <c r="S516" s="7">
        <v>6067</v>
      </c>
      <c r="T516" s="7">
        <v>6627</v>
      </c>
      <c r="U516" s="7">
        <v>632</v>
      </c>
      <c r="V516" s="103">
        <v>147491</v>
      </c>
      <c r="W516" s="7">
        <f t="shared" si="169"/>
        <v>140792</v>
      </c>
      <c r="X516" s="103">
        <f t="shared" si="170"/>
        <v>151872</v>
      </c>
      <c r="Y516" s="103"/>
      <c r="Z516" s="2">
        <v>4401</v>
      </c>
      <c r="AA516" s="2"/>
      <c r="AB516" s="7">
        <v>4381</v>
      </c>
      <c r="AC516" s="78">
        <v>150897</v>
      </c>
      <c r="AD516" s="103">
        <f t="shared" si="168"/>
        <v>151872</v>
      </c>
      <c r="AE516" s="192">
        <f t="shared" si="161"/>
        <v>2.7707310284498698E-2</v>
      </c>
      <c r="AF516" s="192">
        <f t="shared" si="162"/>
        <v>1.7307996207332491E-2</v>
      </c>
      <c r="AG516" s="20">
        <f>+AE516*K516</f>
        <v>38.820250651106385</v>
      </c>
      <c r="AH516" s="20">
        <f>+AF516*I516</f>
        <v>31.135642843973873</v>
      </c>
      <c r="AI516"/>
      <c r="AJ516"/>
      <c r="AK516"/>
      <c r="AL516"/>
    </row>
    <row r="517" spans="1:38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7">
        <f t="shared" si="158"/>
        <v>0</v>
      </c>
      <c r="O517" s="7">
        <f t="shared" ref="O517:O523" si="171">+B517+C517+D517+F517+I517+K517+J517</f>
        <v>0</v>
      </c>
      <c r="P517" s="7">
        <f t="shared" si="165"/>
        <v>0</v>
      </c>
      <c r="Q517" s="7">
        <f t="shared" si="166"/>
        <v>0</v>
      </c>
      <c r="R517" s="7">
        <f t="shared" si="167"/>
        <v>0</v>
      </c>
      <c r="T517" s="7"/>
      <c r="U517" s="7"/>
      <c r="V517" s="103"/>
      <c r="W517" s="7">
        <f t="shared" si="169"/>
        <v>0</v>
      </c>
      <c r="X517" s="103">
        <f t="shared" si="170"/>
        <v>0</v>
      </c>
      <c r="Y517" s="103"/>
      <c r="Z517" s="2"/>
      <c r="AA517" s="2"/>
      <c r="AC517" s="78"/>
      <c r="AD517" s="103"/>
      <c r="AE517" s="192"/>
      <c r="AF517" s="192"/>
      <c r="AG517" s="20"/>
      <c r="AH517" s="20"/>
      <c r="AI517"/>
      <c r="AJ517"/>
      <c r="AK517"/>
      <c r="AL517"/>
    </row>
    <row r="518" spans="1:38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7">
        <f t="shared" si="158"/>
        <v>43.613125818885607</v>
      </c>
      <c r="O518" s="7">
        <f t="shared" si="171"/>
        <v>4264.1666666666661</v>
      </c>
      <c r="P518" s="7">
        <f t="shared" si="165"/>
        <v>4220.5535408477808</v>
      </c>
      <c r="Q518" s="7">
        <f t="shared" si="166"/>
        <v>1839.8461144715679</v>
      </c>
      <c r="R518" s="7">
        <f t="shared" si="167"/>
        <v>1488.9574263762131</v>
      </c>
      <c r="S518" s="7">
        <v>7318</v>
      </c>
      <c r="T518" s="7">
        <v>8352</v>
      </c>
      <c r="U518" s="7">
        <v>855</v>
      </c>
      <c r="V518" s="103">
        <v>163807</v>
      </c>
      <c r="W518" s="7">
        <f t="shared" si="169"/>
        <v>155634</v>
      </c>
      <c r="X518" s="103">
        <f t="shared" si="170"/>
        <v>166644</v>
      </c>
      <c r="Y518" s="103"/>
      <c r="Z518" s="2">
        <v>2811</v>
      </c>
      <c r="AA518" s="2"/>
      <c r="AB518" s="7">
        <v>2837</v>
      </c>
      <c r="AC518" s="78">
        <v>164134</v>
      </c>
      <c r="AD518" s="103">
        <f t="shared" ref="AD518:AD551" si="172">+X518</f>
        <v>166644</v>
      </c>
      <c r="AE518" s="192">
        <f t="shared" ref="AE518:AE523" si="173">+(Z518/AC518*0.95)</f>
        <v>1.6269937977506185E-2</v>
      </c>
      <c r="AF518" s="192">
        <f t="shared" ref="AF518:AF523" si="174">+(AB518/AD518*0.6)</f>
        <v>1.0214589184129041E-2</v>
      </c>
      <c r="AG518" s="20">
        <f t="shared" ref="AG518:AG523" si="175">+AE518*K518</f>
        <v>24.625906957120407</v>
      </c>
      <c r="AH518" s="20">
        <f t="shared" ref="AH518:AH523" si="176">+AF518*I518</f>
        <v>18.9872188617652</v>
      </c>
      <c r="AI518" s="3">
        <f>+AC518-Z518</f>
        <v>161323</v>
      </c>
      <c r="AJ518"/>
      <c r="AK518"/>
      <c r="AL518"/>
    </row>
    <row r="519" spans="1:38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7">
        <f t="shared" si="158"/>
        <v>26.0202800852819</v>
      </c>
      <c r="O519" s="7">
        <f t="shared" si="171"/>
        <v>4715.333333333333</v>
      </c>
      <c r="P519" s="7">
        <f t="shared" si="165"/>
        <v>4689.3130532480518</v>
      </c>
      <c r="Q519" s="7">
        <f t="shared" si="166"/>
        <v>2187.8404925559207</v>
      </c>
      <c r="R519" s="7">
        <f t="shared" si="167"/>
        <v>1532.2225606921309</v>
      </c>
      <c r="S519" s="7">
        <v>7579</v>
      </c>
      <c r="T519" s="7">
        <v>8682</v>
      </c>
      <c r="U519" s="7">
        <v>1120</v>
      </c>
      <c r="V519" s="103">
        <v>189558</v>
      </c>
      <c r="W519" s="7">
        <f t="shared" si="169"/>
        <v>180859</v>
      </c>
      <c r="X519" s="103">
        <f t="shared" si="170"/>
        <v>189569</v>
      </c>
      <c r="Y519" s="103"/>
      <c r="Z519" s="2">
        <v>2928</v>
      </c>
      <c r="AA519" s="2"/>
      <c r="AB519" s="7">
        <v>11</v>
      </c>
      <c r="AC519" s="78">
        <v>167059</v>
      </c>
      <c r="AD519" s="103">
        <f t="shared" si="172"/>
        <v>189569</v>
      </c>
      <c r="AE519" s="192">
        <f t="shared" si="173"/>
        <v>1.6650404946755338E-2</v>
      </c>
      <c r="AF519" s="192">
        <f t="shared" si="174"/>
        <v>3.4815819042142964E-5</v>
      </c>
      <c r="AG519" s="20">
        <f t="shared" si="175"/>
        <v>25.944105974535944</v>
      </c>
      <c r="AH519" s="20">
        <f t="shared" si="176"/>
        <v>7.6174110745955287E-2</v>
      </c>
      <c r="AI519" s="3">
        <f t="shared" ref="AI519:AI531" si="177">+AC519-Z519</f>
        <v>164131</v>
      </c>
      <c r="AJ519"/>
      <c r="AK519"/>
      <c r="AL519"/>
    </row>
    <row r="520" spans="1:38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7">
        <f t="shared" si="158"/>
        <v>175.62148727655762</v>
      </c>
      <c r="O520" s="7">
        <f t="shared" si="171"/>
        <v>4665.3333333333339</v>
      </c>
      <c r="P520" s="7">
        <f t="shared" si="165"/>
        <v>4489.7118460567763</v>
      </c>
      <c r="Q520" s="7">
        <f t="shared" si="166"/>
        <v>2055.2872727465019</v>
      </c>
      <c r="R520" s="7">
        <f t="shared" si="167"/>
        <v>1423.3412399769404</v>
      </c>
      <c r="S520" s="7">
        <v>7558</v>
      </c>
      <c r="T520" s="7">
        <v>8694</v>
      </c>
      <c r="U520" s="7">
        <v>1210</v>
      </c>
      <c r="V520" s="103">
        <v>181480</v>
      </c>
      <c r="W520" s="7">
        <f t="shared" si="169"/>
        <v>172712</v>
      </c>
      <c r="X520" s="103">
        <f t="shared" si="170"/>
        <v>189106</v>
      </c>
      <c r="Y520" s="103"/>
      <c r="Z520" s="2">
        <v>14557</v>
      </c>
      <c r="AA520" s="2"/>
      <c r="AB520" s="7">
        <v>7626</v>
      </c>
      <c r="AC520" s="78">
        <v>171729</v>
      </c>
      <c r="AD520" s="103">
        <f t="shared" si="172"/>
        <v>189106</v>
      </c>
      <c r="AE520" s="192">
        <f t="shared" si="173"/>
        <v>8.0528914743578539E-2</v>
      </c>
      <c r="AF520" s="192">
        <f t="shared" si="174"/>
        <v>2.419595359216524E-2</v>
      </c>
      <c r="AG520" s="20">
        <f t="shared" si="175"/>
        <v>124.65876002305959</v>
      </c>
      <c r="AH520" s="20">
        <f t="shared" si="176"/>
        <v>50.962727253498038</v>
      </c>
      <c r="AI520" s="3">
        <f t="shared" si="177"/>
        <v>157172</v>
      </c>
      <c r="AJ520"/>
      <c r="AK520"/>
      <c r="AL520"/>
    </row>
    <row r="521" spans="1:38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7">
        <f t="shared" si="158"/>
        <v>182.47865645204459</v>
      </c>
      <c r="O521" s="7">
        <f t="shared" si="171"/>
        <v>4471.5</v>
      </c>
      <c r="P521" s="7">
        <f t="shared" si="165"/>
        <v>4289.0213435479554</v>
      </c>
      <c r="Q521" s="7">
        <f t="shared" si="166"/>
        <v>1975.2719874873494</v>
      </c>
      <c r="R521" s="7">
        <f t="shared" si="167"/>
        <v>1273.5826893939393</v>
      </c>
      <c r="S521" s="7">
        <v>6388</v>
      </c>
      <c r="T521" s="7">
        <v>6904</v>
      </c>
      <c r="U521" s="7">
        <v>1243</v>
      </c>
      <c r="V521" s="103">
        <v>171953</v>
      </c>
      <c r="W521" s="7">
        <f t="shared" si="169"/>
        <v>164322</v>
      </c>
      <c r="X521" s="103">
        <f t="shared" si="170"/>
        <v>181150</v>
      </c>
      <c r="Y521" s="103"/>
      <c r="Z521" s="2">
        <v>13683</v>
      </c>
      <c r="AA521" s="2"/>
      <c r="AB521" s="7">
        <v>9197</v>
      </c>
      <c r="AC521" s="78">
        <v>150480</v>
      </c>
      <c r="AD521" s="103">
        <f t="shared" si="172"/>
        <v>181150</v>
      </c>
      <c r="AE521" s="192">
        <f t="shared" si="173"/>
        <v>8.6382575757575755E-2</v>
      </c>
      <c r="AF521" s="192">
        <f t="shared" si="174"/>
        <v>3.0462048026497376E-2</v>
      </c>
      <c r="AG521" s="20">
        <f t="shared" si="175"/>
        <v>120.4173106060606</v>
      </c>
      <c r="AH521" s="20">
        <f t="shared" si="176"/>
        <v>62.061345845983993</v>
      </c>
      <c r="AI521" s="3">
        <f t="shared" si="177"/>
        <v>136797</v>
      </c>
      <c r="AJ521"/>
      <c r="AK521"/>
      <c r="AL521"/>
    </row>
    <row r="522" spans="1:38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7">
        <f t="shared" si="158"/>
        <v>185.16458640994244</v>
      </c>
      <c r="O522" s="7">
        <f t="shared" si="171"/>
        <v>4616.25</v>
      </c>
      <c r="P522" s="7">
        <f t="shared" si="165"/>
        <v>4431.0854135900581</v>
      </c>
      <c r="Q522" s="7">
        <f t="shared" si="166"/>
        <v>2014.5891703881209</v>
      </c>
      <c r="R522" s="7">
        <f t="shared" si="167"/>
        <v>1379.6629098686037</v>
      </c>
      <c r="S522" s="7">
        <v>6126</v>
      </c>
      <c r="T522" s="7">
        <v>7404</v>
      </c>
      <c r="U522" s="7">
        <v>1117</v>
      </c>
      <c r="V522" s="103">
        <v>169528</v>
      </c>
      <c r="W522" s="7">
        <f t="shared" si="169"/>
        <v>162285</v>
      </c>
      <c r="X522" s="103">
        <f t="shared" si="170"/>
        <v>183620</v>
      </c>
      <c r="Y522" s="103"/>
      <c r="Z522" s="2">
        <v>10061</v>
      </c>
      <c r="AA522" s="2"/>
      <c r="AB522" s="7">
        <v>14092</v>
      </c>
      <c r="AC522" s="78">
        <v>159543</v>
      </c>
      <c r="AD522" s="103">
        <f t="shared" si="172"/>
        <v>183620</v>
      </c>
      <c r="AE522" s="192">
        <f t="shared" si="173"/>
        <v>5.990830058354174E-2</v>
      </c>
      <c r="AF522" s="192">
        <f t="shared" si="174"/>
        <v>4.6047271539048036E-2</v>
      </c>
      <c r="AG522" s="20">
        <f t="shared" si="175"/>
        <v>87.920423464729467</v>
      </c>
      <c r="AH522" s="20">
        <f t="shared" si="176"/>
        <v>97.244162945212977</v>
      </c>
      <c r="AI522" s="3">
        <f t="shared" si="177"/>
        <v>149482</v>
      </c>
      <c r="AJ522"/>
      <c r="AK522"/>
      <c r="AL522"/>
    </row>
    <row r="523" spans="1:38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7">
        <f t="shared" si="158"/>
        <v>23.148358083773843</v>
      </c>
      <c r="O523" s="7">
        <f t="shared" si="171"/>
        <v>4117.916666666667</v>
      </c>
      <c r="P523" s="7">
        <f t="shared" si="165"/>
        <v>4094.768308582893</v>
      </c>
      <c r="Q523" s="7">
        <f t="shared" si="166"/>
        <v>1794.9099519322542</v>
      </c>
      <c r="R523" s="7">
        <f t="shared" si="167"/>
        <v>1302.1916899839723</v>
      </c>
      <c r="S523" s="7">
        <v>4322</v>
      </c>
      <c r="T523" s="7">
        <v>5772</v>
      </c>
      <c r="U523" s="7">
        <v>1235</v>
      </c>
      <c r="V523" s="103">
        <v>171310</v>
      </c>
      <c r="W523" s="7">
        <f t="shared" si="169"/>
        <v>165753</v>
      </c>
      <c r="X523" s="103">
        <f t="shared" si="170"/>
        <v>172881</v>
      </c>
      <c r="Y523" s="103"/>
      <c r="Z523" s="2">
        <v>1568</v>
      </c>
      <c r="AA523" s="2"/>
      <c r="AB523" s="7">
        <v>1571</v>
      </c>
      <c r="AC523" s="78">
        <v>147244</v>
      </c>
      <c r="AD523" s="103">
        <f t="shared" si="172"/>
        <v>172881</v>
      </c>
      <c r="AE523" s="192">
        <f t="shared" si="173"/>
        <v>1.0116541251256418E-2</v>
      </c>
      <c r="AF523" s="192">
        <f t="shared" si="174"/>
        <v>5.4523053429815886E-3</v>
      </c>
      <c r="AG523" s="20">
        <f t="shared" si="175"/>
        <v>13.30831001602782</v>
      </c>
      <c r="AH523" s="20">
        <f t="shared" si="176"/>
        <v>9.8400480677460234</v>
      </c>
      <c r="AI523" s="3">
        <f t="shared" si="177"/>
        <v>145676</v>
      </c>
      <c r="AJ523"/>
      <c r="AK523"/>
      <c r="AL523"/>
    </row>
    <row r="524" spans="1:38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7">
        <f t="shared" si="158"/>
        <v>0</v>
      </c>
      <c r="O524" s="7">
        <f t="shared" ref="O524:O531" si="178">+B524+C524+D524+F524+I524+K524+J524</f>
        <v>0</v>
      </c>
      <c r="P524" s="7">
        <f t="shared" si="165"/>
        <v>0</v>
      </c>
      <c r="Q524" s="7">
        <f t="shared" si="166"/>
        <v>0</v>
      </c>
      <c r="R524" s="7">
        <f t="shared" si="167"/>
        <v>0</v>
      </c>
      <c r="T524" s="7"/>
      <c r="U524" s="7"/>
      <c r="V524" s="103"/>
      <c r="W524" s="7">
        <f t="shared" si="169"/>
        <v>0</v>
      </c>
      <c r="X524" s="103">
        <f t="shared" si="170"/>
        <v>0</v>
      </c>
      <c r="Y524" s="103"/>
      <c r="Z524" s="2"/>
      <c r="AA524" s="2"/>
      <c r="AD524" s="103">
        <f t="shared" si="172"/>
        <v>0</v>
      </c>
      <c r="AE524" s="192"/>
      <c r="AF524" s="192"/>
      <c r="AG524" s="20"/>
      <c r="AH524" s="20"/>
      <c r="AI524" s="3">
        <f t="shared" si="177"/>
        <v>0</v>
      </c>
    </row>
    <row r="525" spans="1:38" s="45" customFormat="1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7">
        <f t="shared" si="158"/>
        <v>39.999473348881608</v>
      </c>
      <c r="O525" s="7">
        <f t="shared" si="178"/>
        <v>4377.9166666666661</v>
      </c>
      <c r="P525" s="7">
        <f t="shared" si="165"/>
        <v>4337.9171933177849</v>
      </c>
      <c r="Q525" s="7">
        <f t="shared" si="166"/>
        <v>1791.5281467789293</v>
      </c>
      <c r="R525" s="7">
        <f t="shared" si="167"/>
        <v>1395.0557132055221</v>
      </c>
      <c r="S525" s="7">
        <v>7065</v>
      </c>
      <c r="T525" s="7">
        <v>9788</v>
      </c>
      <c r="U525" s="7">
        <v>0</v>
      </c>
      <c r="V525" s="103">
        <v>169567</v>
      </c>
      <c r="W525" s="7">
        <f t="shared" si="169"/>
        <v>162502</v>
      </c>
      <c r="X525" s="103">
        <f t="shared" si="170"/>
        <v>169602</v>
      </c>
      <c r="Y525" s="103"/>
      <c r="Z525" s="2">
        <v>3988</v>
      </c>
      <c r="AA525" s="2"/>
      <c r="AB525" s="103">
        <v>35</v>
      </c>
      <c r="AC525" s="78">
        <v>136660</v>
      </c>
      <c r="AD525" s="103">
        <f t="shared" si="172"/>
        <v>169602</v>
      </c>
      <c r="AE525" s="192">
        <f t="shared" ref="AE525:AE531" si="179">+(Z525/AC525*0.95)</f>
        <v>2.7722815747109612E-2</v>
      </c>
      <c r="AF525" s="192">
        <f t="shared" ref="AF525:AF531" si="180">+(AB525/AD525*0.6)</f>
        <v>1.2381929458379028E-4</v>
      </c>
      <c r="AG525" s="20">
        <f t="shared" ref="AG525:AG537" si="181">+AE525*K525</f>
        <v>39.777620127811105</v>
      </c>
      <c r="AH525" s="20">
        <f t="shared" ref="AH525:AH537" si="182">+AF525*I525</f>
        <v>0.2218532210705062</v>
      </c>
      <c r="AI525" s="3">
        <f t="shared" si="177"/>
        <v>132672</v>
      </c>
    </row>
    <row r="526" spans="1:38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7">
        <f t="shared" si="158"/>
        <v>97.66316575312581</v>
      </c>
      <c r="O526" s="7">
        <f t="shared" si="178"/>
        <v>4546.25</v>
      </c>
      <c r="P526" s="7">
        <f t="shared" si="165"/>
        <v>4448.5868342468739</v>
      </c>
      <c r="Q526" s="7">
        <f t="shared" si="166"/>
        <v>1689.7771439132341</v>
      </c>
      <c r="R526" s="7">
        <f t="shared" si="167"/>
        <v>1493.9763570003065</v>
      </c>
      <c r="S526" s="7">
        <v>10872</v>
      </c>
      <c r="T526" s="7">
        <v>11107</v>
      </c>
      <c r="U526" s="7">
        <v>0</v>
      </c>
      <c r="V526" s="103">
        <v>161239</v>
      </c>
      <c r="W526" s="7">
        <f t="shared" si="169"/>
        <v>150367</v>
      </c>
      <c r="X526" s="103">
        <f t="shared" si="170"/>
        <v>174047</v>
      </c>
      <c r="Y526" s="103"/>
      <c r="Z526" s="2">
        <v>1986</v>
      </c>
      <c r="AA526" s="2"/>
      <c r="AB526" s="103">
        <v>12808</v>
      </c>
      <c r="AC526" s="78">
        <v>145646</v>
      </c>
      <c r="AD526" s="103">
        <f t="shared" si="172"/>
        <v>174047</v>
      </c>
      <c r="AE526" s="192">
        <f t="shared" si="179"/>
        <v>1.2954011781991952E-2</v>
      </c>
      <c r="AF526" s="192">
        <f t="shared" si="180"/>
        <v>4.4153590696765811E-2</v>
      </c>
      <c r="AG526" s="20">
        <f t="shared" si="181"/>
        <v>19.606976333026651</v>
      </c>
      <c r="AH526" s="20">
        <f t="shared" si="182"/>
        <v>78.056189420099159</v>
      </c>
      <c r="AI526" s="3">
        <f t="shared" si="177"/>
        <v>143660</v>
      </c>
    </row>
    <row r="527" spans="1:38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7">
        <f t="shared" si="158"/>
        <v>21.28260463675738</v>
      </c>
      <c r="O527" s="7">
        <f t="shared" si="178"/>
        <v>4577.666666666667</v>
      </c>
      <c r="P527" s="7">
        <f t="shared" si="165"/>
        <v>4556.3840620299097</v>
      </c>
      <c r="Q527" s="7">
        <f t="shared" si="166"/>
        <v>1985.4759809305508</v>
      </c>
      <c r="R527" s="7">
        <f t="shared" si="167"/>
        <v>1389.5747477660252</v>
      </c>
      <c r="S527" s="7">
        <v>10972</v>
      </c>
      <c r="T527" s="7">
        <v>11277</v>
      </c>
      <c r="U527" s="7">
        <v>0</v>
      </c>
      <c r="V527" s="103">
        <v>186071</v>
      </c>
      <c r="W527" s="7">
        <f t="shared" si="169"/>
        <v>175099</v>
      </c>
      <c r="X527" s="103">
        <f t="shared" si="170"/>
        <v>188469</v>
      </c>
      <c r="Y527" s="103"/>
      <c r="Z527" s="2">
        <v>554</v>
      </c>
      <c r="AA527" s="2"/>
      <c r="AB527" s="103">
        <v>2398</v>
      </c>
      <c r="AC527" s="78">
        <v>122241</v>
      </c>
      <c r="AD527" s="103">
        <f t="shared" si="172"/>
        <v>188469</v>
      </c>
      <c r="AE527" s="192">
        <f t="shared" si="179"/>
        <v>4.3054294385680737E-3</v>
      </c>
      <c r="AF527" s="192">
        <f t="shared" si="180"/>
        <v>7.6341467297009052E-3</v>
      </c>
      <c r="AG527" s="20">
        <f t="shared" si="181"/>
        <v>6.0085855673082946</v>
      </c>
      <c r="AH527" s="20">
        <f t="shared" si="182"/>
        <v>15.274019069449086</v>
      </c>
      <c r="AI527" s="3">
        <f t="shared" si="177"/>
        <v>121687</v>
      </c>
    </row>
    <row r="528" spans="1:38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7">
        <f t="shared" si="158"/>
        <v>0.31413371541254298</v>
      </c>
      <c r="O528" s="7">
        <f t="shared" si="178"/>
        <v>4719.333333333333</v>
      </c>
      <c r="P528" s="7">
        <f t="shared" si="165"/>
        <v>4719.019199617921</v>
      </c>
      <c r="Q528" s="7">
        <f t="shared" si="166"/>
        <v>2047.2197398434128</v>
      </c>
      <c r="R528" s="7">
        <f t="shared" si="167"/>
        <v>1534.049459774508</v>
      </c>
      <c r="S528" s="7">
        <v>8124</v>
      </c>
      <c r="T528" s="7">
        <v>9741</v>
      </c>
      <c r="U528" s="7">
        <v>0</v>
      </c>
      <c r="V528" s="103">
        <v>194634</v>
      </c>
      <c r="W528" s="7">
        <f t="shared" si="169"/>
        <v>186510</v>
      </c>
      <c r="X528" s="103">
        <f t="shared" si="170"/>
        <v>194652</v>
      </c>
      <c r="Y528" s="103"/>
      <c r="Z528" s="2">
        <v>18</v>
      </c>
      <c r="AA528" s="2"/>
      <c r="AB528" s="103">
        <v>18</v>
      </c>
      <c r="AC528" s="78">
        <v>130825</v>
      </c>
      <c r="AD528" s="103">
        <f t="shared" si="172"/>
        <v>194652</v>
      </c>
      <c r="AE528" s="192">
        <f t="shared" si="179"/>
        <v>1.3070896235429006E-4</v>
      </c>
      <c r="AF528" s="192">
        <f t="shared" si="180"/>
        <v>5.54836323284631E-5</v>
      </c>
      <c r="AG528" s="20">
        <f t="shared" si="181"/>
        <v>0.20054022549206951</v>
      </c>
      <c r="AH528" s="20">
        <f t="shared" si="182"/>
        <v>0.11359348992047345</v>
      </c>
      <c r="AI528" s="3">
        <f t="shared" si="177"/>
        <v>130807</v>
      </c>
    </row>
    <row r="529" spans="1:35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7">
        <f t="shared" si="158"/>
        <v>84.684702897097495</v>
      </c>
      <c r="O529" s="7">
        <f t="shared" si="178"/>
        <v>5170.4916666666668</v>
      </c>
      <c r="P529" s="7">
        <f t="shared" si="165"/>
        <v>5085.8069637695689</v>
      </c>
      <c r="Q529" s="7">
        <f t="shared" si="166"/>
        <v>2066.9087354439089</v>
      </c>
      <c r="R529" s="7">
        <f t="shared" si="167"/>
        <v>1753.8148949923268</v>
      </c>
      <c r="S529" s="7">
        <v>7376</v>
      </c>
      <c r="T529" s="7">
        <v>8981</v>
      </c>
      <c r="U529" s="7">
        <v>0</v>
      </c>
      <c r="V529" s="103">
        <v>177235</v>
      </c>
      <c r="W529" s="7">
        <f t="shared" si="169"/>
        <v>169859</v>
      </c>
      <c r="X529" s="103">
        <f t="shared" si="170"/>
        <v>181625</v>
      </c>
      <c r="Y529" s="103"/>
      <c r="Z529" s="2">
        <v>4735</v>
      </c>
      <c r="AA529" s="2"/>
      <c r="AB529" s="103">
        <v>4390</v>
      </c>
      <c r="AC529" s="78">
        <v>149870</v>
      </c>
      <c r="AD529" s="103">
        <f t="shared" si="172"/>
        <v>181625</v>
      </c>
      <c r="AE529" s="192">
        <f t="shared" si="179"/>
        <v>3.0014345766330816E-2</v>
      </c>
      <c r="AF529" s="192">
        <f t="shared" si="180"/>
        <v>1.4502408809359945E-2</v>
      </c>
      <c r="AG529" s="20">
        <f t="shared" si="181"/>
        <v>54.26843834100665</v>
      </c>
      <c r="AH529" s="20">
        <f t="shared" si="182"/>
        <v>30.416264556090844</v>
      </c>
      <c r="AI529" s="3">
        <f t="shared" si="177"/>
        <v>145135</v>
      </c>
    </row>
    <row r="530" spans="1:35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7">
        <f t="shared" si="158"/>
        <v>11.757978573439701</v>
      </c>
      <c r="O530" s="7">
        <f t="shared" si="178"/>
        <v>4566.0833333333339</v>
      </c>
      <c r="P530" s="7">
        <f t="shared" si="165"/>
        <v>4554.3253547598943</v>
      </c>
      <c r="Q530" s="7">
        <f t="shared" si="166"/>
        <v>1899.2962186176258</v>
      </c>
      <c r="R530" s="7">
        <f t="shared" si="167"/>
        <v>1508.4458028089346</v>
      </c>
      <c r="S530" s="7">
        <v>6346</v>
      </c>
      <c r="T530" s="7">
        <v>8709</v>
      </c>
      <c r="U530" s="7">
        <v>0</v>
      </c>
      <c r="V530" s="103">
        <v>192614</v>
      </c>
      <c r="W530" s="7">
        <f t="shared" si="169"/>
        <v>186268</v>
      </c>
      <c r="X530" s="103">
        <f t="shared" si="170"/>
        <v>193580</v>
      </c>
      <c r="Y530" s="103"/>
      <c r="Z530" s="2">
        <v>610</v>
      </c>
      <c r="AA530" s="2"/>
      <c r="AB530" s="103">
        <v>966</v>
      </c>
      <c r="AC530" s="78">
        <v>144966</v>
      </c>
      <c r="AD530" s="103">
        <f t="shared" si="172"/>
        <v>193580</v>
      </c>
      <c r="AE530" s="192">
        <f t="shared" si="179"/>
        <v>3.9974890664017763E-3</v>
      </c>
      <c r="AF530" s="192">
        <f t="shared" si="180"/>
        <v>2.9941109618762266E-3</v>
      </c>
      <c r="AG530" s="20">
        <f t="shared" si="181"/>
        <v>6.0541971910654899</v>
      </c>
      <c r="AH530" s="20">
        <f t="shared" si="182"/>
        <v>5.7037813823742116</v>
      </c>
      <c r="AI530" s="3">
        <f t="shared" si="177"/>
        <v>144356</v>
      </c>
    </row>
    <row r="531" spans="1:35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7">
        <f t="shared" si="158"/>
        <v>0.22175069124857738</v>
      </c>
      <c r="O531" s="7">
        <f t="shared" si="178"/>
        <v>3474.583333333333</v>
      </c>
      <c r="P531" s="7">
        <f t="shared" si="165"/>
        <v>3474.3615826420846</v>
      </c>
      <c r="Q531" s="7">
        <f t="shared" si="166"/>
        <v>1497.8046896414241</v>
      </c>
      <c r="R531" s="7">
        <f t="shared" si="167"/>
        <v>1146.8902263339937</v>
      </c>
      <c r="S531" s="7">
        <v>4159</v>
      </c>
      <c r="T531" s="7">
        <v>6129</v>
      </c>
      <c r="U531" s="7">
        <v>0</v>
      </c>
      <c r="V531" s="103">
        <v>160504</v>
      </c>
      <c r="W531" s="7">
        <f t="shared" si="169"/>
        <v>156345</v>
      </c>
      <c r="X531" s="103">
        <f t="shared" si="170"/>
        <v>160524</v>
      </c>
      <c r="Y531" s="103"/>
      <c r="Z531" s="2">
        <v>12</v>
      </c>
      <c r="AA531" s="2"/>
      <c r="AB531" s="103">
        <v>20</v>
      </c>
      <c r="AC531" s="78">
        <v>119116</v>
      </c>
      <c r="AD531" s="103">
        <f t="shared" si="172"/>
        <v>160524</v>
      </c>
      <c r="AE531" s="192">
        <f t="shared" si="179"/>
        <v>9.5705027032472553E-5</v>
      </c>
      <c r="AF531" s="192">
        <f t="shared" si="180"/>
        <v>7.4755176795993113E-5</v>
      </c>
      <c r="AG531" s="20">
        <f t="shared" si="181"/>
        <v>0.10977366600624602</v>
      </c>
      <c r="AH531" s="20">
        <f t="shared" si="182"/>
        <v>0.11197702524233134</v>
      </c>
      <c r="AI531" s="3">
        <f t="shared" si="177"/>
        <v>119104</v>
      </c>
    </row>
    <row r="532" spans="1:35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7">
        <f t="shared" si="158"/>
        <v>8.9725177101230624</v>
      </c>
      <c r="O532" s="7">
        <f t="shared" ref="O532:O538" si="183">+B532+C532+D532+F532+I532+K532+J532</f>
        <v>4445.583333333333</v>
      </c>
      <c r="P532" s="7">
        <f t="shared" si="165"/>
        <v>4436.6108156232094</v>
      </c>
      <c r="Q532" s="7">
        <f t="shared" si="166"/>
        <v>1794.0628185033609</v>
      </c>
      <c r="R532" s="7">
        <f t="shared" si="167"/>
        <v>1705.6313304531827</v>
      </c>
      <c r="S532" s="7">
        <v>7506</v>
      </c>
      <c r="T532" s="7">
        <v>8654</v>
      </c>
      <c r="U532" s="7">
        <v>0</v>
      </c>
      <c r="V532" s="103">
        <v>160278</v>
      </c>
      <c r="W532" s="7">
        <f t="shared" si="169"/>
        <v>152772</v>
      </c>
      <c r="X532" s="103">
        <f t="shared" si="170"/>
        <v>160778</v>
      </c>
      <c r="Y532" s="103"/>
      <c r="Z532" s="2">
        <v>588</v>
      </c>
      <c r="AA532" s="2"/>
      <c r="AB532" s="103">
        <v>500</v>
      </c>
      <c r="AC532" s="78">
        <v>170130</v>
      </c>
      <c r="AD532" s="103">
        <f t="shared" si="172"/>
        <v>160778</v>
      </c>
      <c r="AE532" s="192">
        <f t="shared" ref="AE532:AE537" si="184">+(Z532/AC532*0.95)</f>
        <v>3.2833715394110382E-3</v>
      </c>
      <c r="AF532" s="192">
        <f t="shared" ref="AF532:AF537" si="185">+(AB532/AD532*0.6)</f>
        <v>1.8659269303014094E-3</v>
      </c>
      <c r="AG532" s="20">
        <f t="shared" si="181"/>
        <v>5.6186695468171379</v>
      </c>
      <c r="AH532" s="20">
        <f t="shared" si="182"/>
        <v>3.3538481633059249</v>
      </c>
      <c r="AI532" s="3">
        <f>+AC532-Z532</f>
        <v>169542</v>
      </c>
    </row>
    <row r="533" spans="1:35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7">
        <f t="shared" si="158"/>
        <v>47.30359465831912</v>
      </c>
      <c r="O533" s="7">
        <f t="shared" si="183"/>
        <v>4607.166666666667</v>
      </c>
      <c r="P533" s="7">
        <f t="shared" ref="P533:P564" si="186">+B533+C533+D533+F533+J533+Q533+R533</f>
        <v>4559.8630720083474</v>
      </c>
      <c r="Q533" s="7">
        <f t="shared" ref="Q533:Q564" si="187">+I533-AH533</f>
        <v>1733.9736843987482</v>
      </c>
      <c r="R533" s="7">
        <f t="shared" ref="R533:R564" si="188">+K533-AG533</f>
        <v>1612.3893876095992</v>
      </c>
      <c r="S533" s="7">
        <v>8599</v>
      </c>
      <c r="T533" s="7">
        <v>11113</v>
      </c>
      <c r="U533" s="7">
        <v>0</v>
      </c>
      <c r="V533" s="103">
        <v>167328</v>
      </c>
      <c r="W533" s="7">
        <f t="shared" si="169"/>
        <v>158729</v>
      </c>
      <c r="X533" s="103">
        <f t="shared" si="170"/>
        <v>167775</v>
      </c>
      <c r="Y533" s="103"/>
      <c r="Z533" s="2">
        <v>4662</v>
      </c>
      <c r="AA533" s="2"/>
      <c r="AB533" s="103">
        <v>447</v>
      </c>
      <c r="AC533" s="78">
        <v>164805</v>
      </c>
      <c r="AD533" s="103">
        <f t="shared" si="172"/>
        <v>167775</v>
      </c>
      <c r="AE533" s="192">
        <f t="shared" si="184"/>
        <v>2.6873577864749251E-2</v>
      </c>
      <c r="AF533" s="192">
        <f t="shared" si="185"/>
        <v>1.5985695127402771E-3</v>
      </c>
      <c r="AG533" s="20">
        <f t="shared" si="181"/>
        <v>44.527279057067446</v>
      </c>
      <c r="AH533" s="20">
        <f t="shared" si="182"/>
        <v>2.7763156012516763</v>
      </c>
      <c r="AI533" s="3">
        <f t="shared" ref="AI533:AI537" si="189">+AC533-Z533</f>
        <v>160143</v>
      </c>
    </row>
    <row r="534" spans="1:35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7">
        <f t="shared" si="158"/>
        <v>44.754784281714038</v>
      </c>
      <c r="O534" s="7">
        <f t="shared" si="183"/>
        <v>4292.9166666666661</v>
      </c>
      <c r="P534" s="7">
        <f t="shared" si="186"/>
        <v>4248.1618823849522</v>
      </c>
      <c r="Q534" s="7">
        <f t="shared" si="187"/>
        <v>1665.4653899392206</v>
      </c>
      <c r="R534" s="7">
        <f t="shared" si="188"/>
        <v>1427.6131591123985</v>
      </c>
      <c r="S534" s="7">
        <v>9136</v>
      </c>
      <c r="T534" s="7">
        <v>10232</v>
      </c>
      <c r="U534" s="7">
        <v>0</v>
      </c>
      <c r="V534" s="103">
        <v>170370</v>
      </c>
      <c r="W534" s="7">
        <f t="shared" si="169"/>
        <v>161234</v>
      </c>
      <c r="X534" s="103">
        <f t="shared" si="170"/>
        <v>175553</v>
      </c>
      <c r="Y534" s="103"/>
      <c r="Z534" s="2">
        <v>1602</v>
      </c>
      <c r="AA534" s="2"/>
      <c r="AB534" s="103">
        <v>5183</v>
      </c>
      <c r="AC534" s="78">
        <v>149121</v>
      </c>
      <c r="AD534" s="103">
        <f t="shared" si="172"/>
        <v>175553</v>
      </c>
      <c r="AE534" s="192">
        <f t="shared" si="184"/>
        <v>1.0205806023296517E-2</v>
      </c>
      <c r="AF534" s="192">
        <f t="shared" si="185"/>
        <v>1.7714308499427522E-2</v>
      </c>
      <c r="AG534" s="20">
        <f t="shared" si="181"/>
        <v>14.720174220934675</v>
      </c>
      <c r="AH534" s="20">
        <f t="shared" si="182"/>
        <v>30.034610060779364</v>
      </c>
      <c r="AI534" s="3">
        <f t="shared" si="189"/>
        <v>147519</v>
      </c>
    </row>
    <row r="535" spans="1:35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7">
        <f t="shared" si="158"/>
        <v>25.879050796412901</v>
      </c>
      <c r="O535" s="7">
        <f t="shared" si="183"/>
        <v>4036.4166666666665</v>
      </c>
      <c r="P535" s="7">
        <f t="shared" si="186"/>
        <v>4010.5376158702538</v>
      </c>
      <c r="Q535" s="7">
        <f t="shared" si="187"/>
        <v>1768.1134674655066</v>
      </c>
      <c r="R535" s="7">
        <f t="shared" si="188"/>
        <v>1197.6741484047468</v>
      </c>
      <c r="S535" s="7">
        <v>4482</v>
      </c>
      <c r="T535" s="7">
        <v>6616</v>
      </c>
      <c r="U535" s="7">
        <v>0</v>
      </c>
      <c r="V535" s="103">
        <v>171855</v>
      </c>
      <c r="W535" s="7">
        <f t="shared" si="169"/>
        <v>167373</v>
      </c>
      <c r="X535" s="103">
        <f t="shared" si="170"/>
        <v>173585</v>
      </c>
      <c r="Y535" s="103"/>
      <c r="Z535" s="2">
        <v>1727</v>
      </c>
      <c r="AA535" s="2"/>
      <c r="AB535" s="103">
        <v>1730</v>
      </c>
      <c r="AC535" s="78">
        <v>130554</v>
      </c>
      <c r="AD535" s="103">
        <f t="shared" si="172"/>
        <v>173585</v>
      </c>
      <c r="AE535" s="192">
        <f t="shared" si="184"/>
        <v>1.2566830583513336E-2</v>
      </c>
      <c r="AF535" s="192">
        <f t="shared" si="185"/>
        <v>5.979779358815566E-3</v>
      </c>
      <c r="AG535" s="20">
        <f t="shared" si="181"/>
        <v>15.242518261919715</v>
      </c>
      <c r="AH535" s="20">
        <f t="shared" si="182"/>
        <v>10.636532534493186</v>
      </c>
      <c r="AI535" s="3">
        <f t="shared" si="189"/>
        <v>128827</v>
      </c>
    </row>
    <row r="536" spans="1:35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7">
        <f t="shared" si="158"/>
        <v>41.16455887790903</v>
      </c>
      <c r="O536" s="7">
        <f t="shared" si="183"/>
        <v>4083.1666666666665</v>
      </c>
      <c r="P536" s="7">
        <f t="shared" si="186"/>
        <v>4042.0021077887577</v>
      </c>
      <c r="Q536" s="7">
        <f t="shared" si="187"/>
        <v>1738.7004787209003</v>
      </c>
      <c r="R536" s="7">
        <f t="shared" si="188"/>
        <v>1211.2182957345242</v>
      </c>
      <c r="S536" s="7">
        <v>4714</v>
      </c>
      <c r="T536" s="7">
        <v>7380</v>
      </c>
      <c r="U536" s="7">
        <v>0</v>
      </c>
      <c r="V536" s="103">
        <v>167235</v>
      </c>
      <c r="W536" s="7">
        <f t="shared" si="169"/>
        <v>162521</v>
      </c>
      <c r="X536" s="103">
        <f t="shared" si="170"/>
        <v>169932</v>
      </c>
      <c r="Y536" s="103"/>
      <c r="Z536" s="2">
        <v>2705</v>
      </c>
      <c r="AA536" s="2"/>
      <c r="AB536" s="103">
        <v>2697</v>
      </c>
      <c r="AC536" s="78">
        <v>129880</v>
      </c>
      <c r="AD536" s="103">
        <f t="shared" si="172"/>
        <v>169932</v>
      </c>
      <c r="AE536" s="192">
        <f t="shared" si="184"/>
        <v>1.9785571296581459E-2</v>
      </c>
      <c r="AF536" s="192">
        <f t="shared" si="185"/>
        <v>9.5226325824447414E-3</v>
      </c>
      <c r="AG536" s="20">
        <f t="shared" si="181"/>
        <v>24.448370932142492</v>
      </c>
      <c r="AH536" s="20">
        <f t="shared" si="182"/>
        <v>16.716187945766542</v>
      </c>
      <c r="AI536" s="3">
        <f t="shared" si="189"/>
        <v>127175</v>
      </c>
    </row>
    <row r="537" spans="1:35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7">
        <f t="shared" si="158"/>
        <v>16.302428744114845</v>
      </c>
      <c r="O537" s="7">
        <f t="shared" si="183"/>
        <v>3508.333333333333</v>
      </c>
      <c r="P537" s="7">
        <f t="shared" si="186"/>
        <v>3492.0309045892186</v>
      </c>
      <c r="Q537" s="7">
        <f t="shared" si="187"/>
        <v>1455.585425219941</v>
      </c>
      <c r="R537" s="7">
        <f t="shared" si="188"/>
        <v>1205.6954793692776</v>
      </c>
      <c r="S537" s="7">
        <v>6476</v>
      </c>
      <c r="T537" s="7">
        <v>9262</v>
      </c>
      <c r="U537" s="7">
        <v>0</v>
      </c>
      <c r="V537" s="103">
        <v>155802</v>
      </c>
      <c r="W537" s="7">
        <f t="shared" si="169"/>
        <v>149326</v>
      </c>
      <c r="X537" s="103">
        <f t="shared" si="170"/>
        <v>156860</v>
      </c>
      <c r="Y537" s="103"/>
      <c r="Z537" s="2">
        <v>1054</v>
      </c>
      <c r="AA537" s="2"/>
      <c r="AB537" s="103">
        <v>1058</v>
      </c>
      <c r="AC537" s="78">
        <v>117220</v>
      </c>
      <c r="AD537" s="103">
        <f t="shared" si="172"/>
        <v>156860</v>
      </c>
      <c r="AE537" s="192">
        <f t="shared" si="184"/>
        <v>8.5420576693397039E-3</v>
      </c>
      <c r="AF537" s="192">
        <f t="shared" si="185"/>
        <v>4.0469208211143699E-3</v>
      </c>
      <c r="AG537" s="20">
        <f t="shared" si="181"/>
        <v>10.387853964056195</v>
      </c>
      <c r="AH537" s="20">
        <f t="shared" si="182"/>
        <v>5.9145747800586506</v>
      </c>
      <c r="AI537" s="3">
        <f t="shared" si="189"/>
        <v>116166</v>
      </c>
    </row>
    <row r="538" spans="1:35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7">
        <f t="shared" si="158"/>
        <v>0</v>
      </c>
      <c r="O538" s="7">
        <f t="shared" si="183"/>
        <v>0</v>
      </c>
      <c r="P538" s="7">
        <f t="shared" si="186"/>
        <v>0</v>
      </c>
      <c r="Q538" s="7">
        <f t="shared" si="187"/>
        <v>0</v>
      </c>
      <c r="R538" s="7">
        <f t="shared" si="188"/>
        <v>0</v>
      </c>
      <c r="U538" s="7"/>
      <c r="V538" s="103"/>
      <c r="W538" s="7">
        <f t="shared" si="169"/>
        <v>0</v>
      </c>
      <c r="X538" s="103">
        <f t="shared" si="170"/>
        <v>0</v>
      </c>
      <c r="Y538" s="103"/>
      <c r="AB538" s="103"/>
      <c r="AD538" s="103">
        <f t="shared" si="172"/>
        <v>0</v>
      </c>
      <c r="AE538" s="192"/>
      <c r="AF538" s="192"/>
      <c r="AG538" s="20"/>
      <c r="AH538" s="20"/>
      <c r="AI538" s="3"/>
    </row>
    <row r="539" spans="1:35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7">
        <f t="shared" ref="N539:N545" si="190">+AH539+AG539</f>
        <v>17.753794652578868</v>
      </c>
      <c r="O539" s="7">
        <f t="shared" ref="O539:O545" si="191">+B539+C539+D539+F539+I539+K539+J539</f>
        <v>4200.666666666667</v>
      </c>
      <c r="P539" s="7">
        <f t="shared" si="186"/>
        <v>4182.912872014088</v>
      </c>
      <c r="Q539" s="7">
        <f t="shared" si="187"/>
        <v>1584.1780433551728</v>
      </c>
      <c r="R539" s="7">
        <f t="shared" si="188"/>
        <v>1490.7348286589151</v>
      </c>
      <c r="S539" s="7">
        <v>6445</v>
      </c>
      <c r="T539" s="7">
        <v>8198</v>
      </c>
      <c r="U539" s="7">
        <v>0</v>
      </c>
      <c r="V539" s="103">
        <v>147270</v>
      </c>
      <c r="W539" s="7">
        <f t="shared" si="169"/>
        <v>140825</v>
      </c>
      <c r="X539" s="103">
        <f t="shared" si="170"/>
        <v>148356</v>
      </c>
      <c r="Y539" s="103"/>
      <c r="Z539" s="2">
        <v>1082</v>
      </c>
      <c r="AA539" s="2"/>
      <c r="AB539" s="103">
        <v>1086</v>
      </c>
      <c r="AC539" s="78">
        <v>143369</v>
      </c>
      <c r="AD539" s="103">
        <f t="shared" si="172"/>
        <v>148356</v>
      </c>
      <c r="AE539" s="192">
        <f t="shared" ref="AE539:AE545" si="192">+(Z539/AC539*0.95)</f>
        <v>7.1696112827738211E-3</v>
      </c>
      <c r="AF539" s="192">
        <f t="shared" ref="AF539:AF545" si="193">+(AB539/AD539*0.6)</f>
        <v>4.3921378306236349E-3</v>
      </c>
      <c r="AG539" s="20">
        <f t="shared" ref="AG539:AG551" si="194">+AE539*K539</f>
        <v>10.765171341084892</v>
      </c>
      <c r="AH539" s="20">
        <f t="shared" ref="AH539:AH551" si="195">+AF539*I539</f>
        <v>6.9886233114939742</v>
      </c>
      <c r="AI539" s="3">
        <f t="shared" ref="AI539:AI545" si="196">+AC539-Z539</f>
        <v>142287</v>
      </c>
    </row>
    <row r="540" spans="1:35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7">
        <f t="shared" si="190"/>
        <v>65.260454608432383</v>
      </c>
      <c r="O540" s="7">
        <f t="shared" si="191"/>
        <v>4464</v>
      </c>
      <c r="P540" s="7">
        <f t="shared" si="186"/>
        <v>4398.7395453915678</v>
      </c>
      <c r="Q540" s="7">
        <f t="shared" si="187"/>
        <v>1786.8661016949152</v>
      </c>
      <c r="R540" s="7">
        <f t="shared" si="188"/>
        <v>1658.0401103633192</v>
      </c>
      <c r="S540" s="7">
        <v>7308</v>
      </c>
      <c r="T540" s="7">
        <v>8891</v>
      </c>
      <c r="U540" s="7">
        <v>0</v>
      </c>
      <c r="V540" s="103">
        <v>175624</v>
      </c>
      <c r="W540" s="7">
        <f t="shared" si="169"/>
        <v>168316</v>
      </c>
      <c r="X540" s="103">
        <f t="shared" si="170"/>
        <v>179655</v>
      </c>
      <c r="Y540" s="103"/>
      <c r="Z540" s="2">
        <v>4068</v>
      </c>
      <c r="AA540" s="2"/>
      <c r="AB540" s="103">
        <v>4031</v>
      </c>
      <c r="AC540" s="78">
        <v>160621</v>
      </c>
      <c r="AD540" s="103">
        <f t="shared" si="172"/>
        <v>179655</v>
      </c>
      <c r="AE540" s="192">
        <f t="shared" si="192"/>
        <v>2.406036570560512E-2</v>
      </c>
      <c r="AF540" s="192">
        <f t="shared" si="193"/>
        <v>1.3462469733656173E-2</v>
      </c>
      <c r="AG540" s="20">
        <f t="shared" si="194"/>
        <v>40.876556303347634</v>
      </c>
      <c r="AH540" s="20">
        <f t="shared" si="195"/>
        <v>24.383898305084745</v>
      </c>
      <c r="AI540" s="3">
        <f t="shared" si="196"/>
        <v>156553</v>
      </c>
    </row>
    <row r="541" spans="1:35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7">
        <f t="shared" si="190"/>
        <v>23.721902579357142</v>
      </c>
      <c r="O541" s="7">
        <f t="shared" si="191"/>
        <v>4374.416666666667</v>
      </c>
      <c r="P541" s="7">
        <f t="shared" si="186"/>
        <v>4350.6947640873095</v>
      </c>
      <c r="Q541" s="7">
        <f t="shared" si="187"/>
        <v>1787.4649473368545</v>
      </c>
      <c r="R541" s="7">
        <f t="shared" si="188"/>
        <v>1420.479816750455</v>
      </c>
      <c r="S541" s="7">
        <v>6541</v>
      </c>
      <c r="T541" s="7">
        <v>8401</v>
      </c>
      <c r="U541" s="7">
        <v>0</v>
      </c>
      <c r="V541" s="103">
        <v>161952</v>
      </c>
      <c r="W541" s="7">
        <f t="shared" si="169"/>
        <v>155411</v>
      </c>
      <c r="X541" s="103">
        <f t="shared" si="170"/>
        <v>163397</v>
      </c>
      <c r="Y541" s="103"/>
      <c r="Z541" s="2">
        <v>1439</v>
      </c>
      <c r="AA541" s="2"/>
      <c r="AB541" s="103">
        <v>1445</v>
      </c>
      <c r="AC541" s="78">
        <v>138245</v>
      </c>
      <c r="AD541" s="103">
        <f t="shared" si="172"/>
        <v>163397</v>
      </c>
      <c r="AE541" s="192">
        <f t="shared" si="192"/>
        <v>9.8886035661325897E-3</v>
      </c>
      <c r="AF541" s="192">
        <f t="shared" si="193"/>
        <v>5.3060949711439013E-3</v>
      </c>
      <c r="AG541" s="20">
        <f t="shared" si="194"/>
        <v>14.186849916211553</v>
      </c>
      <c r="AH541" s="20">
        <f t="shared" si="195"/>
        <v>9.5350526631455903</v>
      </c>
      <c r="AI541" s="3">
        <f t="shared" si="196"/>
        <v>136806</v>
      </c>
    </row>
    <row r="542" spans="1:35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7">
        <f t="shared" si="190"/>
        <v>101.25985490086676</v>
      </c>
      <c r="O542" s="7">
        <f t="shared" si="191"/>
        <v>4474.5000000000009</v>
      </c>
      <c r="P542" s="7">
        <f t="shared" si="186"/>
        <v>4373.2401450991338</v>
      </c>
      <c r="Q542" s="7">
        <f t="shared" si="187"/>
        <v>1733.2583798062813</v>
      </c>
      <c r="R542" s="7">
        <f t="shared" si="188"/>
        <v>1612.9817652928521</v>
      </c>
      <c r="S542" s="7">
        <v>6405</v>
      </c>
      <c r="T542" s="7">
        <v>10585</v>
      </c>
      <c r="U542" s="7">
        <v>0</v>
      </c>
      <c r="V542" s="103">
        <v>170065</v>
      </c>
      <c r="W542" s="7">
        <f t="shared" si="169"/>
        <v>163660</v>
      </c>
      <c r="X542" s="103">
        <f t="shared" si="170"/>
        <v>170350</v>
      </c>
      <c r="Y542" s="103"/>
      <c r="Z542" s="2">
        <v>10207</v>
      </c>
      <c r="AA542" s="2"/>
      <c r="AB542" s="103">
        <v>285</v>
      </c>
      <c r="AC542" s="78">
        <v>166859</v>
      </c>
      <c r="AD542" s="103">
        <f t="shared" si="172"/>
        <v>170350</v>
      </c>
      <c r="AE542" s="192">
        <f t="shared" si="192"/>
        <v>5.8112837785195881E-2</v>
      </c>
      <c r="AF542" s="192">
        <f t="shared" si="193"/>
        <v>1.0038156736131493E-3</v>
      </c>
      <c r="AG542" s="20">
        <f t="shared" si="194"/>
        <v>99.51823470714794</v>
      </c>
      <c r="AH542" s="20">
        <f t="shared" si="195"/>
        <v>1.741620193718814</v>
      </c>
      <c r="AI542" s="3">
        <f t="shared" si="196"/>
        <v>156652</v>
      </c>
    </row>
    <row r="543" spans="1:35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7">
        <f t="shared" si="190"/>
        <v>87.239346339079347</v>
      </c>
      <c r="O543" s="7">
        <f t="shared" si="191"/>
        <v>4376.5</v>
      </c>
      <c r="P543" s="7">
        <f t="shared" si="186"/>
        <v>4289.260653660921</v>
      </c>
      <c r="Q543" s="7">
        <f t="shared" si="187"/>
        <v>1630.6618451113015</v>
      </c>
      <c r="R543" s="7">
        <f t="shared" si="188"/>
        <v>1616.4321418829529</v>
      </c>
      <c r="S543" s="7">
        <v>5764</v>
      </c>
      <c r="T543" s="7">
        <v>10142</v>
      </c>
      <c r="U543" s="7">
        <v>0</v>
      </c>
      <c r="V543" s="103">
        <v>155375</v>
      </c>
      <c r="W543" s="7">
        <f t="shared" si="169"/>
        <v>149611</v>
      </c>
      <c r="X543" s="103">
        <f t="shared" si="170"/>
        <v>155389</v>
      </c>
      <c r="Y543" s="103"/>
      <c r="Z543" s="2">
        <v>8127</v>
      </c>
      <c r="AA543" s="2"/>
      <c r="AB543" s="103">
        <v>14</v>
      </c>
      <c r="AC543" s="78">
        <v>150919</v>
      </c>
      <c r="AD543" s="103">
        <f t="shared" si="172"/>
        <v>155389</v>
      </c>
      <c r="AE543" s="192">
        <f t="shared" si="192"/>
        <v>5.1157574592993589E-2</v>
      </c>
      <c r="AF543" s="192">
        <f t="shared" si="193"/>
        <v>5.4057880544954918E-5</v>
      </c>
      <c r="AG543" s="20">
        <f t="shared" si="194"/>
        <v>87.151191450380665</v>
      </c>
      <c r="AH543" s="20">
        <f t="shared" si="195"/>
        <v>8.8154888698685249E-2</v>
      </c>
      <c r="AI543" s="3">
        <f t="shared" si="196"/>
        <v>142792</v>
      </c>
    </row>
    <row r="544" spans="1:35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7">
        <f t="shared" si="190"/>
        <v>65.524003552563073</v>
      </c>
      <c r="O544" s="7">
        <f t="shared" si="191"/>
        <v>4115.2499999999991</v>
      </c>
      <c r="P544" s="7">
        <f t="shared" si="186"/>
        <v>4049.7259964474365</v>
      </c>
      <c r="Q544" s="7">
        <f t="shared" si="187"/>
        <v>1516.0939109655721</v>
      </c>
      <c r="R544" s="7">
        <f t="shared" si="188"/>
        <v>1635.2987521485311</v>
      </c>
      <c r="S544" s="7">
        <v>7295</v>
      </c>
      <c r="T544" s="7">
        <v>10198</v>
      </c>
      <c r="U544" s="7">
        <v>0</v>
      </c>
      <c r="V544" s="103">
        <v>165915</v>
      </c>
      <c r="W544" s="7">
        <f t="shared" si="169"/>
        <v>158620</v>
      </c>
      <c r="X544" s="103">
        <f t="shared" si="170"/>
        <v>169485</v>
      </c>
      <c r="Y544" s="103"/>
      <c r="Z544" s="2">
        <v>4944</v>
      </c>
      <c r="AA544" s="2"/>
      <c r="AB544" s="103">
        <v>3570</v>
      </c>
      <c r="AC544" s="78">
        <v>171241</v>
      </c>
      <c r="AD544" s="103">
        <f t="shared" si="172"/>
        <v>169485</v>
      </c>
      <c r="AE544" s="192">
        <f t="shared" si="192"/>
        <v>2.7428010815166926E-2</v>
      </c>
      <c r="AF544" s="192">
        <f t="shared" si="193"/>
        <v>1.2638286574033099E-2</v>
      </c>
      <c r="AG544" s="20">
        <f t="shared" si="194"/>
        <v>46.117914518135244</v>
      </c>
      <c r="AH544" s="20">
        <f t="shared" si="195"/>
        <v>19.406089034427822</v>
      </c>
      <c r="AI544" s="3">
        <f t="shared" si="196"/>
        <v>166297</v>
      </c>
    </row>
    <row r="545" spans="1:35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7">
        <f t="shared" si="190"/>
        <v>4.1002356222167862</v>
      </c>
      <c r="O545" s="7">
        <f t="shared" si="191"/>
        <v>3194.916666666667</v>
      </c>
      <c r="P545" s="7">
        <f t="shared" si="186"/>
        <v>3190.8164310444499</v>
      </c>
      <c r="Q545" s="7">
        <f t="shared" si="187"/>
        <v>1361.4967455843421</v>
      </c>
      <c r="R545" s="7">
        <f t="shared" si="188"/>
        <v>1115.8196854601081</v>
      </c>
      <c r="S545" s="7">
        <v>6528</v>
      </c>
      <c r="T545" s="7">
        <v>8129</v>
      </c>
      <c r="U545" s="7">
        <v>0</v>
      </c>
      <c r="V545" s="103">
        <v>150943</v>
      </c>
      <c r="W545" s="7">
        <f t="shared" si="169"/>
        <v>144415</v>
      </c>
      <c r="X545" s="103">
        <f t="shared" si="170"/>
        <v>150959</v>
      </c>
      <c r="Y545" s="103"/>
      <c r="Z545" s="2">
        <v>446</v>
      </c>
      <c r="AA545" s="2"/>
      <c r="AB545" s="103">
        <v>16</v>
      </c>
      <c r="AC545" s="78">
        <v>118215</v>
      </c>
      <c r="AD545" s="103">
        <f t="shared" si="172"/>
        <v>150959</v>
      </c>
      <c r="AE545" s="192">
        <f t="shared" si="192"/>
        <v>3.5841475278094994E-3</v>
      </c>
      <c r="AF545" s="192">
        <f t="shared" si="193"/>
        <v>6.3593426029584196E-5</v>
      </c>
      <c r="AG545" s="20">
        <f t="shared" si="194"/>
        <v>4.013647873225338</v>
      </c>
      <c r="AH545" s="20">
        <f t="shared" si="195"/>
        <v>8.6587748991448027E-2</v>
      </c>
      <c r="AI545" s="3">
        <f t="shared" si="196"/>
        <v>117769</v>
      </c>
    </row>
    <row r="546" spans="1:35">
      <c r="A546" s="28">
        <v>46202</v>
      </c>
      <c r="B546" s="2">
        <v>74.25</v>
      </c>
      <c r="C546" s="2">
        <v>175.16666666666663</v>
      </c>
      <c r="D546" s="2">
        <v>93</v>
      </c>
      <c r="E546" s="2">
        <v>489.41666666666674</v>
      </c>
      <c r="F546" s="2">
        <v>263</v>
      </c>
      <c r="G546" s="2">
        <v>133.08333333333334</v>
      </c>
      <c r="H546" s="2">
        <v>55.5</v>
      </c>
      <c r="I546" s="2">
        <v>1850.8333333333333</v>
      </c>
      <c r="J546" s="2">
        <v>133</v>
      </c>
      <c r="K546" s="2">
        <v>1653</v>
      </c>
      <c r="L546" s="2">
        <v>91.75</v>
      </c>
      <c r="M546" s="2">
        <v>311.58333333333331</v>
      </c>
      <c r="N546" s="107">
        <f t="shared" ref="N546:N551" si="197">+AH546+AG546</f>
        <v>152.42771377542269</v>
      </c>
      <c r="O546" s="7">
        <f t="shared" ref="O546:O551" si="198">+B546+C546+D546+F546+I546+K546+J546</f>
        <v>4242.25</v>
      </c>
      <c r="P546" s="7">
        <f t="shared" si="186"/>
        <v>4089.8222862245775</v>
      </c>
      <c r="Q546" s="7">
        <f t="shared" si="187"/>
        <v>1850.8333333333333</v>
      </c>
      <c r="R546" s="7">
        <f t="shared" si="188"/>
        <v>1500.5722862245773</v>
      </c>
      <c r="S546" s="7">
        <v>4526</v>
      </c>
      <c r="T546" s="7">
        <v>6952</v>
      </c>
      <c r="U546" s="7">
        <v>0</v>
      </c>
      <c r="V546" s="103">
        <v>161920</v>
      </c>
      <c r="W546" s="7">
        <f t="shared" si="169"/>
        <v>157394</v>
      </c>
      <c r="X546" s="103">
        <f t="shared" si="170"/>
        <v>161920</v>
      </c>
      <c r="Y546" s="103"/>
      <c r="Z546" s="2">
        <v>16413</v>
      </c>
      <c r="AA546" s="2"/>
      <c r="AB546" s="103"/>
      <c r="AC546" s="78">
        <v>169091</v>
      </c>
      <c r="AD546" s="103">
        <f t="shared" si="172"/>
        <v>161920</v>
      </c>
      <c r="AE546" s="192">
        <f t="shared" ref="AE546:AE551" si="199">+(Z546/AC546*0.95)</f>
        <v>9.2212773003885473E-2</v>
      </c>
      <c r="AF546" s="192">
        <f t="shared" ref="AF546:AF551" si="200">+(AB546/AD546*0.6)</f>
        <v>0</v>
      </c>
      <c r="AG546" s="20">
        <f t="shared" si="194"/>
        <v>152.42771377542269</v>
      </c>
      <c r="AH546" s="20">
        <f t="shared" si="195"/>
        <v>0</v>
      </c>
      <c r="AI546" s="3">
        <f t="shared" ref="AI546:AI550" si="201">+AC546-Z546</f>
        <v>152678</v>
      </c>
    </row>
    <row r="547" spans="1:35">
      <c r="A547" s="28">
        <v>46203</v>
      </c>
      <c r="B547" s="2">
        <v>82.5</v>
      </c>
      <c r="C547" s="2">
        <v>402.25</v>
      </c>
      <c r="D547" s="2">
        <v>93</v>
      </c>
      <c r="E547" s="2">
        <v>489.41666666666674</v>
      </c>
      <c r="F547" s="2">
        <v>236.83333333333334</v>
      </c>
      <c r="G547" s="2">
        <v>127.83333333333334</v>
      </c>
      <c r="H547" s="2">
        <v>55.5</v>
      </c>
      <c r="I547" s="2">
        <v>1810.9166666666667</v>
      </c>
      <c r="J547" s="2">
        <v>143.41666666666669</v>
      </c>
      <c r="K547" s="2">
        <v>1498.7500000000002</v>
      </c>
      <c r="L547" s="2">
        <v>91.666666666666671</v>
      </c>
      <c r="M547" s="2">
        <v>305.16666666666663</v>
      </c>
      <c r="N547" s="107">
        <f t="shared" si="197"/>
        <v>266.04536512855833</v>
      </c>
      <c r="O547" s="7">
        <f t="shared" si="198"/>
        <v>4267.666666666667</v>
      </c>
      <c r="P547" s="7">
        <f t="shared" si="186"/>
        <v>4001.621301538109</v>
      </c>
      <c r="Q547" s="7">
        <f t="shared" si="187"/>
        <v>1645.2801925089595</v>
      </c>
      <c r="R547" s="7">
        <f t="shared" si="188"/>
        <v>1398.341109029149</v>
      </c>
      <c r="S547" s="7">
        <v>5745</v>
      </c>
      <c r="T547" s="7">
        <v>8065</v>
      </c>
      <c r="U547" s="7">
        <v>0</v>
      </c>
      <c r="V547" s="103">
        <v>160346</v>
      </c>
      <c r="W547" s="7">
        <f t="shared" si="169"/>
        <v>154601</v>
      </c>
      <c r="X547" s="103">
        <f t="shared" si="170"/>
        <v>189186</v>
      </c>
      <c r="Y547" s="103"/>
      <c r="Z547" s="2">
        <v>10858</v>
      </c>
      <c r="AA547" s="2"/>
      <c r="AB547" s="103">
        <v>28840</v>
      </c>
      <c r="AC547" s="78">
        <v>153968</v>
      </c>
      <c r="AD547" s="103">
        <f t="shared" si="172"/>
        <v>189186</v>
      </c>
      <c r="AE547" s="192">
        <f t="shared" si="199"/>
        <v>6.6995089888808063E-2</v>
      </c>
      <c r="AF547" s="192">
        <f t="shared" si="200"/>
        <v>9.1465541847705431E-2</v>
      </c>
      <c r="AG547" s="20">
        <f t="shared" si="194"/>
        <v>100.4088909708511</v>
      </c>
      <c r="AH547" s="20">
        <f t="shared" si="195"/>
        <v>165.63647415770723</v>
      </c>
      <c r="AI547" s="3">
        <f t="shared" si="201"/>
        <v>143110</v>
      </c>
    </row>
    <row r="548" spans="1:35">
      <c r="A548" s="28">
        <v>46204</v>
      </c>
      <c r="B548" s="2">
        <v>78.916666666666686</v>
      </c>
      <c r="C548" s="2">
        <v>541.08333333333337</v>
      </c>
      <c r="D548" s="2">
        <v>69.083333333333329</v>
      </c>
      <c r="E548" s="2">
        <v>476.08333333333337</v>
      </c>
      <c r="F548" s="2">
        <v>269.5</v>
      </c>
      <c r="G548" s="2">
        <v>75.25</v>
      </c>
      <c r="H548" s="2">
        <v>48</v>
      </c>
      <c r="I548" s="2">
        <v>1837.25</v>
      </c>
      <c r="J548" s="2">
        <v>120.83333333333333</v>
      </c>
      <c r="K548" s="2">
        <v>1444.9999999999998</v>
      </c>
      <c r="L548" s="2">
        <v>100.25</v>
      </c>
      <c r="M548" s="2">
        <v>305.91666666666669</v>
      </c>
      <c r="N548" s="107">
        <f t="shared" si="197"/>
        <v>173.95356346725359</v>
      </c>
      <c r="O548" s="7">
        <f t="shared" si="198"/>
        <v>4361.6666666666661</v>
      </c>
      <c r="P548" s="7">
        <f t="shared" si="186"/>
        <v>4187.7131031994131</v>
      </c>
      <c r="Q548" s="7">
        <f t="shared" si="187"/>
        <v>1775.7937120106628</v>
      </c>
      <c r="R548" s="7">
        <f t="shared" si="188"/>
        <v>1332.5027245220833</v>
      </c>
      <c r="S548" s="7">
        <v>4048</v>
      </c>
      <c r="T548" s="7">
        <v>7101</v>
      </c>
      <c r="U548" s="7">
        <v>0</v>
      </c>
      <c r="V548" s="103">
        <v>164358</v>
      </c>
      <c r="W548" s="7">
        <f t="shared" si="169"/>
        <v>160310</v>
      </c>
      <c r="X548" s="103">
        <f t="shared" si="170"/>
        <v>174062</v>
      </c>
      <c r="Y548" s="103"/>
      <c r="Z548" s="2">
        <v>11836</v>
      </c>
      <c r="AA548" s="2"/>
      <c r="AB548" s="103">
        <v>9704</v>
      </c>
      <c r="AC548" s="78">
        <v>144429</v>
      </c>
      <c r="AD548" s="103">
        <f t="shared" si="172"/>
        <v>174062</v>
      </c>
      <c r="AE548" s="192">
        <f t="shared" si="199"/>
        <v>7.7852785797866073E-2</v>
      </c>
      <c r="AF548" s="192">
        <f t="shared" si="200"/>
        <v>3.3450149946570758E-2</v>
      </c>
      <c r="AG548" s="20">
        <f t="shared" si="194"/>
        <v>112.49727547791646</v>
      </c>
      <c r="AH548" s="20">
        <f t="shared" si="195"/>
        <v>61.456287989337127</v>
      </c>
      <c r="AI548" s="3">
        <f t="shared" si="201"/>
        <v>132593</v>
      </c>
    </row>
    <row r="549" spans="1:35">
      <c r="A549" s="28">
        <v>46205</v>
      </c>
      <c r="B549" s="2">
        <v>66.25</v>
      </c>
      <c r="C549" s="2">
        <v>595</v>
      </c>
      <c r="D549" s="2">
        <v>59.833333333333329</v>
      </c>
      <c r="E549" s="2">
        <v>466.66666666666669</v>
      </c>
      <c r="F549" s="2">
        <v>238.83333333333334</v>
      </c>
      <c r="G549" s="2">
        <v>67.75</v>
      </c>
      <c r="H549" s="2">
        <v>55.5</v>
      </c>
      <c r="I549" s="2">
        <v>1837.5</v>
      </c>
      <c r="J549" s="2">
        <v>129.83333333333331</v>
      </c>
      <c r="K549" s="2">
        <v>1611.7499999999998</v>
      </c>
      <c r="L549" s="2">
        <v>92.75</v>
      </c>
      <c r="M549" s="2">
        <v>280.5</v>
      </c>
      <c r="N549" s="107">
        <f t="shared" si="197"/>
        <v>128.52626392132672</v>
      </c>
      <c r="O549" s="7">
        <f t="shared" si="198"/>
        <v>4539</v>
      </c>
      <c r="P549" s="7">
        <f t="shared" si="186"/>
        <v>4410.473736078673</v>
      </c>
      <c r="Q549" s="7">
        <f t="shared" si="187"/>
        <v>1837.5</v>
      </c>
      <c r="R549" s="7">
        <f t="shared" si="188"/>
        <v>1483.223736078673</v>
      </c>
      <c r="S549" s="7">
        <v>3312</v>
      </c>
      <c r="T549" s="7">
        <v>4628</v>
      </c>
      <c r="U549" s="7">
        <v>0</v>
      </c>
      <c r="V549" s="103">
        <v>154137</v>
      </c>
      <c r="W549" s="7">
        <f t="shared" si="169"/>
        <v>150825</v>
      </c>
      <c r="X549" s="103">
        <f t="shared" si="170"/>
        <v>154137</v>
      </c>
      <c r="Y549" s="103"/>
      <c r="Z549" s="2">
        <v>12112</v>
      </c>
      <c r="AA549" s="2"/>
      <c r="AB549" s="103"/>
      <c r="AC549" s="78">
        <v>144293</v>
      </c>
      <c r="AD549" s="103">
        <f t="shared" si="172"/>
        <v>154137</v>
      </c>
      <c r="AE549" s="192">
        <f t="shared" si="199"/>
        <v>7.9743300090787492E-2</v>
      </c>
      <c r="AF549" s="192">
        <f t="shared" si="200"/>
        <v>0</v>
      </c>
      <c r="AG549" s="20">
        <f t="shared" si="194"/>
        <v>128.52626392132672</v>
      </c>
      <c r="AH549" s="20">
        <f t="shared" si="195"/>
        <v>0</v>
      </c>
      <c r="AI549" s="3">
        <f t="shared" si="201"/>
        <v>132181</v>
      </c>
    </row>
    <row r="550" spans="1:35">
      <c r="A550" s="28">
        <v>46206</v>
      </c>
      <c r="B550" s="2">
        <v>82.5</v>
      </c>
      <c r="C550" s="2">
        <v>541.41666666666674</v>
      </c>
      <c r="D550" s="2">
        <v>67.25</v>
      </c>
      <c r="E550" s="2">
        <v>465.5</v>
      </c>
      <c r="F550" s="2">
        <v>224.16666666666666</v>
      </c>
      <c r="G550" s="2">
        <v>62.166666666666664</v>
      </c>
      <c r="H550" s="2">
        <v>54.583333333333329</v>
      </c>
      <c r="I550" s="2">
        <v>1738.5833333333335</v>
      </c>
      <c r="J550" s="2">
        <v>113.5</v>
      </c>
      <c r="K550" s="2">
        <v>1636.1666666666667</v>
      </c>
      <c r="L550" s="2">
        <v>84.916666666666657</v>
      </c>
      <c r="M550" s="2">
        <v>287.33333333333337</v>
      </c>
      <c r="N550" s="107">
        <f t="shared" si="197"/>
        <v>315.43556755733528</v>
      </c>
      <c r="O550" s="7">
        <f t="shared" si="198"/>
        <v>4403.5833333333339</v>
      </c>
      <c r="P550" s="7">
        <f t="shared" si="186"/>
        <v>4088.1477657759979</v>
      </c>
      <c r="Q550" s="7">
        <f t="shared" si="187"/>
        <v>1615.9867416051591</v>
      </c>
      <c r="R550" s="7">
        <f t="shared" si="188"/>
        <v>1443.3276908375058</v>
      </c>
      <c r="S550" s="7">
        <v>3028</v>
      </c>
      <c r="T550" s="7">
        <v>3177</v>
      </c>
      <c r="U550" s="7">
        <v>0</v>
      </c>
      <c r="V550" s="103">
        <v>122431</v>
      </c>
      <c r="W550" s="7">
        <f t="shared" si="169"/>
        <v>119403</v>
      </c>
      <c r="X550" s="103">
        <f t="shared" si="170"/>
        <v>138736</v>
      </c>
      <c r="Y550" s="103"/>
      <c r="Z550" s="2">
        <v>17667</v>
      </c>
      <c r="AA550" s="2"/>
      <c r="AB550" s="103">
        <v>16305</v>
      </c>
      <c r="AC550" s="78">
        <v>142403</v>
      </c>
      <c r="AD550" s="103">
        <f t="shared" si="172"/>
        <v>138736</v>
      </c>
      <c r="AE550" s="192">
        <f t="shared" si="199"/>
        <v>0.11786022766374303</v>
      </c>
      <c r="AF550" s="192">
        <f t="shared" si="200"/>
        <v>7.0515223157651935E-2</v>
      </c>
      <c r="AG550" s="20">
        <f t="shared" si="194"/>
        <v>192.83897582916089</v>
      </c>
      <c r="AH550" s="20">
        <f t="shared" si="195"/>
        <v>122.59659172817437</v>
      </c>
      <c r="AI550" s="3">
        <f t="shared" si="201"/>
        <v>124736</v>
      </c>
    </row>
    <row r="551" spans="1:35">
      <c r="A551" s="28">
        <v>46207</v>
      </c>
      <c r="B551" s="2">
        <v>80.083333333333343</v>
      </c>
      <c r="C551" s="2">
        <v>475.16666666666669</v>
      </c>
      <c r="D551" s="2">
        <v>62.75</v>
      </c>
      <c r="E551" s="2">
        <v>236.33333333333337</v>
      </c>
      <c r="F551" s="2">
        <v>243.74999999999997</v>
      </c>
      <c r="G551" s="2">
        <v>0</v>
      </c>
      <c r="H551" s="2">
        <v>30</v>
      </c>
      <c r="I551" s="2">
        <v>1638.6666666666667</v>
      </c>
      <c r="J551" s="2">
        <v>108.83333333333333</v>
      </c>
      <c r="K551" s="2">
        <v>1481.8333333333335</v>
      </c>
      <c r="L551" s="2">
        <v>67.5</v>
      </c>
      <c r="M551" s="2">
        <v>260.08333333333337</v>
      </c>
      <c r="N551" s="107">
        <f t="shared" si="197"/>
        <v>198.52258177934752</v>
      </c>
      <c r="O551" s="7">
        <f t="shared" si="198"/>
        <v>4091.0833333333339</v>
      </c>
      <c r="P551" s="7">
        <f t="shared" si="186"/>
        <v>3892.5607515539859</v>
      </c>
      <c r="Q551" s="7">
        <f t="shared" si="187"/>
        <v>1534.1508254269236</v>
      </c>
      <c r="R551" s="7">
        <f t="shared" si="188"/>
        <v>1387.8265927937293</v>
      </c>
      <c r="S551" s="7">
        <v>1819</v>
      </c>
      <c r="T551" s="7">
        <v>2281</v>
      </c>
      <c r="U551" s="7">
        <v>0</v>
      </c>
      <c r="V551" s="103">
        <v>131026</v>
      </c>
      <c r="W551" s="7">
        <f t="shared" si="169"/>
        <v>129207</v>
      </c>
      <c r="X551" s="103">
        <f t="shared" si="170"/>
        <v>146611</v>
      </c>
      <c r="Y551" s="103"/>
      <c r="Z551" s="2">
        <v>9124</v>
      </c>
      <c r="AA551" s="2"/>
      <c r="AB551" s="103">
        <v>15585</v>
      </c>
      <c r="AC551" s="78">
        <v>136631</v>
      </c>
      <c r="AD551" s="103">
        <f t="shared" si="172"/>
        <v>146611</v>
      </c>
      <c r="AE551" s="192">
        <f t="shared" si="199"/>
        <v>6.3439482987023441E-2</v>
      </c>
      <c r="AF551" s="192">
        <f t="shared" si="200"/>
        <v>6.3781025980315251E-2</v>
      </c>
      <c r="AG551" s="20">
        <f t="shared" si="194"/>
        <v>94.006740539604252</v>
      </c>
      <c r="AH551" s="20">
        <f t="shared" si="195"/>
        <v>104.51584123974327</v>
      </c>
      <c r="AI551" s="3">
        <f>+AC551-Z551</f>
        <v>127507</v>
      </c>
    </row>
    <row r="552" spans="1:35">
      <c r="A552" s="28">
        <v>46208</v>
      </c>
      <c r="B552" s="2">
        <v>0</v>
      </c>
      <c r="C552" s="2">
        <v>0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J552" s="2">
        <v>0</v>
      </c>
      <c r="K552" s="2">
        <v>0</v>
      </c>
      <c r="L552" s="2">
        <v>0</v>
      </c>
      <c r="M552" s="2">
        <v>0</v>
      </c>
      <c r="N552" s="107">
        <f t="shared" ref="N552:N566" si="202">+AH552+AG552</f>
        <v>0</v>
      </c>
      <c r="O552" s="7">
        <f t="shared" ref="O552:O566" si="203">+B552+C552+D552+F552+I552+K552+J552</f>
        <v>0</v>
      </c>
      <c r="P552" s="7">
        <f t="shared" si="186"/>
        <v>0</v>
      </c>
      <c r="Q552" s="7">
        <f t="shared" si="187"/>
        <v>0</v>
      </c>
      <c r="R552" s="7">
        <f t="shared" si="188"/>
        <v>0</v>
      </c>
      <c r="T552" s="7"/>
      <c r="U552" s="7">
        <v>0</v>
      </c>
      <c r="V552" s="103"/>
      <c r="W552" s="7">
        <f t="shared" si="169"/>
        <v>0</v>
      </c>
      <c r="X552" s="103">
        <f t="shared" si="170"/>
        <v>0</v>
      </c>
      <c r="Y552" s="103"/>
      <c r="Z552" s="2"/>
      <c r="AA552" s="2"/>
      <c r="AB552" s="103"/>
      <c r="AC552" s="78"/>
      <c r="AD552" s="103"/>
      <c r="AE552" s="192"/>
      <c r="AF552" s="192"/>
      <c r="AG552" s="20"/>
      <c r="AH552" s="20"/>
      <c r="AI552" s="3"/>
    </row>
    <row r="553" spans="1:35">
      <c r="A553" s="28">
        <v>46209</v>
      </c>
      <c r="B553" s="2">
        <v>78</v>
      </c>
      <c r="C553" s="2">
        <v>490.5</v>
      </c>
      <c r="D553" s="2">
        <v>75</v>
      </c>
      <c r="E553" s="2">
        <v>413.58333333333331</v>
      </c>
      <c r="F553" s="2">
        <v>245.66666666666666</v>
      </c>
      <c r="G553" s="2">
        <v>83.75</v>
      </c>
      <c r="H553" s="2">
        <v>47</v>
      </c>
      <c r="I553" s="2">
        <v>1685.5000000000002</v>
      </c>
      <c r="J553" s="2">
        <v>133</v>
      </c>
      <c r="K553" s="2">
        <v>1432.75</v>
      </c>
      <c r="L553" s="2">
        <v>87.25</v>
      </c>
      <c r="M553" s="2">
        <v>310</v>
      </c>
      <c r="N553" s="107">
        <f t="shared" si="202"/>
        <v>149.70823934256214</v>
      </c>
      <c r="O553" s="7">
        <f t="shared" si="203"/>
        <v>4140.416666666667</v>
      </c>
      <c r="P553" s="7">
        <f t="shared" si="186"/>
        <v>3990.7084273241044</v>
      </c>
      <c r="Q553" s="7">
        <f t="shared" si="187"/>
        <v>1552.2561924838856</v>
      </c>
      <c r="R553" s="7">
        <f t="shared" si="188"/>
        <v>1416.2855681735525</v>
      </c>
      <c r="S553" s="7">
        <v>3628</v>
      </c>
      <c r="T553" s="7">
        <v>7954</v>
      </c>
      <c r="U553" s="7">
        <v>0</v>
      </c>
      <c r="V553" s="103">
        <v>128502</v>
      </c>
      <c r="W553" s="7">
        <f t="shared" si="169"/>
        <v>124874</v>
      </c>
      <c r="X553" s="103">
        <f t="shared" si="170"/>
        <v>148002</v>
      </c>
      <c r="Y553" s="103"/>
      <c r="Z553" s="2">
        <v>1663</v>
      </c>
      <c r="AA553" s="2"/>
      <c r="AB553" s="103">
        <v>19500</v>
      </c>
      <c r="AC553" s="78">
        <v>137480</v>
      </c>
      <c r="AD553" s="103">
        <f t="shared" ref="AD553:AD565" si="204">+X553</f>
        <v>148002</v>
      </c>
      <c r="AE553" s="192">
        <f t="shared" ref="AE553:AE559" si="205">+(Z553/AC553*0.95)</f>
        <v>1.1491489671224904E-2</v>
      </c>
      <c r="AF553" s="192">
        <f t="shared" ref="AF553:AF559" si="206">+(AB553/AD553*0.6)</f>
        <v>7.9052985770462561E-2</v>
      </c>
      <c r="AG553" s="20">
        <f t="shared" ref="AG553:AG565" si="207">+AE553*K553</f>
        <v>16.46443182644748</v>
      </c>
      <c r="AH553" s="20">
        <f t="shared" ref="AH553:AH565" si="208">+AF553*I553</f>
        <v>133.24380751611466</v>
      </c>
      <c r="AI553" s="3">
        <f t="shared" ref="AI553:AI565" si="209">+AC553-Z553</f>
        <v>135817</v>
      </c>
    </row>
    <row r="554" spans="1:35">
      <c r="A554" s="28">
        <v>46210</v>
      </c>
      <c r="B554" s="2">
        <v>93</v>
      </c>
      <c r="C554" s="2">
        <v>482.66666666666663</v>
      </c>
      <c r="D554" s="2">
        <v>82.5</v>
      </c>
      <c r="E554" s="2">
        <v>434.16666666666663</v>
      </c>
      <c r="F554" s="2">
        <v>222.83333333333334</v>
      </c>
      <c r="G554" s="2">
        <v>83.5</v>
      </c>
      <c r="H554" s="2">
        <v>39.5</v>
      </c>
      <c r="I554" s="2">
        <v>1803.1666666666667</v>
      </c>
      <c r="J554" s="2">
        <v>127</v>
      </c>
      <c r="K554" s="2">
        <v>1820.1666666666667</v>
      </c>
      <c r="L554" s="2">
        <v>88.25</v>
      </c>
      <c r="M554" s="2">
        <v>308.33333333333331</v>
      </c>
      <c r="N554" s="107">
        <f t="shared" si="202"/>
        <v>111.10415711477526</v>
      </c>
      <c r="O554" s="7">
        <f t="shared" si="203"/>
        <v>4631.3333333333339</v>
      </c>
      <c r="P554" s="7">
        <f t="shared" si="186"/>
        <v>4520.2291762185578</v>
      </c>
      <c r="Q554" s="7">
        <f t="shared" si="187"/>
        <v>1802.0122691935389</v>
      </c>
      <c r="R554" s="7">
        <f t="shared" si="188"/>
        <v>1710.2169070250193</v>
      </c>
      <c r="S554" s="7">
        <v>7729</v>
      </c>
      <c r="T554" s="7">
        <v>9019</v>
      </c>
      <c r="U554" s="7">
        <v>0</v>
      </c>
      <c r="V554" s="103">
        <v>164771</v>
      </c>
      <c r="W554" s="7">
        <f t="shared" si="169"/>
        <v>157042</v>
      </c>
      <c r="X554" s="103">
        <f t="shared" si="170"/>
        <v>164947</v>
      </c>
      <c r="Y554" s="103"/>
      <c r="Z554" s="2">
        <v>8730</v>
      </c>
      <c r="AA554" s="2"/>
      <c r="AB554" s="103">
        <v>176</v>
      </c>
      <c r="AC554" s="78">
        <v>137295</v>
      </c>
      <c r="AD554" s="103">
        <f t="shared" si="204"/>
        <v>164947</v>
      </c>
      <c r="AE554" s="192">
        <f t="shared" si="205"/>
        <v>6.0406424123238274E-2</v>
      </c>
      <c r="AF554" s="192">
        <f t="shared" si="206"/>
        <v>6.4020564181221842E-4</v>
      </c>
      <c r="AG554" s="20">
        <f t="shared" si="207"/>
        <v>109.94975964164753</v>
      </c>
      <c r="AH554" s="20">
        <f t="shared" si="208"/>
        <v>1.154397473127732</v>
      </c>
      <c r="AI554" s="3">
        <f t="shared" si="209"/>
        <v>128565</v>
      </c>
    </row>
    <row r="555" spans="1:35">
      <c r="A555" s="28">
        <v>46211</v>
      </c>
      <c r="B555" s="2">
        <v>103</v>
      </c>
      <c r="C555" s="2">
        <v>448.5</v>
      </c>
      <c r="D555" s="2">
        <v>82.5</v>
      </c>
      <c r="E555" s="2">
        <v>448.33333333333331</v>
      </c>
      <c r="F555" s="2">
        <v>229.25</v>
      </c>
      <c r="G555" s="2">
        <v>90.333333333333343</v>
      </c>
      <c r="H555" s="2">
        <v>37.166666666666671</v>
      </c>
      <c r="I555" s="2">
        <v>1845.8333333333333</v>
      </c>
      <c r="J555" s="2">
        <v>136</v>
      </c>
      <c r="K555" s="2">
        <v>1862.8333333333333</v>
      </c>
      <c r="L555" s="2">
        <v>89.25</v>
      </c>
      <c r="M555" s="2">
        <v>303.16666666666669</v>
      </c>
      <c r="N555" s="107">
        <f t="shared" si="202"/>
        <v>440.44396208881255</v>
      </c>
      <c r="O555" s="7">
        <f t="shared" si="203"/>
        <v>4707.9166666666661</v>
      </c>
      <c r="P555" s="7">
        <f t="shared" si="186"/>
        <v>4267.4727045778536</v>
      </c>
      <c r="Q555" s="7">
        <f t="shared" si="187"/>
        <v>1680.9217164620518</v>
      </c>
      <c r="R555" s="7">
        <f t="shared" si="188"/>
        <v>1587.3009881158021</v>
      </c>
      <c r="S555" s="7">
        <v>4114</v>
      </c>
      <c r="T555" s="7">
        <v>8122</v>
      </c>
      <c r="U555" s="7">
        <v>0</v>
      </c>
      <c r="V555" s="103">
        <v>105998</v>
      </c>
      <c r="W555" s="7">
        <f t="shared" si="169"/>
        <v>101884</v>
      </c>
      <c r="X555" s="103">
        <f t="shared" si="170"/>
        <v>124543</v>
      </c>
      <c r="Y555" s="103"/>
      <c r="Z555" s="2">
        <v>22263</v>
      </c>
      <c r="AA555" s="2"/>
      <c r="AB555" s="103">
        <v>18545</v>
      </c>
      <c r="AC555" s="78">
        <v>142991</v>
      </c>
      <c r="AD555" s="103">
        <f t="shared" si="204"/>
        <v>124543</v>
      </c>
      <c r="AE555" s="192">
        <f t="shared" si="205"/>
        <v>0.14791035799455909</v>
      </c>
      <c r="AF555" s="192">
        <f t="shared" si="206"/>
        <v>8.9342636679700993E-2</v>
      </c>
      <c r="AG555" s="20">
        <f t="shared" si="207"/>
        <v>275.53234521753114</v>
      </c>
      <c r="AH555" s="20">
        <f t="shared" si="208"/>
        <v>164.91161687128141</v>
      </c>
      <c r="AI555" s="3">
        <f t="shared" si="209"/>
        <v>120728</v>
      </c>
    </row>
    <row r="556" spans="1:35">
      <c r="A556" s="28">
        <v>46212</v>
      </c>
      <c r="B556" s="2">
        <v>82.5</v>
      </c>
      <c r="C556" s="2">
        <v>470.25</v>
      </c>
      <c r="D556" s="2">
        <v>82.5</v>
      </c>
      <c r="E556" s="2">
        <v>405.83333333333331</v>
      </c>
      <c r="F556" s="2">
        <v>239.5</v>
      </c>
      <c r="G556" s="2">
        <v>78.416666666666671</v>
      </c>
      <c r="H556" s="2">
        <v>47</v>
      </c>
      <c r="I556" s="2">
        <v>1826.4166666666667</v>
      </c>
      <c r="J556" s="2">
        <v>123.58333333333333</v>
      </c>
      <c r="K556" s="2">
        <v>1843.4166666666667</v>
      </c>
      <c r="L556" s="2">
        <v>92.75</v>
      </c>
      <c r="M556" s="2">
        <v>304.5</v>
      </c>
      <c r="N556" s="107">
        <f t="shared" si="202"/>
        <v>388.8665016217094</v>
      </c>
      <c r="O556" s="7">
        <f t="shared" si="203"/>
        <v>4668.166666666667</v>
      </c>
      <c r="P556" s="7">
        <f t="shared" si="186"/>
        <v>4279.3001650449578</v>
      </c>
      <c r="Q556" s="7">
        <f t="shared" si="187"/>
        <v>1755.6192336039094</v>
      </c>
      <c r="R556" s="7">
        <f t="shared" si="188"/>
        <v>1525.3475981077147</v>
      </c>
      <c r="S556" s="7">
        <v>3850</v>
      </c>
      <c r="T556" s="7">
        <v>6585</v>
      </c>
      <c r="U556" s="7">
        <v>0</v>
      </c>
      <c r="V556" s="103">
        <v>123532</v>
      </c>
      <c r="W556" s="7">
        <f t="shared" si="169"/>
        <v>119682</v>
      </c>
      <c r="X556" s="103">
        <f t="shared" si="170"/>
        <v>132064</v>
      </c>
      <c r="Y556" s="103"/>
      <c r="Z556" s="2">
        <v>25995</v>
      </c>
      <c r="AA556" s="2"/>
      <c r="AB556" s="103">
        <v>8532</v>
      </c>
      <c r="AC556" s="78">
        <v>143125</v>
      </c>
      <c r="AD556" s="103">
        <f t="shared" si="204"/>
        <v>132064</v>
      </c>
      <c r="AE556" s="192">
        <f t="shared" si="205"/>
        <v>0.17254323144104802</v>
      </c>
      <c r="AF556" s="192">
        <f t="shared" si="206"/>
        <v>3.8763023988369269E-2</v>
      </c>
      <c r="AG556" s="20">
        <f t="shared" si="207"/>
        <v>318.06906855895198</v>
      </c>
      <c r="AH556" s="20">
        <f t="shared" si="208"/>
        <v>70.797433062757449</v>
      </c>
      <c r="AI556" s="3">
        <f t="shared" si="209"/>
        <v>117130</v>
      </c>
    </row>
    <row r="557" spans="1:35">
      <c r="A557" s="28">
        <v>46213</v>
      </c>
      <c r="B557" s="2">
        <v>75</v>
      </c>
      <c r="C557" s="2">
        <v>375.83333333333331</v>
      </c>
      <c r="D557" s="2">
        <v>80.916666666666657</v>
      </c>
      <c r="E557" s="2">
        <v>350.41666666666663</v>
      </c>
      <c r="F557" s="2">
        <v>247.5</v>
      </c>
      <c r="G557" s="2">
        <v>82.75</v>
      </c>
      <c r="H557" s="2">
        <v>39.5</v>
      </c>
      <c r="I557" s="2">
        <v>1804.1666666666665</v>
      </c>
      <c r="J557" s="2">
        <v>125</v>
      </c>
      <c r="K557" s="2">
        <v>1821.1666666666665</v>
      </c>
      <c r="L557" s="2">
        <v>92.25</v>
      </c>
      <c r="M557" s="2">
        <v>288</v>
      </c>
      <c r="N557" s="107">
        <f t="shared" si="202"/>
        <v>532.91361996524438</v>
      </c>
      <c r="O557" s="7">
        <f t="shared" si="203"/>
        <v>4529.583333333333</v>
      </c>
      <c r="P557" s="7">
        <f t="shared" si="186"/>
        <v>3996.6697133680887</v>
      </c>
      <c r="Q557" s="7">
        <f t="shared" si="187"/>
        <v>1586.1983652346598</v>
      </c>
      <c r="R557" s="7">
        <f t="shared" si="188"/>
        <v>1506.2213481334288</v>
      </c>
      <c r="S557" s="7">
        <v>3590</v>
      </c>
      <c r="T557" s="7">
        <v>6608</v>
      </c>
      <c r="U557" s="7">
        <v>0</v>
      </c>
      <c r="V557" s="103">
        <v>140487</v>
      </c>
      <c r="W557" s="7">
        <f t="shared" si="169"/>
        <v>136897</v>
      </c>
      <c r="X557" s="103">
        <f t="shared" si="170"/>
        <v>175907</v>
      </c>
      <c r="Y557" s="103"/>
      <c r="Z557" s="2">
        <v>27941</v>
      </c>
      <c r="AA557" s="2"/>
      <c r="AB557" s="103">
        <v>35420</v>
      </c>
      <c r="AC557" s="78">
        <v>153490</v>
      </c>
      <c r="AD557" s="103">
        <f t="shared" si="204"/>
        <v>175907</v>
      </c>
      <c r="AE557" s="192">
        <f t="shared" si="205"/>
        <v>0.17293602189067692</v>
      </c>
      <c r="AF557" s="192">
        <f t="shared" si="206"/>
        <v>0.12081383913090439</v>
      </c>
      <c r="AG557" s="20">
        <f t="shared" si="207"/>
        <v>314.94531853323775</v>
      </c>
      <c r="AH557" s="20">
        <f t="shared" si="208"/>
        <v>217.96830143200665</v>
      </c>
      <c r="AI557" s="3">
        <f t="shared" si="209"/>
        <v>125549</v>
      </c>
    </row>
    <row r="558" spans="1:35">
      <c r="A558" s="28">
        <v>46214</v>
      </c>
      <c r="B558" s="2">
        <v>82.5</v>
      </c>
      <c r="C558" s="2">
        <v>290.08333333333331</v>
      </c>
      <c r="D558" s="2">
        <v>75</v>
      </c>
      <c r="E558" s="2">
        <v>262.5</v>
      </c>
      <c r="F558" s="2">
        <v>232</v>
      </c>
      <c r="G558" s="2">
        <v>0</v>
      </c>
      <c r="H558" s="2">
        <v>29.666666666666664</v>
      </c>
      <c r="I558" s="2">
        <v>1635.25</v>
      </c>
      <c r="J558" s="2">
        <v>104.75</v>
      </c>
      <c r="K558" s="2">
        <v>1635.25</v>
      </c>
      <c r="L558" s="2">
        <v>49.25</v>
      </c>
      <c r="M558" s="2">
        <v>279</v>
      </c>
      <c r="N558" s="107">
        <f t="shared" si="202"/>
        <v>174.54120177421595</v>
      </c>
      <c r="O558" s="7">
        <f t="shared" si="203"/>
        <v>4054.833333333333</v>
      </c>
      <c r="P558" s="7">
        <f t="shared" si="186"/>
        <v>3880.2921315591175</v>
      </c>
      <c r="Q558" s="7">
        <f t="shared" si="187"/>
        <v>1615.5268798617112</v>
      </c>
      <c r="R558" s="7">
        <f t="shared" si="188"/>
        <v>1480.4319183640728</v>
      </c>
      <c r="S558" s="7">
        <v>1208</v>
      </c>
      <c r="T558" s="7">
        <v>4218</v>
      </c>
      <c r="U558" s="7">
        <v>0</v>
      </c>
      <c r="V558" s="103">
        <v>140584</v>
      </c>
      <c r="W558" s="7">
        <f t="shared" si="169"/>
        <v>139376</v>
      </c>
      <c r="X558" s="103">
        <f t="shared" si="170"/>
        <v>143468</v>
      </c>
      <c r="Y558" s="103"/>
      <c r="Z558" s="2">
        <v>14908</v>
      </c>
      <c r="AA558" s="2"/>
      <c r="AB558" s="2">
        <v>2884</v>
      </c>
      <c r="AC558" s="78">
        <v>149591</v>
      </c>
      <c r="AD558" s="103">
        <f t="shared" si="204"/>
        <v>143468</v>
      </c>
      <c r="AE558" s="192">
        <f t="shared" si="205"/>
        <v>9.467548181374548E-2</v>
      </c>
      <c r="AF558" s="192">
        <f t="shared" si="206"/>
        <v>1.2061226196782557E-2</v>
      </c>
      <c r="AG558" s="20">
        <f t="shared" si="207"/>
        <v>154.81808163592729</v>
      </c>
      <c r="AH558" s="20">
        <f t="shared" si="208"/>
        <v>19.723120138288674</v>
      </c>
      <c r="AI558" s="3">
        <f t="shared" si="209"/>
        <v>134683</v>
      </c>
    </row>
    <row r="559" spans="1:35">
      <c r="A559" s="28">
        <v>46215</v>
      </c>
      <c r="B559" s="2">
        <v>81.75</v>
      </c>
      <c r="C559" s="2">
        <v>184.91666666666666</v>
      </c>
      <c r="D559" s="2">
        <v>37.5</v>
      </c>
      <c r="E559" s="2">
        <v>60</v>
      </c>
      <c r="F559" s="2">
        <v>194.75</v>
      </c>
      <c r="G559" s="2">
        <v>0</v>
      </c>
      <c r="H559" s="2">
        <v>22.5</v>
      </c>
      <c r="I559" s="2">
        <v>1459.4999999999998</v>
      </c>
      <c r="J559" s="2">
        <v>82.5</v>
      </c>
      <c r="K559" s="2">
        <v>1481.9999999999998</v>
      </c>
      <c r="L559" s="2">
        <v>0</v>
      </c>
      <c r="M559" s="2">
        <v>197.41666666666666</v>
      </c>
      <c r="N559" s="107">
        <f t="shared" si="202"/>
        <v>0.39239130434782599</v>
      </c>
      <c r="O559" s="7">
        <f t="shared" si="203"/>
        <v>3522.9166666666661</v>
      </c>
      <c r="P559" s="7">
        <f t="shared" si="186"/>
        <v>3522.5242753623183</v>
      </c>
      <c r="Q559" s="7">
        <f t="shared" si="187"/>
        <v>1459.4999999999998</v>
      </c>
      <c r="R559" s="7">
        <f t="shared" si="188"/>
        <v>1481.6076086956518</v>
      </c>
      <c r="S559" s="7">
        <v>3686</v>
      </c>
      <c r="T559" s="7">
        <v>4773</v>
      </c>
      <c r="U559" s="7">
        <v>0</v>
      </c>
      <c r="V559" s="103">
        <v>128818</v>
      </c>
      <c r="W559" s="7">
        <f t="shared" si="169"/>
        <v>125132</v>
      </c>
      <c r="X559" s="103">
        <f t="shared" si="170"/>
        <v>128818</v>
      </c>
      <c r="Y559" s="103"/>
      <c r="Z559" s="2">
        <v>32</v>
      </c>
      <c r="AA559" s="2"/>
      <c r="AB559" s="2"/>
      <c r="AC559" s="78">
        <v>114816</v>
      </c>
      <c r="AD559" s="103">
        <f t="shared" si="204"/>
        <v>128818</v>
      </c>
      <c r="AE559" s="192">
        <f t="shared" si="205"/>
        <v>2.6477146042363429E-4</v>
      </c>
      <c r="AF559" s="192">
        <f t="shared" si="206"/>
        <v>0</v>
      </c>
      <c r="AG559" s="20">
        <f t="shared" si="207"/>
        <v>0.39239130434782599</v>
      </c>
      <c r="AH559" s="20">
        <f t="shared" si="208"/>
        <v>0</v>
      </c>
      <c r="AI559" s="3">
        <f t="shared" si="209"/>
        <v>114784</v>
      </c>
    </row>
    <row r="560" spans="1:35">
      <c r="A560" s="28">
        <v>46216</v>
      </c>
      <c r="B560" s="3">
        <v>67.5</v>
      </c>
      <c r="C560" s="3">
        <v>182.08333333333331</v>
      </c>
      <c r="D560" s="3">
        <v>85.5</v>
      </c>
      <c r="E560" s="3">
        <v>373.08333333333331</v>
      </c>
      <c r="F560" s="3">
        <v>255.5</v>
      </c>
      <c r="G560" s="3">
        <v>76.083333333333343</v>
      </c>
      <c r="H560" s="3">
        <v>47</v>
      </c>
      <c r="I560" s="3">
        <v>1711.8333333333333</v>
      </c>
      <c r="J560" s="3">
        <v>119.5</v>
      </c>
      <c r="K560" s="3">
        <v>1570.4166666666667</v>
      </c>
      <c r="L560" s="3">
        <v>53.5</v>
      </c>
      <c r="M560" s="3">
        <v>286.83333333333331</v>
      </c>
      <c r="N560" s="107">
        <f t="shared" si="202"/>
        <v>271.13501570107815</v>
      </c>
      <c r="O560" s="7">
        <f t="shared" si="203"/>
        <v>3992.333333333333</v>
      </c>
      <c r="P560" s="7">
        <f t="shared" si="186"/>
        <v>3721.1983176322551</v>
      </c>
      <c r="Q560" s="7">
        <f t="shared" si="187"/>
        <v>1550.2325656260557</v>
      </c>
      <c r="R560" s="7">
        <f t="shared" si="188"/>
        <v>1460.8824186728662</v>
      </c>
      <c r="S560" s="7">
        <v>4225</v>
      </c>
      <c r="T560" s="7">
        <v>7366</v>
      </c>
      <c r="U560" s="7">
        <v>0</v>
      </c>
      <c r="V560" s="103">
        <v>127216</v>
      </c>
      <c r="W560" s="7">
        <f t="shared" si="169"/>
        <v>122991</v>
      </c>
      <c r="X560" s="103">
        <f t="shared" si="170"/>
        <v>150969</v>
      </c>
      <c r="Y560" s="103"/>
      <c r="Z560" s="2">
        <v>11906</v>
      </c>
      <c r="AA560" s="2"/>
      <c r="AB560" s="2">
        <v>23753</v>
      </c>
      <c r="AC560" s="78">
        <v>162164</v>
      </c>
      <c r="AD560" s="103">
        <f t="shared" si="204"/>
        <v>150969</v>
      </c>
      <c r="AE560" s="192">
        <f t="shared" ref="AE560:AE565" si="210">+(Z560/AC560*0.95)</f>
        <v>6.9748526183369922E-2</v>
      </c>
      <c r="AF560" s="192">
        <f t="shared" ref="AF560:AF565" si="211">+(AB560/AD560*0.6)</f>
        <v>9.4402162033265111E-2</v>
      </c>
      <c r="AG560" s="20">
        <f t="shared" si="207"/>
        <v>109.53424799380052</v>
      </c>
      <c r="AH560" s="20">
        <f t="shared" si="208"/>
        <v>161.60076770727764</v>
      </c>
      <c r="AI560" s="3">
        <f t="shared" si="209"/>
        <v>150258</v>
      </c>
    </row>
    <row r="561" spans="1:35">
      <c r="A561" s="28">
        <v>46217</v>
      </c>
      <c r="B561" s="3">
        <v>79.916666666666686</v>
      </c>
      <c r="C561" s="3">
        <v>417.66666666666669</v>
      </c>
      <c r="D561" s="3">
        <v>79.833333333333329</v>
      </c>
      <c r="E561" s="3">
        <v>338.08333333333331</v>
      </c>
      <c r="F561" s="3">
        <v>244.75</v>
      </c>
      <c r="G561" s="3">
        <v>63.833333333333336</v>
      </c>
      <c r="H561" s="3">
        <v>46.5</v>
      </c>
      <c r="I561" s="3">
        <v>1629.3333333333333</v>
      </c>
      <c r="J561" s="3">
        <v>110.75</v>
      </c>
      <c r="K561" s="3">
        <v>1292.25</v>
      </c>
      <c r="L561" s="3">
        <v>59</v>
      </c>
      <c r="M561" s="3">
        <v>261.66666666666663</v>
      </c>
      <c r="N561" s="107">
        <f t="shared" si="202"/>
        <v>367.72314394684213</v>
      </c>
      <c r="O561" s="7">
        <f t="shared" si="203"/>
        <v>3854.5</v>
      </c>
      <c r="P561" s="7">
        <f t="shared" si="186"/>
        <v>3486.7768560531576</v>
      </c>
      <c r="Q561" s="7">
        <f t="shared" si="187"/>
        <v>1524.2224253117977</v>
      </c>
      <c r="R561" s="7">
        <f t="shared" si="188"/>
        <v>1029.6377640746935</v>
      </c>
      <c r="S561" s="7">
        <v>1833</v>
      </c>
      <c r="T561" s="7">
        <v>4545</v>
      </c>
      <c r="U561" s="7">
        <v>0</v>
      </c>
      <c r="V561" s="103">
        <v>118359</v>
      </c>
      <c r="W561" s="7">
        <f t="shared" si="169"/>
        <v>116526</v>
      </c>
      <c r="X561" s="103">
        <f t="shared" si="170"/>
        <v>132618</v>
      </c>
      <c r="Y561" s="103"/>
      <c r="Z561" s="2">
        <v>23026</v>
      </c>
      <c r="AA561" s="2"/>
      <c r="AB561" s="2">
        <v>14259</v>
      </c>
      <c r="AC561" s="78">
        <v>107640</v>
      </c>
      <c r="AD561" s="103">
        <f t="shared" si="204"/>
        <v>132618</v>
      </c>
      <c r="AE561" s="192">
        <f t="shared" si="210"/>
        <v>0.20322092159048682</v>
      </c>
      <c r="AF561" s="192">
        <f t="shared" si="211"/>
        <v>6.4511604759534907E-2</v>
      </c>
      <c r="AG561" s="20">
        <f t="shared" si="207"/>
        <v>262.61223592530661</v>
      </c>
      <c r="AH561" s="20">
        <f t="shared" si="208"/>
        <v>105.11090802153554</v>
      </c>
      <c r="AI561" s="3">
        <f>+AC561-Z561</f>
        <v>84614</v>
      </c>
    </row>
    <row r="562" spans="1:35">
      <c r="A562" s="28">
        <v>46218</v>
      </c>
      <c r="B562" s="3">
        <v>67</v>
      </c>
      <c r="C562" s="3">
        <v>322.16666666666663</v>
      </c>
      <c r="D562" s="3">
        <v>82.5</v>
      </c>
      <c r="E562" s="3">
        <v>50.75</v>
      </c>
      <c r="F562" s="3">
        <v>277.25</v>
      </c>
      <c r="G562" s="3">
        <v>0</v>
      </c>
      <c r="H562" s="3">
        <v>30</v>
      </c>
      <c r="I562" s="3">
        <v>1709.1666666666665</v>
      </c>
      <c r="J562" s="3">
        <v>97.5</v>
      </c>
      <c r="K562" s="3">
        <v>1140.0833333333333</v>
      </c>
      <c r="L562" s="3">
        <v>15</v>
      </c>
      <c r="M562" s="3">
        <v>254.16666666666666</v>
      </c>
      <c r="N562" s="107">
        <f t="shared" si="202"/>
        <v>8.587544304043977</v>
      </c>
      <c r="O562" s="7">
        <f t="shared" si="203"/>
        <v>3695.6666666666661</v>
      </c>
      <c r="P562" s="7">
        <f t="shared" si="186"/>
        <v>3687.079122362622</v>
      </c>
      <c r="Q562" s="7">
        <f t="shared" si="187"/>
        <v>1709.1666666666665</v>
      </c>
      <c r="R562" s="7">
        <f t="shared" si="188"/>
        <v>1131.4957890292892</v>
      </c>
      <c r="S562" s="7">
        <v>4322</v>
      </c>
      <c r="T562" s="7">
        <v>11021</v>
      </c>
      <c r="U562" s="7">
        <v>0</v>
      </c>
      <c r="V562" s="103">
        <v>142055</v>
      </c>
      <c r="W562" s="7">
        <f t="shared" si="169"/>
        <v>137733</v>
      </c>
      <c r="X562" s="103">
        <f t="shared" si="170"/>
        <v>142055</v>
      </c>
      <c r="Y562" s="103"/>
      <c r="Z562" s="2">
        <v>950</v>
      </c>
      <c r="AA562" s="2"/>
      <c r="AB562" s="2"/>
      <c r="AC562" s="78">
        <v>119816</v>
      </c>
      <c r="AD562" s="103">
        <f t="shared" si="204"/>
        <v>142055</v>
      </c>
      <c r="AE562" s="192">
        <f t="shared" si="210"/>
        <v>7.5323829872471111E-3</v>
      </c>
      <c r="AF562" s="192">
        <f t="shared" si="211"/>
        <v>0</v>
      </c>
      <c r="AG562" s="20">
        <f t="shared" si="207"/>
        <v>8.587544304043977</v>
      </c>
      <c r="AH562" s="20">
        <f t="shared" si="208"/>
        <v>0</v>
      </c>
      <c r="AI562" s="3">
        <f t="shared" si="209"/>
        <v>118866</v>
      </c>
    </row>
    <row r="563" spans="1:35">
      <c r="A563" s="28">
        <v>46219</v>
      </c>
      <c r="B563" s="3">
        <v>134.66666666666666</v>
      </c>
      <c r="C563" s="3">
        <v>271.25000000000006</v>
      </c>
      <c r="D563" s="3">
        <v>90</v>
      </c>
      <c r="E563" s="3">
        <v>397.16666666666663</v>
      </c>
      <c r="F563" s="3">
        <v>240.75</v>
      </c>
      <c r="G563" s="3">
        <v>58</v>
      </c>
      <c r="H563" s="3">
        <v>47</v>
      </c>
      <c r="I563" s="3">
        <v>1655.9166666666667</v>
      </c>
      <c r="J563" s="3">
        <v>132.33333333333331</v>
      </c>
      <c r="K563" s="3">
        <v>1407.4166666666665</v>
      </c>
      <c r="L563" s="3">
        <v>63</v>
      </c>
      <c r="M563" s="3">
        <v>282</v>
      </c>
      <c r="N563" s="107">
        <f t="shared" si="202"/>
        <v>0</v>
      </c>
      <c r="O563" s="7">
        <f t="shared" si="203"/>
        <v>3932.3333333333335</v>
      </c>
      <c r="P563" s="7">
        <f t="shared" si="186"/>
        <v>3932.3333333333335</v>
      </c>
      <c r="Q563" s="7">
        <f t="shared" si="187"/>
        <v>1655.9166666666667</v>
      </c>
      <c r="R563" s="7">
        <f t="shared" si="188"/>
        <v>1407.4166666666665</v>
      </c>
      <c r="S563" s="7">
        <v>4670</v>
      </c>
      <c r="T563" s="7">
        <v>9097</v>
      </c>
      <c r="U563" s="7">
        <v>0</v>
      </c>
      <c r="V563" s="103">
        <v>143815</v>
      </c>
      <c r="W563" s="7">
        <f t="shared" si="169"/>
        <v>139145</v>
      </c>
      <c r="X563" s="103">
        <f t="shared" si="170"/>
        <v>143815</v>
      </c>
      <c r="Y563" s="103"/>
      <c r="Z563" s="2"/>
      <c r="AA563" s="2"/>
      <c r="AB563" s="2"/>
      <c r="AC563" s="78">
        <v>145486</v>
      </c>
      <c r="AD563" s="103">
        <f t="shared" si="204"/>
        <v>143815</v>
      </c>
      <c r="AE563" s="192">
        <f t="shared" si="210"/>
        <v>0</v>
      </c>
      <c r="AF563" s="192">
        <f t="shared" si="211"/>
        <v>0</v>
      </c>
      <c r="AG563" s="20">
        <f t="shared" si="207"/>
        <v>0</v>
      </c>
      <c r="AH563" s="20">
        <f t="shared" si="208"/>
        <v>0</v>
      </c>
      <c r="AI563" s="3">
        <f t="shared" si="209"/>
        <v>145486</v>
      </c>
    </row>
    <row r="564" spans="1:35">
      <c r="A564" s="28">
        <v>46220</v>
      </c>
      <c r="B564" s="3">
        <v>118.5</v>
      </c>
      <c r="C564" s="3">
        <v>370.41666666666669</v>
      </c>
      <c r="D564" s="3">
        <v>94.333333333333329</v>
      </c>
      <c r="E564" s="3">
        <v>354.83333333333331</v>
      </c>
      <c r="F564" s="3">
        <v>245.16666666666666</v>
      </c>
      <c r="G564" s="3">
        <v>37.5</v>
      </c>
      <c r="H564" s="3">
        <v>47</v>
      </c>
      <c r="I564" s="3">
        <v>1649.9166666666667</v>
      </c>
      <c r="J564" s="3">
        <v>127</v>
      </c>
      <c r="K564" s="3">
        <v>1377</v>
      </c>
      <c r="L564" s="3">
        <v>67.25</v>
      </c>
      <c r="M564" s="3">
        <v>268.33333333333337</v>
      </c>
      <c r="N564" s="107">
        <f t="shared" si="202"/>
        <v>122.79144719101123</v>
      </c>
      <c r="O564" s="7">
        <f t="shared" si="203"/>
        <v>3982.3333333333335</v>
      </c>
      <c r="P564" s="7">
        <f t="shared" si="186"/>
        <v>3859.5418861423223</v>
      </c>
      <c r="Q564" s="7">
        <f t="shared" si="187"/>
        <v>1527.1252194756555</v>
      </c>
      <c r="R564" s="7">
        <f t="shared" si="188"/>
        <v>1377</v>
      </c>
      <c r="S564" s="7">
        <v>4148</v>
      </c>
      <c r="T564" s="7">
        <v>8031</v>
      </c>
      <c r="U564" s="7">
        <v>0</v>
      </c>
      <c r="V564" s="103">
        <v>126686</v>
      </c>
      <c r="W564" s="7">
        <f t="shared" si="169"/>
        <v>122538</v>
      </c>
      <c r="X564" s="103">
        <f t="shared" si="170"/>
        <v>144625</v>
      </c>
      <c r="Y564" s="103"/>
      <c r="Z564" s="2"/>
      <c r="AA564" s="2"/>
      <c r="AB564" s="2">
        <v>17939</v>
      </c>
      <c r="AC564" s="78">
        <v>143490</v>
      </c>
      <c r="AD564" s="103">
        <f t="shared" si="204"/>
        <v>144625</v>
      </c>
      <c r="AE564" s="192">
        <f t="shared" si="210"/>
        <v>0</v>
      </c>
      <c r="AF564" s="192">
        <f t="shared" si="211"/>
        <v>7.4422817631806387E-2</v>
      </c>
      <c r="AG564" s="20">
        <f t="shared" si="207"/>
        <v>0</v>
      </c>
      <c r="AH564" s="20">
        <f t="shared" si="208"/>
        <v>122.79144719101123</v>
      </c>
      <c r="AI564" s="3">
        <f t="shared" si="209"/>
        <v>143490</v>
      </c>
    </row>
    <row r="565" spans="1:35">
      <c r="A565" s="28">
        <v>46221</v>
      </c>
      <c r="B565" s="3">
        <v>59.333333333333314</v>
      </c>
      <c r="C565" s="3">
        <v>350.41666666666669</v>
      </c>
      <c r="D565" s="3">
        <v>83.5</v>
      </c>
      <c r="E565" s="3">
        <v>232.33333333333331</v>
      </c>
      <c r="F565" s="3">
        <v>217.5</v>
      </c>
      <c r="G565" s="3">
        <v>0</v>
      </c>
      <c r="H565" s="3">
        <v>30</v>
      </c>
      <c r="I565" s="3">
        <v>1521.3333333333333</v>
      </c>
      <c r="J565" s="3">
        <v>112</v>
      </c>
      <c r="K565" s="3">
        <v>1192.75</v>
      </c>
      <c r="L565" s="3">
        <v>66.416666666666671</v>
      </c>
      <c r="M565" s="3">
        <v>224.75</v>
      </c>
      <c r="N565" s="107">
        <f t="shared" si="202"/>
        <v>0</v>
      </c>
      <c r="O565" s="7">
        <f t="shared" si="203"/>
        <v>3536.833333333333</v>
      </c>
      <c r="P565" s="7">
        <f t="shared" ref="P565:P596" si="212">+B565+C565+D565+F565+J565+Q565+R565</f>
        <v>3536.833333333333</v>
      </c>
      <c r="Q565" s="7">
        <f t="shared" ref="Q565:Q596" si="213">+I565-AH565</f>
        <v>1521.3333333333333</v>
      </c>
      <c r="R565" s="7">
        <f t="shared" ref="R565:R596" si="214">+K565-AG565</f>
        <v>1192.75</v>
      </c>
      <c r="S565" s="7">
        <v>1441</v>
      </c>
      <c r="T565" s="7">
        <v>7344</v>
      </c>
      <c r="U565" s="7">
        <v>0</v>
      </c>
      <c r="V565" s="103">
        <v>131045</v>
      </c>
      <c r="W565" s="7">
        <f t="shared" si="169"/>
        <v>129604</v>
      </c>
      <c r="X565" s="103">
        <f t="shared" si="170"/>
        <v>131045</v>
      </c>
      <c r="Y565" s="103"/>
      <c r="Z565" s="2"/>
      <c r="AA565" s="2"/>
      <c r="AB565" s="2"/>
      <c r="AC565" s="78">
        <v>125126</v>
      </c>
      <c r="AD565" s="103">
        <f t="shared" si="204"/>
        <v>131045</v>
      </c>
      <c r="AE565" s="192">
        <f t="shared" si="210"/>
        <v>0</v>
      </c>
      <c r="AF565" s="192">
        <f t="shared" si="211"/>
        <v>0</v>
      </c>
      <c r="AG565" s="20">
        <f t="shared" si="207"/>
        <v>0</v>
      </c>
      <c r="AH565" s="20">
        <f t="shared" si="208"/>
        <v>0</v>
      </c>
      <c r="AI565" s="3">
        <f t="shared" si="209"/>
        <v>125126</v>
      </c>
    </row>
    <row r="566" spans="1:35">
      <c r="A566" s="28">
        <v>46222</v>
      </c>
      <c r="B566" s="3">
        <v>0</v>
      </c>
      <c r="C566" s="3">
        <v>0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>
        <v>0</v>
      </c>
      <c r="M566" s="3">
        <v>0</v>
      </c>
      <c r="N566" s="107">
        <f t="shared" si="202"/>
        <v>0</v>
      </c>
      <c r="O566" s="7">
        <f t="shared" si="203"/>
        <v>0</v>
      </c>
      <c r="P566" s="7">
        <f t="shared" si="212"/>
        <v>0</v>
      </c>
      <c r="Q566" s="7">
        <f t="shared" si="213"/>
        <v>0</v>
      </c>
      <c r="R566" s="7">
        <f t="shared" si="214"/>
        <v>0</v>
      </c>
      <c r="T566" s="7"/>
      <c r="U566" s="7">
        <v>0</v>
      </c>
      <c r="V566" s="103"/>
      <c r="W566" s="7">
        <f t="shared" si="169"/>
        <v>0</v>
      </c>
      <c r="X566" s="103">
        <f t="shared" si="170"/>
        <v>0</v>
      </c>
      <c r="Y566" s="103"/>
      <c r="Z566" s="2"/>
      <c r="AA566" s="2"/>
      <c r="AB566" s="2"/>
      <c r="AD566" s="103"/>
      <c r="AE566" s="192"/>
      <c r="AF566" s="192"/>
      <c r="AG566" s="20"/>
      <c r="AH566" s="20"/>
      <c r="AI566" s="3"/>
    </row>
    <row r="567" spans="1:35">
      <c r="A567" s="28">
        <v>46223</v>
      </c>
      <c r="B567" s="3">
        <v>127.5</v>
      </c>
      <c r="C567" s="3">
        <v>436.16666666666663</v>
      </c>
      <c r="D567" s="3">
        <v>90</v>
      </c>
      <c r="E567" s="3">
        <v>438.25000000000006</v>
      </c>
      <c r="F567" s="3">
        <v>285</v>
      </c>
      <c r="G567" s="3">
        <v>125.83333333333336</v>
      </c>
      <c r="H567" s="3">
        <v>39.5</v>
      </c>
      <c r="I567" s="3">
        <v>1732.25</v>
      </c>
      <c r="J567" s="3">
        <v>105.25</v>
      </c>
      <c r="K567" s="3">
        <v>1299.3333333333335</v>
      </c>
      <c r="L567" s="3">
        <v>84.25</v>
      </c>
      <c r="M567" s="3">
        <v>296.5</v>
      </c>
      <c r="N567" s="107">
        <f t="shared" ref="N567:N573" si="215">+AH567+AG567</f>
        <v>236.26944204728176</v>
      </c>
      <c r="O567" s="7">
        <f t="shared" ref="O567:O573" si="216">+B567+C567+D567+F567+I567+K567+J567</f>
        <v>4075.5</v>
      </c>
      <c r="P567" s="7">
        <f t="shared" si="212"/>
        <v>3839.2305579527183</v>
      </c>
      <c r="Q567" s="7">
        <f t="shared" si="213"/>
        <v>1628.746854148975</v>
      </c>
      <c r="R567" s="7">
        <f t="shared" si="214"/>
        <v>1166.5670371370768</v>
      </c>
      <c r="S567" s="7">
        <v>5151</v>
      </c>
      <c r="T567" s="7">
        <v>8399</v>
      </c>
      <c r="U567" s="7">
        <v>0</v>
      </c>
      <c r="V567" s="103">
        <v>118754</v>
      </c>
      <c r="W567" s="7">
        <f t="shared" si="169"/>
        <v>113603</v>
      </c>
      <c r="X567" s="103">
        <f t="shared" si="170"/>
        <v>131888</v>
      </c>
      <c r="Y567" s="103"/>
      <c r="Z567" s="2">
        <v>13539</v>
      </c>
      <c r="AA567" s="2"/>
      <c r="AB567" s="2">
        <v>13134</v>
      </c>
      <c r="AC567" s="78">
        <v>125876</v>
      </c>
      <c r="AD567" s="103">
        <f t="shared" ref="AD567:AD630" si="217">+X567</f>
        <v>131888</v>
      </c>
      <c r="AE567" s="192">
        <f t="shared" ref="AE567:AE573" si="218">+(Z567/AC567*0.95)</f>
        <v>0.10218032031523086</v>
      </c>
      <c r="AF567" s="192">
        <f t="shared" ref="AF567:AF573" si="219">+(AB567/AD567*0.6)</f>
        <v>5.9750697561567388E-2</v>
      </c>
      <c r="AG567" s="20">
        <f t="shared" ref="AG567:AG579" si="220">+AE567*K567</f>
        <v>132.76629619625663</v>
      </c>
      <c r="AH567" s="20">
        <f t="shared" ref="AH567:AH579" si="221">+AF567*I567</f>
        <v>103.50314585102511</v>
      </c>
      <c r="AI567" s="3">
        <f t="shared" ref="AI567:AI573" si="222">+AC567-Z567</f>
        <v>112337</v>
      </c>
    </row>
    <row r="568" spans="1:35">
      <c r="A568" s="28">
        <v>46224</v>
      </c>
      <c r="B568" s="3">
        <v>210</v>
      </c>
      <c r="C568" s="3">
        <v>370.08333333333337</v>
      </c>
      <c r="D568" s="3">
        <v>97.5</v>
      </c>
      <c r="E568" s="3">
        <v>460.25000000000006</v>
      </c>
      <c r="F568" s="3">
        <v>282</v>
      </c>
      <c r="G568" s="3">
        <v>117.66666666666667</v>
      </c>
      <c r="H568" s="3">
        <v>39.5</v>
      </c>
      <c r="I568" s="3">
        <v>1680.0833333333333</v>
      </c>
      <c r="J568" s="3">
        <v>122.5</v>
      </c>
      <c r="K568" s="3">
        <v>1313.4166666666665</v>
      </c>
      <c r="L568" s="3">
        <v>71.5</v>
      </c>
      <c r="M568" s="3">
        <v>307.25</v>
      </c>
      <c r="N568" s="107">
        <f t="shared" si="215"/>
        <v>0</v>
      </c>
      <c r="O568" s="7">
        <f t="shared" si="216"/>
        <v>4075.583333333333</v>
      </c>
      <c r="P568" s="7">
        <f t="shared" si="212"/>
        <v>4075.5833333333335</v>
      </c>
      <c r="Q568" s="7">
        <f t="shared" si="213"/>
        <v>1680.0833333333333</v>
      </c>
      <c r="R568" s="7">
        <f t="shared" si="214"/>
        <v>1313.4166666666665</v>
      </c>
      <c r="S568" s="7">
        <v>6008</v>
      </c>
      <c r="T568" s="7">
        <v>9016</v>
      </c>
      <c r="U568" s="7">
        <v>0</v>
      </c>
      <c r="V568" s="103">
        <v>133648</v>
      </c>
      <c r="W568" s="7">
        <f t="shared" si="169"/>
        <v>127640</v>
      </c>
      <c r="X568" s="103">
        <f t="shared" si="170"/>
        <v>133648</v>
      </c>
      <c r="Y568" s="103"/>
      <c r="Z568" s="2"/>
      <c r="AA568" s="2"/>
      <c r="AB568" s="2"/>
      <c r="AC568" s="78">
        <v>115263</v>
      </c>
      <c r="AD568" s="103">
        <f t="shared" si="217"/>
        <v>133648</v>
      </c>
      <c r="AE568" s="192">
        <f t="shared" si="218"/>
        <v>0</v>
      </c>
      <c r="AF568" s="192">
        <f t="shared" si="219"/>
        <v>0</v>
      </c>
      <c r="AG568" s="20">
        <f t="shared" si="220"/>
        <v>0</v>
      </c>
      <c r="AH568" s="20">
        <f t="shared" si="221"/>
        <v>0</v>
      </c>
      <c r="AI568" s="3">
        <f t="shared" si="222"/>
        <v>115263</v>
      </c>
    </row>
    <row r="569" spans="1:35">
      <c r="A569" s="28">
        <v>46225</v>
      </c>
      <c r="B569" s="3">
        <v>201.08333333333334</v>
      </c>
      <c r="C569" s="3">
        <v>345.25</v>
      </c>
      <c r="D569" s="3">
        <v>97.5</v>
      </c>
      <c r="E569" s="3">
        <v>461.41666666666674</v>
      </c>
      <c r="F569" s="3">
        <v>259.5</v>
      </c>
      <c r="G569" s="3">
        <v>130.16666666666669</v>
      </c>
      <c r="H569" s="3">
        <v>37.583333333333336</v>
      </c>
      <c r="I569" s="3">
        <v>1722.6666666666665</v>
      </c>
      <c r="J569" s="3">
        <v>132.58333333333334</v>
      </c>
      <c r="K569" s="3">
        <v>1316.25</v>
      </c>
      <c r="L569" s="3">
        <v>76.916666666666657</v>
      </c>
      <c r="M569" s="3">
        <v>296.83333333333331</v>
      </c>
      <c r="N569" s="107">
        <f t="shared" si="215"/>
        <v>93.60105523907005</v>
      </c>
      <c r="O569" s="7">
        <f t="shared" si="216"/>
        <v>4074.8333333333335</v>
      </c>
      <c r="P569" s="7">
        <f t="shared" si="212"/>
        <v>3981.2322780942632</v>
      </c>
      <c r="Q569" s="7">
        <f t="shared" si="213"/>
        <v>1722.6666666666665</v>
      </c>
      <c r="R569" s="7">
        <f t="shared" si="214"/>
        <v>1222.6489447609299</v>
      </c>
      <c r="S569" s="7">
        <v>3169</v>
      </c>
      <c r="T569" s="7">
        <v>6355</v>
      </c>
      <c r="U569" s="7">
        <v>0</v>
      </c>
      <c r="V569" s="103">
        <v>147108</v>
      </c>
      <c r="W569" s="7">
        <f t="shared" si="169"/>
        <v>143939</v>
      </c>
      <c r="X569" s="103">
        <f t="shared" si="170"/>
        <v>147108</v>
      </c>
      <c r="Y569" s="103"/>
      <c r="Z569" s="2">
        <v>8922</v>
      </c>
      <c r="AA569" s="2"/>
      <c r="AB569" s="2"/>
      <c r="AC569" s="78">
        <v>119191</v>
      </c>
      <c r="AD569" s="103">
        <f t="shared" si="217"/>
        <v>147108</v>
      </c>
      <c r="AE569" s="192">
        <f t="shared" si="218"/>
        <v>7.1111912812208966E-2</v>
      </c>
      <c r="AF569" s="192">
        <f t="shared" si="219"/>
        <v>0</v>
      </c>
      <c r="AG569" s="20">
        <f t="shared" si="220"/>
        <v>93.60105523907005</v>
      </c>
      <c r="AH569" s="20">
        <f t="shared" si="221"/>
        <v>0</v>
      </c>
      <c r="AI569" s="3">
        <f t="shared" si="222"/>
        <v>110269</v>
      </c>
    </row>
    <row r="570" spans="1:35">
      <c r="A570" s="28">
        <v>46226</v>
      </c>
      <c r="B570" s="3">
        <v>202.5</v>
      </c>
      <c r="C570" s="3">
        <v>316.75</v>
      </c>
      <c r="D570" s="3">
        <v>90</v>
      </c>
      <c r="E570" s="3">
        <v>434.16666666666663</v>
      </c>
      <c r="F570" s="3">
        <v>287.5</v>
      </c>
      <c r="G570" s="3">
        <v>126.58333333333333</v>
      </c>
      <c r="H570" s="3">
        <v>39.5</v>
      </c>
      <c r="I570" s="3">
        <v>1731.0833333333333</v>
      </c>
      <c r="J570" s="3">
        <v>118</v>
      </c>
      <c r="K570" s="3">
        <v>1349.5833333333335</v>
      </c>
      <c r="L570" s="3">
        <v>68</v>
      </c>
      <c r="M570" s="3">
        <v>295.91666666666669</v>
      </c>
      <c r="N570" s="107">
        <f t="shared" si="215"/>
        <v>243.00165280144364</v>
      </c>
      <c r="O570" s="7">
        <f t="shared" si="216"/>
        <v>4095.4166666666665</v>
      </c>
      <c r="P570" s="7">
        <f t="shared" si="212"/>
        <v>3852.415013865223</v>
      </c>
      <c r="Q570" s="7">
        <f t="shared" si="213"/>
        <v>1600.2007169654735</v>
      </c>
      <c r="R570" s="7">
        <f t="shared" si="214"/>
        <v>1237.4642968997496</v>
      </c>
      <c r="S570" s="7">
        <v>3741</v>
      </c>
      <c r="T570" s="7">
        <v>4316</v>
      </c>
      <c r="U570" s="7">
        <v>0</v>
      </c>
      <c r="V570" s="103">
        <v>136204</v>
      </c>
      <c r="W570" s="7">
        <f t="shared" si="169"/>
        <v>132463</v>
      </c>
      <c r="X570" s="103">
        <f t="shared" si="170"/>
        <v>155842</v>
      </c>
      <c r="Y570" s="103"/>
      <c r="Z570" s="2">
        <v>12146</v>
      </c>
      <c r="AA570" s="2"/>
      <c r="AB570" s="2">
        <v>19638</v>
      </c>
      <c r="AC570" s="78">
        <v>138892</v>
      </c>
      <c r="AD570" s="103">
        <f t="shared" si="217"/>
        <v>155842</v>
      </c>
      <c r="AE570" s="192">
        <f t="shared" si="218"/>
        <v>8.3076779080148599E-2</v>
      </c>
      <c r="AF570" s="192">
        <f t="shared" si="219"/>
        <v>7.5607345901618314E-2</v>
      </c>
      <c r="AG570" s="20">
        <f t="shared" si="220"/>
        <v>112.11903643358389</v>
      </c>
      <c r="AH570" s="20">
        <f t="shared" si="221"/>
        <v>130.88261636785975</v>
      </c>
      <c r="AI570" s="3">
        <f t="shared" si="222"/>
        <v>126746</v>
      </c>
    </row>
    <row r="571" spans="1:35">
      <c r="A571" s="28">
        <v>46227</v>
      </c>
      <c r="B571" s="3">
        <v>217</v>
      </c>
      <c r="C571" s="3">
        <v>342</v>
      </c>
      <c r="D571" s="3">
        <v>90</v>
      </c>
      <c r="E571" s="3">
        <v>457.66666666666674</v>
      </c>
      <c r="F571" s="3">
        <v>257.58333333333337</v>
      </c>
      <c r="G571" s="3">
        <v>115.66666666666666</v>
      </c>
      <c r="H571" s="3">
        <v>39.5</v>
      </c>
      <c r="I571" s="3">
        <v>1792.4166666666667</v>
      </c>
      <c r="J571" s="3">
        <v>106.99999999999999</v>
      </c>
      <c r="K571" s="3">
        <v>1364.3333333333333</v>
      </c>
      <c r="L571" s="3">
        <v>63.333333333333329</v>
      </c>
      <c r="M571" s="3">
        <v>299.5</v>
      </c>
      <c r="N571" s="107">
        <f t="shared" si="215"/>
        <v>0</v>
      </c>
      <c r="O571" s="7">
        <f t="shared" si="216"/>
        <v>4170.333333333333</v>
      </c>
      <c r="P571" s="7">
        <f t="shared" si="212"/>
        <v>4170.333333333333</v>
      </c>
      <c r="Q571" s="7">
        <f t="shared" si="213"/>
        <v>1792.4166666666667</v>
      </c>
      <c r="R571" s="7">
        <f t="shared" si="214"/>
        <v>1364.3333333333333</v>
      </c>
      <c r="S571" s="7">
        <v>2924</v>
      </c>
      <c r="T571" s="7">
        <v>4042</v>
      </c>
      <c r="U571" s="7">
        <v>0</v>
      </c>
      <c r="V571" s="103">
        <v>140157</v>
      </c>
      <c r="W571" s="7">
        <f t="shared" si="169"/>
        <v>137233</v>
      </c>
      <c r="X571" s="103">
        <f t="shared" si="170"/>
        <v>140157</v>
      </c>
      <c r="Y571" s="103"/>
      <c r="Z571" s="2"/>
      <c r="AA571" s="2"/>
      <c r="AB571" s="2"/>
      <c r="AC571" s="78">
        <v>133621</v>
      </c>
      <c r="AD571" s="103">
        <f t="shared" si="217"/>
        <v>140157</v>
      </c>
      <c r="AE571" s="192">
        <f t="shared" si="218"/>
        <v>0</v>
      </c>
      <c r="AF571" s="192">
        <f t="shared" si="219"/>
        <v>0</v>
      </c>
      <c r="AG571" s="20">
        <f t="shared" si="220"/>
        <v>0</v>
      </c>
      <c r="AH571" s="20">
        <f t="shared" si="221"/>
        <v>0</v>
      </c>
      <c r="AI571" s="3">
        <f t="shared" si="222"/>
        <v>133621</v>
      </c>
    </row>
    <row r="572" spans="1:35">
      <c r="A572" s="28">
        <v>46228</v>
      </c>
      <c r="B572" s="3">
        <v>206.75000000000003</v>
      </c>
      <c r="C572" s="3">
        <v>279</v>
      </c>
      <c r="D572" s="3">
        <v>90</v>
      </c>
      <c r="E572" s="3">
        <v>269.5</v>
      </c>
      <c r="F572" s="3">
        <v>211.91666666666669</v>
      </c>
      <c r="G572" s="3">
        <v>0</v>
      </c>
      <c r="H572" s="3">
        <v>22.5</v>
      </c>
      <c r="I572" s="3">
        <v>1671.5</v>
      </c>
      <c r="J572" s="3">
        <v>97.5</v>
      </c>
      <c r="K572" s="3">
        <v>1320.2499999999998</v>
      </c>
      <c r="L572" s="3">
        <v>52.25</v>
      </c>
      <c r="M572" s="3">
        <v>272.41666666666663</v>
      </c>
      <c r="N572" s="107">
        <f t="shared" si="215"/>
        <v>0</v>
      </c>
      <c r="O572" s="7">
        <f t="shared" si="216"/>
        <v>3876.916666666667</v>
      </c>
      <c r="P572" s="7">
        <f t="shared" si="212"/>
        <v>3876.916666666667</v>
      </c>
      <c r="Q572" s="7">
        <f t="shared" si="213"/>
        <v>1671.5</v>
      </c>
      <c r="R572" s="7">
        <f t="shared" si="214"/>
        <v>1320.2499999999998</v>
      </c>
      <c r="S572" s="7">
        <v>2922</v>
      </c>
      <c r="T572" s="7">
        <v>4140</v>
      </c>
      <c r="U572" s="7">
        <v>0</v>
      </c>
      <c r="V572" s="103">
        <v>144687</v>
      </c>
      <c r="W572" s="7">
        <f t="shared" si="169"/>
        <v>141765</v>
      </c>
      <c r="X572" s="103">
        <f t="shared" si="170"/>
        <v>144687</v>
      </c>
      <c r="Y572" s="103"/>
      <c r="Z572" s="2"/>
      <c r="AA572" s="2"/>
      <c r="AB572" s="2"/>
      <c r="AC572" s="78">
        <v>136059</v>
      </c>
      <c r="AD572" s="103">
        <f t="shared" si="217"/>
        <v>144687</v>
      </c>
      <c r="AE572" s="192">
        <f t="shared" si="218"/>
        <v>0</v>
      </c>
      <c r="AF572" s="192">
        <f t="shared" si="219"/>
        <v>0</v>
      </c>
      <c r="AG572" s="20">
        <f t="shared" si="220"/>
        <v>0</v>
      </c>
      <c r="AH572" s="20">
        <f t="shared" si="221"/>
        <v>0</v>
      </c>
      <c r="AI572" s="3">
        <f t="shared" si="222"/>
        <v>136059</v>
      </c>
    </row>
    <row r="573" spans="1:35">
      <c r="A573" s="28">
        <v>46229</v>
      </c>
      <c r="B573" s="3">
        <v>165</v>
      </c>
      <c r="C573" s="3">
        <v>262.5</v>
      </c>
      <c r="D573" s="3">
        <v>82</v>
      </c>
      <c r="E573" s="3">
        <v>30</v>
      </c>
      <c r="F573" s="3">
        <v>180</v>
      </c>
      <c r="G573" s="3">
        <v>0</v>
      </c>
      <c r="H573" s="3">
        <v>22.5</v>
      </c>
      <c r="I573" s="3">
        <v>1390.3333333333333</v>
      </c>
      <c r="J573" s="3">
        <v>81.666666666666671</v>
      </c>
      <c r="K573" s="3">
        <v>1087.3333333333335</v>
      </c>
      <c r="L573" s="3">
        <v>0</v>
      </c>
      <c r="M573" s="3">
        <v>223.41666666666666</v>
      </c>
      <c r="N573" s="107">
        <f t="shared" si="215"/>
        <v>0</v>
      </c>
      <c r="O573" s="7">
        <f t="shared" si="216"/>
        <v>3248.833333333333</v>
      </c>
      <c r="P573" s="7">
        <f t="shared" si="212"/>
        <v>3248.8333333333335</v>
      </c>
      <c r="Q573" s="7">
        <f t="shared" si="213"/>
        <v>1390.3333333333333</v>
      </c>
      <c r="R573" s="7">
        <f t="shared" si="214"/>
        <v>1087.3333333333335</v>
      </c>
      <c r="S573" s="7">
        <v>1440</v>
      </c>
      <c r="T573" s="7">
        <v>3243</v>
      </c>
      <c r="U573" s="7">
        <v>0</v>
      </c>
      <c r="V573" s="103">
        <v>118866</v>
      </c>
      <c r="W573" s="7">
        <f t="shared" si="169"/>
        <v>117426</v>
      </c>
      <c r="X573" s="103">
        <f t="shared" si="170"/>
        <v>118866</v>
      </c>
      <c r="Y573" s="103"/>
      <c r="Z573" s="2"/>
      <c r="AA573" s="2"/>
      <c r="AB573" s="2"/>
      <c r="AC573" s="78">
        <v>106235</v>
      </c>
      <c r="AD573" s="103">
        <f t="shared" si="217"/>
        <v>118866</v>
      </c>
      <c r="AE573" s="192">
        <f t="shared" si="218"/>
        <v>0</v>
      </c>
      <c r="AF573" s="192">
        <f t="shared" si="219"/>
        <v>0</v>
      </c>
      <c r="AG573" s="20">
        <f t="shared" si="220"/>
        <v>0</v>
      </c>
      <c r="AH573" s="20">
        <f t="shared" si="221"/>
        <v>0</v>
      </c>
      <c r="AI573" s="3">
        <f t="shared" si="222"/>
        <v>106235</v>
      </c>
    </row>
    <row r="574" spans="1:35">
      <c r="A574" s="28">
        <v>46230</v>
      </c>
      <c r="B574" s="2">
        <v>225</v>
      </c>
      <c r="C574" s="2">
        <v>222</v>
      </c>
      <c r="D574" s="2">
        <v>82.5</v>
      </c>
      <c r="E574" s="2">
        <v>455.1666666666668</v>
      </c>
      <c r="F574" s="2">
        <v>260.25</v>
      </c>
      <c r="G574" s="2">
        <v>136.5</v>
      </c>
      <c r="H574" s="2">
        <v>47</v>
      </c>
      <c r="I574" s="2">
        <v>1765.6666666666665</v>
      </c>
      <c r="J574" s="2">
        <v>107.5</v>
      </c>
      <c r="K574" s="2">
        <v>1323.4166666666667</v>
      </c>
      <c r="L574" s="2">
        <v>92.833333333333329</v>
      </c>
      <c r="M574" s="2">
        <v>295.5</v>
      </c>
      <c r="N574" s="107">
        <f t="shared" ref="N574:N587" si="223">+AH574+AG574</f>
        <v>0</v>
      </c>
      <c r="O574" s="7">
        <f t="shared" ref="O574:O579" si="224">+B574+C574+D574+F574+I574+K574+J574</f>
        <v>3986.333333333333</v>
      </c>
      <c r="P574" s="7">
        <f t="shared" si="212"/>
        <v>3986.333333333333</v>
      </c>
      <c r="Q574" s="7">
        <f t="shared" si="213"/>
        <v>1765.6666666666665</v>
      </c>
      <c r="R574" s="7">
        <f t="shared" si="214"/>
        <v>1323.4166666666667</v>
      </c>
      <c r="S574" s="7">
        <v>910</v>
      </c>
      <c r="T574" s="7">
        <v>2452</v>
      </c>
      <c r="U574" s="7">
        <v>0</v>
      </c>
      <c r="V574" s="103">
        <v>136140</v>
      </c>
      <c r="W574" s="7">
        <f t="shared" si="169"/>
        <v>135230</v>
      </c>
      <c r="X574" s="103">
        <f t="shared" si="170"/>
        <v>136140</v>
      </c>
      <c r="Y574" s="103"/>
      <c r="Z574" s="2"/>
      <c r="AA574" s="2"/>
      <c r="AB574" s="2"/>
      <c r="AC574" s="78">
        <v>147358</v>
      </c>
      <c r="AD574" s="103">
        <f t="shared" si="217"/>
        <v>136140</v>
      </c>
      <c r="AE574" s="192">
        <f t="shared" ref="AE574:AE579" si="225">+(Z574/AC574*0.95)</f>
        <v>0</v>
      </c>
      <c r="AF574" s="192">
        <f t="shared" ref="AF574:AF579" si="226">+(AB574/AD574*0.6)</f>
        <v>0</v>
      </c>
      <c r="AG574" s="20">
        <f t="shared" si="220"/>
        <v>0</v>
      </c>
      <c r="AH574" s="20">
        <f t="shared" si="221"/>
        <v>0</v>
      </c>
      <c r="AI574" s="3">
        <f t="shared" ref="AI574:AI579" si="227">+AC574-Z574</f>
        <v>147358</v>
      </c>
    </row>
    <row r="575" spans="1:35">
      <c r="A575" s="28">
        <v>46231</v>
      </c>
      <c r="B575" s="2">
        <v>202.5</v>
      </c>
      <c r="C575" s="2">
        <v>343.75</v>
      </c>
      <c r="D575" s="2">
        <v>82.5</v>
      </c>
      <c r="E575" s="2">
        <v>434.4166666666668</v>
      </c>
      <c r="F575" s="2">
        <v>286</v>
      </c>
      <c r="G575" s="2">
        <v>136.25</v>
      </c>
      <c r="H575" s="2">
        <v>47</v>
      </c>
      <c r="I575" s="2">
        <v>1812.75</v>
      </c>
      <c r="J575" s="2">
        <v>118</v>
      </c>
      <c r="K575" s="2">
        <v>1350</v>
      </c>
      <c r="L575" s="2">
        <v>69.083333333333343</v>
      </c>
      <c r="M575" s="2">
        <v>297.91666666666669</v>
      </c>
      <c r="N575" s="107">
        <f t="shared" si="223"/>
        <v>0</v>
      </c>
      <c r="O575" s="7">
        <f t="shared" si="224"/>
        <v>4195.5</v>
      </c>
      <c r="P575" s="7">
        <f t="shared" si="212"/>
        <v>4195.5</v>
      </c>
      <c r="Q575" s="7">
        <f t="shared" si="213"/>
        <v>1812.75</v>
      </c>
      <c r="R575" s="7">
        <f t="shared" si="214"/>
        <v>1350</v>
      </c>
      <c r="S575" s="7">
        <v>5924</v>
      </c>
      <c r="T575" s="7">
        <v>6098</v>
      </c>
      <c r="U575" s="7">
        <v>0</v>
      </c>
      <c r="V575" s="103">
        <v>129830</v>
      </c>
      <c r="W575" s="7">
        <f t="shared" si="169"/>
        <v>123906</v>
      </c>
      <c r="X575" s="103">
        <f t="shared" si="170"/>
        <v>129830</v>
      </c>
      <c r="Y575" s="103"/>
      <c r="Z575" s="2"/>
      <c r="AA575" s="2"/>
      <c r="AB575" s="2"/>
      <c r="AC575" s="78">
        <v>137554</v>
      </c>
      <c r="AD575" s="103">
        <f t="shared" si="217"/>
        <v>129830</v>
      </c>
      <c r="AE575" s="192">
        <f t="shared" si="225"/>
        <v>0</v>
      </c>
      <c r="AF575" s="192">
        <f t="shared" si="226"/>
        <v>0</v>
      </c>
      <c r="AG575" s="20">
        <f t="shared" si="220"/>
        <v>0</v>
      </c>
      <c r="AH575" s="20">
        <f t="shared" si="221"/>
        <v>0</v>
      </c>
      <c r="AI575" s="3">
        <f t="shared" si="227"/>
        <v>137554</v>
      </c>
    </row>
    <row r="576" spans="1:35">
      <c r="A576" s="28">
        <v>46232</v>
      </c>
      <c r="B576" s="2">
        <v>135</v>
      </c>
      <c r="C576" s="2">
        <v>390.08333333333331</v>
      </c>
      <c r="D576" s="2">
        <v>87</v>
      </c>
      <c r="E576" s="2">
        <v>444.25000000000006</v>
      </c>
      <c r="F576" s="2">
        <v>279.83333333333337</v>
      </c>
      <c r="G576" s="2">
        <v>144.5</v>
      </c>
      <c r="H576" s="2">
        <v>39.5</v>
      </c>
      <c r="I576" s="2">
        <v>1833.25</v>
      </c>
      <c r="J576" s="2">
        <v>114.58333333333333</v>
      </c>
      <c r="K576" s="2">
        <v>1293.9166666666665</v>
      </c>
      <c r="L576" s="2">
        <v>63</v>
      </c>
      <c r="M576" s="2">
        <v>297.75</v>
      </c>
      <c r="N576" s="107">
        <f t="shared" si="223"/>
        <v>0</v>
      </c>
      <c r="O576" s="7">
        <f t="shared" si="224"/>
        <v>4133.6666666666661</v>
      </c>
      <c r="P576" s="7">
        <f t="shared" si="212"/>
        <v>4133.6666666666661</v>
      </c>
      <c r="Q576" s="7">
        <f t="shared" si="213"/>
        <v>1833.25</v>
      </c>
      <c r="R576" s="7">
        <f t="shared" si="214"/>
        <v>1293.9166666666665</v>
      </c>
      <c r="S576" s="7">
        <v>2462</v>
      </c>
      <c r="T576" s="7">
        <v>2651</v>
      </c>
      <c r="U576" s="7">
        <v>0</v>
      </c>
      <c r="V576" s="103">
        <v>146201</v>
      </c>
      <c r="W576" s="7">
        <f t="shared" si="169"/>
        <v>143739</v>
      </c>
      <c r="X576" s="103">
        <f t="shared" si="170"/>
        <v>146201</v>
      </c>
      <c r="Y576" s="103"/>
      <c r="Z576" s="2"/>
      <c r="AA576" s="2"/>
      <c r="AB576" s="2"/>
      <c r="AC576" s="78">
        <v>133519</v>
      </c>
      <c r="AD576" s="103">
        <f t="shared" si="217"/>
        <v>146201</v>
      </c>
      <c r="AE576" s="192">
        <f t="shared" si="225"/>
        <v>0</v>
      </c>
      <c r="AF576" s="192">
        <f t="shared" si="226"/>
        <v>0</v>
      </c>
      <c r="AG576" s="20">
        <f t="shared" si="220"/>
        <v>0</v>
      </c>
      <c r="AH576" s="20">
        <f t="shared" si="221"/>
        <v>0</v>
      </c>
      <c r="AI576" s="3">
        <f t="shared" si="227"/>
        <v>133519</v>
      </c>
    </row>
    <row r="577" spans="1:37">
      <c r="A577" s="28">
        <v>46233</v>
      </c>
      <c r="B577" s="2">
        <v>212.91666666666669</v>
      </c>
      <c r="C577" s="2">
        <v>365.66666666666669</v>
      </c>
      <c r="D577" s="2">
        <v>90</v>
      </c>
      <c r="E577" s="2">
        <v>430.1666666666668</v>
      </c>
      <c r="F577" s="2">
        <v>267</v>
      </c>
      <c r="G577" s="2">
        <v>137.25</v>
      </c>
      <c r="H577" s="2">
        <v>39.5</v>
      </c>
      <c r="I577" s="2">
        <v>1874.7499999999998</v>
      </c>
      <c r="J577" s="2">
        <v>129.16666666666669</v>
      </c>
      <c r="K577" s="2">
        <v>1396.3333333333335</v>
      </c>
      <c r="L577" s="2">
        <v>74.5</v>
      </c>
      <c r="M577" s="2">
        <v>288.66666666666663</v>
      </c>
      <c r="N577" s="107">
        <f t="shared" si="223"/>
        <v>0</v>
      </c>
      <c r="O577" s="7">
        <f t="shared" si="224"/>
        <v>4335.833333333333</v>
      </c>
      <c r="P577" s="7">
        <f t="shared" si="212"/>
        <v>4335.8333333333339</v>
      </c>
      <c r="Q577" s="7">
        <f t="shared" si="213"/>
        <v>1874.7499999999998</v>
      </c>
      <c r="R577" s="7">
        <f t="shared" si="214"/>
        <v>1396.3333333333335</v>
      </c>
      <c r="S577" s="7">
        <v>4681</v>
      </c>
      <c r="T577" s="7">
        <v>5332</v>
      </c>
      <c r="U577" s="7">
        <v>0</v>
      </c>
      <c r="V577" s="103">
        <v>136909</v>
      </c>
      <c r="W577" s="7">
        <f t="shared" si="169"/>
        <v>132228</v>
      </c>
      <c r="X577" s="103">
        <f t="shared" si="170"/>
        <v>136909</v>
      </c>
      <c r="Y577" s="103"/>
      <c r="Z577" s="2"/>
      <c r="AA577" s="2"/>
      <c r="AB577" s="2"/>
      <c r="AC577" s="78">
        <v>139467</v>
      </c>
      <c r="AD577" s="103">
        <f t="shared" si="217"/>
        <v>136909</v>
      </c>
      <c r="AE577" s="192">
        <f t="shared" si="225"/>
        <v>0</v>
      </c>
      <c r="AF577" s="192">
        <f t="shared" si="226"/>
        <v>0</v>
      </c>
      <c r="AG577" s="20">
        <f t="shared" si="220"/>
        <v>0</v>
      </c>
      <c r="AH577" s="20">
        <f t="shared" si="221"/>
        <v>0</v>
      </c>
      <c r="AI577" s="3">
        <f t="shared" si="227"/>
        <v>139467</v>
      </c>
    </row>
    <row r="578" spans="1:37">
      <c r="A578" s="28">
        <v>46234</v>
      </c>
      <c r="B578" s="2">
        <v>139.91666666666666</v>
      </c>
      <c r="C578" s="2">
        <v>435.08333333333331</v>
      </c>
      <c r="D578" s="2">
        <v>67.5</v>
      </c>
      <c r="E578" s="2">
        <v>437.41666666666674</v>
      </c>
      <c r="F578" s="2">
        <v>270.75</v>
      </c>
      <c r="G578" s="2">
        <v>147.91666666666669</v>
      </c>
      <c r="H578" s="2">
        <v>24.5</v>
      </c>
      <c r="I578" s="2">
        <v>1930.0833333333333</v>
      </c>
      <c r="J578" s="2">
        <v>133</v>
      </c>
      <c r="K578" s="2">
        <v>1427.6666666666665</v>
      </c>
      <c r="L578" s="2">
        <v>59.75</v>
      </c>
      <c r="M578" s="2">
        <v>302.16666666666663</v>
      </c>
      <c r="N578" s="107">
        <f t="shared" si="223"/>
        <v>0</v>
      </c>
      <c r="O578" s="7">
        <f t="shared" si="224"/>
        <v>4404</v>
      </c>
      <c r="P578" s="7">
        <f t="shared" si="212"/>
        <v>4404</v>
      </c>
      <c r="Q578" s="7">
        <f t="shared" si="213"/>
        <v>1930.0833333333333</v>
      </c>
      <c r="R578" s="7">
        <f t="shared" si="214"/>
        <v>1427.6666666666665</v>
      </c>
      <c r="S578" s="7">
        <v>4008</v>
      </c>
      <c r="T578" s="7">
        <v>4217</v>
      </c>
      <c r="U578" s="7">
        <v>0</v>
      </c>
      <c r="V578" s="103">
        <v>139121</v>
      </c>
      <c r="W578" s="7">
        <f t="shared" si="169"/>
        <v>135113</v>
      </c>
      <c r="X578" s="103">
        <f t="shared" si="170"/>
        <v>139121</v>
      </c>
      <c r="Y578" s="103"/>
      <c r="Z578" s="2"/>
      <c r="AA578" s="2"/>
      <c r="AB578" s="2"/>
      <c r="AC578" s="78">
        <v>142653</v>
      </c>
      <c r="AD578" s="103">
        <f t="shared" si="217"/>
        <v>139121</v>
      </c>
      <c r="AE578" s="192">
        <f t="shared" si="225"/>
        <v>0</v>
      </c>
      <c r="AF578" s="192">
        <f t="shared" si="226"/>
        <v>0</v>
      </c>
      <c r="AG578" s="20">
        <f t="shared" si="220"/>
        <v>0</v>
      </c>
      <c r="AH578" s="20">
        <f t="shared" si="221"/>
        <v>0</v>
      </c>
      <c r="AI578" s="3">
        <f t="shared" si="227"/>
        <v>142653</v>
      </c>
    </row>
    <row r="579" spans="1:37" ht="16.8">
      <c r="A579" s="28">
        <v>46235</v>
      </c>
      <c r="B579" s="2">
        <v>135.99999999999997</v>
      </c>
      <c r="C579" s="2">
        <v>582.08333333333337</v>
      </c>
      <c r="D579" s="2">
        <v>67.5</v>
      </c>
      <c r="E579" s="2">
        <v>284.25</v>
      </c>
      <c r="F579" s="2">
        <v>217.5</v>
      </c>
      <c r="G579" s="2">
        <v>0</v>
      </c>
      <c r="H579" s="2">
        <v>15</v>
      </c>
      <c r="I579" s="2">
        <v>1810.5833333333333</v>
      </c>
      <c r="J579" s="2">
        <v>104.49999999999999</v>
      </c>
      <c r="K579" s="2">
        <v>1331.5</v>
      </c>
      <c r="L579" s="2">
        <v>59.75</v>
      </c>
      <c r="M579" s="2">
        <v>271.33333333333337</v>
      </c>
      <c r="N579" s="107">
        <f t="shared" si="223"/>
        <v>0</v>
      </c>
      <c r="O579" s="7">
        <f t="shared" si="224"/>
        <v>4249.6666666666661</v>
      </c>
      <c r="P579" s="7">
        <f t="shared" si="212"/>
        <v>4249.6666666666661</v>
      </c>
      <c r="Q579" s="7">
        <f t="shared" si="213"/>
        <v>1810.5833333333333</v>
      </c>
      <c r="R579" s="7">
        <f t="shared" si="214"/>
        <v>1331.5</v>
      </c>
      <c r="S579" s="7">
        <v>2441</v>
      </c>
      <c r="T579" s="7">
        <v>3117</v>
      </c>
      <c r="U579" s="7">
        <v>0</v>
      </c>
      <c r="V579" s="103">
        <v>131146</v>
      </c>
      <c r="W579" s="7">
        <f t="shared" ref="W579:W606" si="228">+V579-U579-S579+AA579</f>
        <v>128705</v>
      </c>
      <c r="X579" s="103">
        <f t="shared" ref="X579:X628" si="229">+V579+AB579+AA579</f>
        <v>131146</v>
      </c>
      <c r="Y579" s="103"/>
      <c r="Z579" s="164"/>
      <c r="AA579" s="164"/>
      <c r="AB579" s="2"/>
      <c r="AC579" s="78">
        <v>96654</v>
      </c>
      <c r="AD579" s="103">
        <f t="shared" si="217"/>
        <v>131146</v>
      </c>
      <c r="AE579" s="192">
        <f t="shared" si="225"/>
        <v>0</v>
      </c>
      <c r="AF579" s="192">
        <f t="shared" si="226"/>
        <v>0</v>
      </c>
      <c r="AG579" s="20">
        <f t="shared" si="220"/>
        <v>0</v>
      </c>
      <c r="AH579" s="20">
        <f t="shared" si="221"/>
        <v>0</v>
      </c>
      <c r="AI579" s="3">
        <f t="shared" si="227"/>
        <v>96654</v>
      </c>
    </row>
    <row r="580" spans="1:37" ht="16.8">
      <c r="A580" s="28">
        <v>46236</v>
      </c>
      <c r="B580"/>
      <c r="C580"/>
      <c r="D580"/>
      <c r="E580"/>
      <c r="F580"/>
      <c r="G580"/>
      <c r="H580"/>
      <c r="I580"/>
      <c r="J580"/>
      <c r="K580"/>
      <c r="L580"/>
      <c r="M580"/>
      <c r="N580" s="107">
        <f t="shared" si="223"/>
        <v>0</v>
      </c>
      <c r="O580" s="7">
        <f t="shared" ref="O580:O587" si="230">+B580+C580+D580+F580+I580+K580+J580</f>
        <v>0</v>
      </c>
      <c r="P580" s="7">
        <f t="shared" si="212"/>
        <v>0</v>
      </c>
      <c r="Q580" s="7">
        <f t="shared" si="213"/>
        <v>0</v>
      </c>
      <c r="R580" s="7">
        <f t="shared" si="214"/>
        <v>0</v>
      </c>
      <c r="T580" s="7"/>
      <c r="U580" s="7">
        <v>0</v>
      </c>
      <c r="V580" s="103"/>
      <c r="W580" s="7">
        <f t="shared" si="228"/>
        <v>0</v>
      </c>
      <c r="X580" s="103">
        <f t="shared" si="229"/>
        <v>0</v>
      </c>
      <c r="Y580" s="103"/>
      <c r="Z580" s="2"/>
      <c r="AA580" s="164"/>
      <c r="AB580" s="2"/>
      <c r="AD580" s="103">
        <f t="shared" si="217"/>
        <v>0</v>
      </c>
      <c r="AE580" s="192"/>
      <c r="AF580" s="192"/>
      <c r="AG580" s="20"/>
      <c r="AH580" s="20"/>
      <c r="AI580" s="3"/>
    </row>
    <row r="581" spans="1:37" s="45" customFormat="1">
      <c r="A581" s="43">
        <v>46237</v>
      </c>
      <c r="B581" s="172">
        <v>195</v>
      </c>
      <c r="C581" s="172">
        <v>338.58333333333331</v>
      </c>
      <c r="D581" s="172">
        <v>82.5</v>
      </c>
      <c r="E581" s="172">
        <v>421.75</v>
      </c>
      <c r="F581" s="172">
        <v>234.16666666666666</v>
      </c>
      <c r="G581" s="172">
        <v>132.58333333333331</v>
      </c>
      <c r="H581" s="172">
        <v>55.5</v>
      </c>
      <c r="I581" s="172">
        <v>1863.5833333333333</v>
      </c>
      <c r="J581" s="172">
        <v>117</v>
      </c>
      <c r="K581" s="172">
        <v>1332.3333333333335</v>
      </c>
      <c r="L581" s="172">
        <v>89.666666666666671</v>
      </c>
      <c r="M581" s="172">
        <v>319.99999999999994</v>
      </c>
      <c r="N581" s="170">
        <f t="shared" si="223"/>
        <v>0</v>
      </c>
      <c r="O581" s="30">
        <f t="shared" si="230"/>
        <v>4163.1666666666661</v>
      </c>
      <c r="P581" s="30">
        <f t="shared" si="212"/>
        <v>4163.1666666666661</v>
      </c>
      <c r="Q581" s="30">
        <f t="shared" si="213"/>
        <v>1863.5833333333333</v>
      </c>
      <c r="R581" s="30">
        <f t="shared" si="214"/>
        <v>1332.3333333333335</v>
      </c>
      <c r="S581" s="30">
        <v>1129</v>
      </c>
      <c r="T581" s="30">
        <v>1799</v>
      </c>
      <c r="U581" s="30">
        <v>0</v>
      </c>
      <c r="V581" s="171">
        <v>133649</v>
      </c>
      <c r="W581" s="30">
        <f t="shared" si="228"/>
        <v>133177</v>
      </c>
      <c r="X581" s="171">
        <f t="shared" si="229"/>
        <v>134306</v>
      </c>
      <c r="Y581" s="171">
        <f>+X581-AB581</f>
        <v>134306</v>
      </c>
      <c r="Z581" s="172"/>
      <c r="AA581" s="171">
        <v>657</v>
      </c>
      <c r="AB581" s="172"/>
      <c r="AC581" s="227">
        <v>130500</v>
      </c>
      <c r="AD581" s="171">
        <f t="shared" si="217"/>
        <v>134306</v>
      </c>
      <c r="AE581" s="228">
        <f t="shared" ref="AE581:AE587" si="231">+(Z581/AC581*0.95)</f>
        <v>0</v>
      </c>
      <c r="AF581" s="228">
        <f t="shared" ref="AF581:AF587" si="232">+(AB581/AD581*0.6)</f>
        <v>0</v>
      </c>
      <c r="AG581" s="175">
        <f t="shared" ref="AG581:AG593" si="233">+AE581*K581</f>
        <v>0</v>
      </c>
      <c r="AH581" s="175">
        <f t="shared" ref="AH581:AH593" si="234">+AF581*I581</f>
        <v>0</v>
      </c>
      <c r="AI581" s="169">
        <f>+AC581-Z581</f>
        <v>130500</v>
      </c>
      <c r="AJ581" s="229">
        <f>+AA581/AD581</f>
        <v>4.8918142152993907E-3</v>
      </c>
      <c r="AK581" s="229"/>
    </row>
    <row r="582" spans="1:37">
      <c r="A582" s="28">
        <v>46238</v>
      </c>
      <c r="B582" s="2">
        <v>225</v>
      </c>
      <c r="C582" s="2">
        <v>337.25</v>
      </c>
      <c r="D582" s="2">
        <v>75</v>
      </c>
      <c r="E582" s="2">
        <v>388.66666666666674</v>
      </c>
      <c r="F582" s="2">
        <v>261</v>
      </c>
      <c r="G582" s="2">
        <v>135.25</v>
      </c>
      <c r="H582" s="2">
        <v>55.5</v>
      </c>
      <c r="I582" s="2">
        <v>1843.5833333333333</v>
      </c>
      <c r="J582" s="2">
        <v>111.08333333333333</v>
      </c>
      <c r="K582" s="2">
        <v>1308.6666666666665</v>
      </c>
      <c r="L582" s="2">
        <v>84.25</v>
      </c>
      <c r="M582" s="2">
        <v>300.66666666666663</v>
      </c>
      <c r="N582" s="107">
        <f t="shared" si="223"/>
        <v>0</v>
      </c>
      <c r="O582" s="7">
        <f t="shared" si="230"/>
        <v>4161.583333333333</v>
      </c>
      <c r="P582" s="7">
        <f t="shared" si="212"/>
        <v>4161.583333333333</v>
      </c>
      <c r="Q582" s="7">
        <f t="shared" si="213"/>
        <v>1843.5833333333333</v>
      </c>
      <c r="R582" s="7">
        <f t="shared" si="214"/>
        <v>1308.6666666666665</v>
      </c>
      <c r="S582" s="7">
        <v>2415</v>
      </c>
      <c r="T582" s="7">
        <v>3802</v>
      </c>
      <c r="U582" s="7">
        <v>0</v>
      </c>
      <c r="V582" s="103">
        <v>117862</v>
      </c>
      <c r="W582" s="7">
        <f t="shared" si="228"/>
        <v>121636</v>
      </c>
      <c r="X582" s="103">
        <f t="shared" si="229"/>
        <v>124051</v>
      </c>
      <c r="Y582" s="103">
        <f t="shared" ref="Y582:Y628" si="235">+X582-AB582</f>
        <v>124051</v>
      </c>
      <c r="Z582" s="2"/>
      <c r="AA582" s="103">
        <v>6189</v>
      </c>
      <c r="AB582" s="2"/>
      <c r="AC582" s="78">
        <v>120146</v>
      </c>
      <c r="AD582" s="103">
        <f t="shared" si="217"/>
        <v>124051</v>
      </c>
      <c r="AE582" s="192">
        <f t="shared" si="231"/>
        <v>0</v>
      </c>
      <c r="AF582" s="192">
        <f t="shared" si="232"/>
        <v>0</v>
      </c>
      <c r="AG582" s="20">
        <f t="shared" si="233"/>
        <v>0</v>
      </c>
      <c r="AH582" s="20">
        <f t="shared" si="234"/>
        <v>0</v>
      </c>
      <c r="AI582" s="3">
        <f t="shared" ref="AI582:AI587" si="236">+AC582-Z582</f>
        <v>120146</v>
      </c>
      <c r="AJ582" s="31">
        <f t="shared" ref="AJ582:AJ601" si="237">+AA582/AD582</f>
        <v>4.9890770731392732E-2</v>
      </c>
      <c r="AK582" s="31"/>
    </row>
    <row r="583" spans="1:37">
      <c r="A583" s="28">
        <v>46239</v>
      </c>
      <c r="B583" s="2">
        <v>217.5</v>
      </c>
      <c r="C583" s="2">
        <v>364.25</v>
      </c>
      <c r="D583" s="2">
        <v>73.583333333333343</v>
      </c>
      <c r="E583" s="2">
        <v>400.58333333333337</v>
      </c>
      <c r="F583" s="2">
        <v>236.75</v>
      </c>
      <c r="G583" s="2">
        <v>126.91666666666667</v>
      </c>
      <c r="H583" s="2">
        <v>44.25</v>
      </c>
      <c r="I583" s="2">
        <v>1943.4166666666667</v>
      </c>
      <c r="J583" s="2">
        <v>113.24999999999999</v>
      </c>
      <c r="K583" s="2">
        <v>1298.3333333333333</v>
      </c>
      <c r="L583" s="2">
        <v>73.916666666666671</v>
      </c>
      <c r="M583" s="2">
        <v>315.83333333333331</v>
      </c>
      <c r="N583" s="107">
        <f t="shared" si="223"/>
        <v>81.084006116722293</v>
      </c>
      <c r="O583" s="7">
        <f t="shared" si="230"/>
        <v>4247.083333333333</v>
      </c>
      <c r="P583" s="7">
        <f t="shared" si="212"/>
        <v>4165.9993272166112</v>
      </c>
      <c r="Q583" s="7">
        <f t="shared" si="213"/>
        <v>1943.4166666666667</v>
      </c>
      <c r="R583" s="7">
        <f t="shared" si="214"/>
        <v>1217.2493272166109</v>
      </c>
      <c r="S583" s="7">
        <v>2581</v>
      </c>
      <c r="T583" s="7">
        <v>3251</v>
      </c>
      <c r="U583" s="7">
        <v>0</v>
      </c>
      <c r="V583" s="103">
        <v>148488</v>
      </c>
      <c r="W583" s="7">
        <f t="shared" si="228"/>
        <v>147041</v>
      </c>
      <c r="X583" s="103">
        <f t="shared" si="229"/>
        <v>149622</v>
      </c>
      <c r="Y583" s="103">
        <f t="shared" si="235"/>
        <v>149622</v>
      </c>
      <c r="Z583" s="2">
        <v>7817</v>
      </c>
      <c r="AA583" s="103">
        <v>1134</v>
      </c>
      <c r="AB583" s="2"/>
      <c r="AC583" s="78">
        <v>118909</v>
      </c>
      <c r="AD583" s="103">
        <f t="shared" si="217"/>
        <v>149622</v>
      </c>
      <c r="AE583" s="192">
        <f t="shared" si="231"/>
        <v>6.2452379550748886E-2</v>
      </c>
      <c r="AF583" s="192">
        <f t="shared" si="232"/>
        <v>0</v>
      </c>
      <c r="AG583" s="20">
        <f t="shared" si="233"/>
        <v>81.084006116722293</v>
      </c>
      <c r="AH583" s="20">
        <f t="shared" si="234"/>
        <v>0</v>
      </c>
      <c r="AI583" s="3">
        <f t="shared" si="236"/>
        <v>111092</v>
      </c>
      <c r="AJ583" s="31">
        <f t="shared" si="237"/>
        <v>7.5790993303123874E-3</v>
      </c>
      <c r="AK583" s="31"/>
    </row>
    <row r="584" spans="1:37">
      <c r="A584" s="28">
        <v>46240</v>
      </c>
      <c r="B584" s="2">
        <v>207.66666666666666</v>
      </c>
      <c r="C584" s="2">
        <v>398.58333333333331</v>
      </c>
      <c r="D584" s="2">
        <v>84.666666666666657</v>
      </c>
      <c r="E584" s="2">
        <v>402.41666666666674</v>
      </c>
      <c r="F584" s="2">
        <v>263.16666666666663</v>
      </c>
      <c r="G584" s="2">
        <v>134.41666666666666</v>
      </c>
      <c r="H584" s="2">
        <v>39.5</v>
      </c>
      <c r="I584" s="2">
        <v>1913.25</v>
      </c>
      <c r="J584" s="2">
        <v>97.5</v>
      </c>
      <c r="K584" s="2">
        <v>1359.75</v>
      </c>
      <c r="L584" s="2">
        <v>93</v>
      </c>
      <c r="M584" s="2">
        <v>314.41666666666669</v>
      </c>
      <c r="N584" s="107">
        <f t="shared" si="223"/>
        <v>200.45807119083551</v>
      </c>
      <c r="O584" s="7">
        <f t="shared" si="230"/>
        <v>4324.583333333333</v>
      </c>
      <c r="P584" s="7">
        <f t="shared" si="212"/>
        <v>4124.1252621424974</v>
      </c>
      <c r="Q584" s="7">
        <f t="shared" si="213"/>
        <v>1859.9596101637262</v>
      </c>
      <c r="R584" s="7">
        <f t="shared" si="214"/>
        <v>1212.5823186454384</v>
      </c>
      <c r="S584" s="7">
        <v>1451</v>
      </c>
      <c r="T584" s="7">
        <v>1583</v>
      </c>
      <c r="U584" s="7">
        <v>0</v>
      </c>
      <c r="V584" s="103">
        <v>148575</v>
      </c>
      <c r="W584" s="7">
        <f t="shared" si="228"/>
        <v>147125</v>
      </c>
      <c r="X584" s="103">
        <f t="shared" si="229"/>
        <v>155809</v>
      </c>
      <c r="Y584" s="103">
        <f t="shared" si="235"/>
        <v>148576</v>
      </c>
      <c r="Z584" s="2">
        <v>14934</v>
      </c>
      <c r="AA584" s="103">
        <v>1</v>
      </c>
      <c r="AB584" s="2">
        <v>7233</v>
      </c>
      <c r="AC584" s="78">
        <v>131083</v>
      </c>
      <c r="AD584" s="103">
        <f t="shared" si="217"/>
        <v>155809</v>
      </c>
      <c r="AE584" s="192">
        <f t="shared" si="231"/>
        <v>0.10823142589046635</v>
      </c>
      <c r="AF584" s="192">
        <f t="shared" si="232"/>
        <v>2.7853333247758471E-2</v>
      </c>
      <c r="AG584" s="20">
        <f t="shared" si="233"/>
        <v>147.16768135456161</v>
      </c>
      <c r="AH584" s="20">
        <f t="shared" si="234"/>
        <v>53.290389836273896</v>
      </c>
      <c r="AI584" s="3">
        <f t="shared" si="236"/>
        <v>116149</v>
      </c>
      <c r="AJ584" s="31">
        <f t="shared" si="237"/>
        <v>6.4181144863262075E-6</v>
      </c>
      <c r="AK584" s="31"/>
    </row>
    <row r="585" spans="1:37">
      <c r="A585" s="28">
        <v>46241</v>
      </c>
      <c r="B585" s="2">
        <v>209.25</v>
      </c>
      <c r="C585" s="2">
        <v>381.66666666666669</v>
      </c>
      <c r="D585" s="2">
        <v>85.25</v>
      </c>
      <c r="E585" s="2">
        <v>356.75</v>
      </c>
      <c r="F585" s="2">
        <v>324</v>
      </c>
      <c r="G585" s="2">
        <v>114.91666666666667</v>
      </c>
      <c r="H585" s="2">
        <v>57.25</v>
      </c>
      <c r="I585" s="2">
        <v>1798.1666666666665</v>
      </c>
      <c r="J585" s="2">
        <v>117</v>
      </c>
      <c r="K585" s="2">
        <v>1286.25</v>
      </c>
      <c r="L585" s="2">
        <v>70.5</v>
      </c>
      <c r="M585" s="2">
        <v>294.16666666666674</v>
      </c>
      <c r="N585" s="107">
        <f t="shared" si="223"/>
        <v>134.57560771350535</v>
      </c>
      <c r="O585" s="7">
        <f t="shared" si="230"/>
        <v>4201.583333333333</v>
      </c>
      <c r="P585" s="7">
        <f t="shared" si="212"/>
        <v>4067.0077256198283</v>
      </c>
      <c r="Q585" s="7">
        <f t="shared" si="213"/>
        <v>1688.2988088881586</v>
      </c>
      <c r="R585" s="7">
        <f t="shared" si="214"/>
        <v>1261.5422500650027</v>
      </c>
      <c r="S585" s="7">
        <v>6868</v>
      </c>
      <c r="T585" s="7">
        <v>8217</v>
      </c>
      <c r="U585" s="7">
        <v>0</v>
      </c>
      <c r="V585" s="103">
        <v>127315</v>
      </c>
      <c r="W585" s="7">
        <f t="shared" si="228"/>
        <v>124338</v>
      </c>
      <c r="X585" s="103">
        <f t="shared" si="229"/>
        <v>146082</v>
      </c>
      <c r="Y585" s="103">
        <f t="shared" si="235"/>
        <v>131206</v>
      </c>
      <c r="Z585" s="2">
        <v>2333</v>
      </c>
      <c r="AA585" s="103">
        <v>3891</v>
      </c>
      <c r="AB585" s="2">
        <v>14876</v>
      </c>
      <c r="AC585" s="78">
        <v>115380</v>
      </c>
      <c r="AD585" s="103">
        <f t="shared" si="217"/>
        <v>146082</v>
      </c>
      <c r="AE585" s="192">
        <f t="shared" si="231"/>
        <v>1.9209135032067948E-2</v>
      </c>
      <c r="AF585" s="192">
        <f t="shared" si="232"/>
        <v>6.1099930176202404E-2</v>
      </c>
      <c r="AG585" s="20">
        <f t="shared" si="233"/>
        <v>24.707749934997398</v>
      </c>
      <c r="AH585" s="20">
        <f t="shared" si="234"/>
        <v>109.86785777850794</v>
      </c>
      <c r="AI585" s="3">
        <f t="shared" si="236"/>
        <v>113047</v>
      </c>
      <c r="AJ585" s="31">
        <f t="shared" si="237"/>
        <v>2.6635725140674416E-2</v>
      </c>
      <c r="AK585" s="31"/>
    </row>
    <row r="586" spans="1:37">
      <c r="A586" s="28">
        <v>46242</v>
      </c>
      <c r="B586" s="2">
        <v>202.5</v>
      </c>
      <c r="C586" s="2">
        <v>358.33333333333337</v>
      </c>
      <c r="D586" s="2">
        <v>70.5</v>
      </c>
      <c r="E586" s="2">
        <v>236.66666666666669</v>
      </c>
      <c r="F586" s="2">
        <v>223.5</v>
      </c>
      <c r="G586" s="2">
        <v>0</v>
      </c>
      <c r="H586" s="2">
        <v>22.5</v>
      </c>
      <c r="I586" s="2">
        <v>1835.4166666666667</v>
      </c>
      <c r="J586" s="2">
        <v>82.5</v>
      </c>
      <c r="K586" s="2">
        <v>1268.2499999999998</v>
      </c>
      <c r="L586" s="2">
        <v>60</v>
      </c>
      <c r="M586" s="2">
        <v>249</v>
      </c>
      <c r="N586" s="107">
        <f t="shared" si="223"/>
        <v>0</v>
      </c>
      <c r="O586" s="7">
        <f t="shared" si="230"/>
        <v>4041</v>
      </c>
      <c r="P586" s="7">
        <f t="shared" si="212"/>
        <v>4041</v>
      </c>
      <c r="Q586" s="7">
        <f t="shared" si="213"/>
        <v>1835.4166666666667</v>
      </c>
      <c r="R586" s="7">
        <f t="shared" si="214"/>
        <v>1268.2499999999998</v>
      </c>
      <c r="S586" s="7">
        <v>2254</v>
      </c>
      <c r="T586" s="7">
        <v>3319</v>
      </c>
      <c r="U586" s="7">
        <v>0</v>
      </c>
      <c r="V586" s="103">
        <v>145319</v>
      </c>
      <c r="W586" s="7">
        <f t="shared" si="228"/>
        <v>147369</v>
      </c>
      <c r="X586" s="103">
        <f t="shared" si="229"/>
        <v>149623</v>
      </c>
      <c r="Y586" s="103">
        <f t="shared" si="235"/>
        <v>149623</v>
      </c>
      <c r="Z586" s="2"/>
      <c r="AA586" s="103">
        <v>4304</v>
      </c>
      <c r="AB586" s="2"/>
      <c r="AC586" s="78">
        <v>117434</v>
      </c>
      <c r="AD586" s="103">
        <f t="shared" si="217"/>
        <v>149623</v>
      </c>
      <c r="AE586" s="192">
        <f t="shared" si="231"/>
        <v>0</v>
      </c>
      <c r="AF586" s="192">
        <f t="shared" si="232"/>
        <v>0</v>
      </c>
      <c r="AG586" s="20">
        <f t="shared" si="233"/>
        <v>0</v>
      </c>
      <c r="AH586" s="20">
        <f t="shared" si="234"/>
        <v>0</v>
      </c>
      <c r="AI586" s="3">
        <f t="shared" si="236"/>
        <v>117434</v>
      </c>
      <c r="AJ586" s="31">
        <f t="shared" si="237"/>
        <v>2.8765630952460517E-2</v>
      </c>
      <c r="AK586" s="31"/>
    </row>
    <row r="587" spans="1:37">
      <c r="A587" s="28">
        <v>46243</v>
      </c>
      <c r="B587" s="2">
        <v>150</v>
      </c>
      <c r="C587" s="2">
        <v>150</v>
      </c>
      <c r="D587" s="2">
        <v>67.166666666666657</v>
      </c>
      <c r="E587" s="2">
        <v>45</v>
      </c>
      <c r="F587" s="2">
        <v>186.83333333333334</v>
      </c>
      <c r="G587" s="2">
        <v>0</v>
      </c>
      <c r="H587" s="2">
        <v>22.5</v>
      </c>
      <c r="I587" s="2">
        <v>1418.2500000000002</v>
      </c>
      <c r="J587" s="2">
        <v>90</v>
      </c>
      <c r="K587" s="2">
        <v>1059.25</v>
      </c>
      <c r="L587" s="2">
        <v>34.5</v>
      </c>
      <c r="M587" s="2">
        <v>238.33333333333334</v>
      </c>
      <c r="N587" s="107">
        <f t="shared" si="223"/>
        <v>0</v>
      </c>
      <c r="O587" s="7">
        <f t="shared" si="230"/>
        <v>3121.5</v>
      </c>
      <c r="P587" s="7">
        <f t="shared" si="212"/>
        <v>3121.5</v>
      </c>
      <c r="Q587" s="7">
        <f t="shared" si="213"/>
        <v>1418.2500000000002</v>
      </c>
      <c r="R587" s="7">
        <f t="shared" si="214"/>
        <v>1059.25</v>
      </c>
      <c r="S587" s="7">
        <v>725</v>
      </c>
      <c r="T587" s="7">
        <v>1141</v>
      </c>
      <c r="U587" s="7">
        <v>0</v>
      </c>
      <c r="V587" s="103">
        <v>120912</v>
      </c>
      <c r="W587" s="7">
        <f t="shared" si="228"/>
        <v>120187</v>
      </c>
      <c r="X587" s="103">
        <f t="shared" si="229"/>
        <v>120912</v>
      </c>
      <c r="Y587" s="103">
        <f t="shared" si="235"/>
        <v>120912</v>
      </c>
      <c r="Z587" s="2"/>
      <c r="AA587" s="103"/>
      <c r="AB587" s="2"/>
      <c r="AC587" s="78">
        <v>102790</v>
      </c>
      <c r="AD587" s="103">
        <f t="shared" si="217"/>
        <v>120912</v>
      </c>
      <c r="AE587" s="192">
        <f t="shared" si="231"/>
        <v>0</v>
      </c>
      <c r="AF587" s="192">
        <f t="shared" si="232"/>
        <v>0</v>
      </c>
      <c r="AG587" s="20">
        <f t="shared" si="233"/>
        <v>0</v>
      </c>
      <c r="AH587" s="20">
        <f t="shared" si="234"/>
        <v>0</v>
      </c>
      <c r="AI587" s="3">
        <f t="shared" si="236"/>
        <v>102790</v>
      </c>
      <c r="AJ587" s="31">
        <f t="shared" si="237"/>
        <v>0</v>
      </c>
      <c r="AK587" s="31"/>
    </row>
    <row r="588" spans="1:37">
      <c r="A588" s="28">
        <v>46244</v>
      </c>
      <c r="B588" s="2">
        <v>225</v>
      </c>
      <c r="C588" s="2">
        <v>189</v>
      </c>
      <c r="D588" s="2">
        <v>67.5</v>
      </c>
      <c r="E588" s="2">
        <v>385.66666666666669</v>
      </c>
      <c r="F588" s="2">
        <v>278.25</v>
      </c>
      <c r="G588" s="2">
        <v>67.75</v>
      </c>
      <c r="H588" s="2">
        <v>44.416666666666664</v>
      </c>
      <c r="I588" s="2">
        <v>1921.1666666666667</v>
      </c>
      <c r="J588" s="2">
        <v>110.25</v>
      </c>
      <c r="K588" s="2">
        <v>1550.8333333333335</v>
      </c>
      <c r="L588" s="2">
        <v>70.5</v>
      </c>
      <c r="M588" s="2">
        <v>294.25</v>
      </c>
      <c r="N588" s="107">
        <f t="shared" ref="N588:N622" si="238">+AH588+AG588</f>
        <v>200.16744849407132</v>
      </c>
      <c r="O588" s="7">
        <f>+B588+C588+D588+F588+I588+K588+J588</f>
        <v>4342</v>
      </c>
      <c r="P588" s="7">
        <f t="shared" si="212"/>
        <v>4141.8325515059296</v>
      </c>
      <c r="Q588" s="7">
        <f t="shared" si="213"/>
        <v>1921.1666666666667</v>
      </c>
      <c r="R588" s="7">
        <f t="shared" si="214"/>
        <v>1350.6658848392622</v>
      </c>
      <c r="S588" s="7">
        <v>5623</v>
      </c>
      <c r="T588" s="7">
        <v>5650</v>
      </c>
      <c r="U588" s="7">
        <v>0</v>
      </c>
      <c r="V588" s="103">
        <v>126148</v>
      </c>
      <c r="W588" s="7">
        <f t="shared" si="228"/>
        <v>128815</v>
      </c>
      <c r="X588" s="103">
        <f>+V588+AB588+AA588</f>
        <v>134438</v>
      </c>
      <c r="Y588" s="103">
        <f>+X588-AB588</f>
        <v>134438</v>
      </c>
      <c r="Z588" s="2">
        <v>19731</v>
      </c>
      <c r="AA588" s="103">
        <v>8290</v>
      </c>
      <c r="AB588" s="103"/>
      <c r="AC588" s="78">
        <v>145226</v>
      </c>
      <c r="AD588" s="103">
        <f t="shared" si="217"/>
        <v>134438</v>
      </c>
      <c r="AE588" s="192">
        <f t="shared" ref="AE588:AE593" si="239">+(Z588/AC588*0.95)</f>
        <v>0.12907089639596214</v>
      </c>
      <c r="AF588" s="192">
        <f t="shared" ref="AF588:AF593" si="240">+(AB588/AD588*0.6)</f>
        <v>0</v>
      </c>
      <c r="AG588" s="20">
        <f t="shared" si="233"/>
        <v>200.16744849407132</v>
      </c>
      <c r="AH588" s="20">
        <f t="shared" si="234"/>
        <v>0</v>
      </c>
      <c r="AI588" s="3">
        <f t="shared" ref="AI588:AI593" si="241">+AC588-Z588</f>
        <v>125495</v>
      </c>
      <c r="AJ588" s="31">
        <f t="shared" si="237"/>
        <v>6.166411282524286E-2</v>
      </c>
      <c r="AK588" s="31"/>
    </row>
    <row r="589" spans="1:37">
      <c r="A589" s="28">
        <v>46245</v>
      </c>
      <c r="B589" s="2">
        <v>223.75000000000003</v>
      </c>
      <c r="C589" s="2">
        <v>368.16666666666663</v>
      </c>
      <c r="D589" s="2">
        <v>67.5</v>
      </c>
      <c r="E589" s="2">
        <v>437.08333333333331</v>
      </c>
      <c r="F589" s="2">
        <v>233.66666666666669</v>
      </c>
      <c r="G589" s="2">
        <v>63.249999999999993</v>
      </c>
      <c r="H589" s="2">
        <v>44.583333333333336</v>
      </c>
      <c r="I589" s="2">
        <v>2092.833333333333</v>
      </c>
      <c r="J589" s="2">
        <v>110.5</v>
      </c>
      <c r="K589" s="2">
        <v>1520.5</v>
      </c>
      <c r="L589" s="2">
        <v>54.5</v>
      </c>
      <c r="M589" s="2">
        <v>298.08333333333337</v>
      </c>
      <c r="N589" s="107">
        <f t="shared" si="238"/>
        <v>181.96897459368998</v>
      </c>
      <c r="O589" s="7">
        <f t="shared" ref="O589:O601" si="242">+B589+C589+D589+F589+I589+K589+J589</f>
        <v>4616.9166666666661</v>
      </c>
      <c r="P589" s="7">
        <f t="shared" si="212"/>
        <v>4434.9476920729758</v>
      </c>
      <c r="Q589" s="7">
        <f t="shared" si="213"/>
        <v>2012.9409644643229</v>
      </c>
      <c r="R589" s="7">
        <f t="shared" si="214"/>
        <v>1418.4233942753203</v>
      </c>
      <c r="S589" s="7">
        <v>48</v>
      </c>
      <c r="T589" s="7">
        <v>1123</v>
      </c>
      <c r="U589" s="7">
        <v>0</v>
      </c>
      <c r="V589" s="103">
        <v>129469</v>
      </c>
      <c r="W589" s="7">
        <f>+V589-U589-S589+AA589</f>
        <v>135823</v>
      </c>
      <c r="X589" s="103">
        <f>+V589+AB589+AA589</f>
        <v>145103</v>
      </c>
      <c r="Y589" s="103">
        <f t="shared" si="235"/>
        <v>135871</v>
      </c>
      <c r="Z589" s="2">
        <v>9868</v>
      </c>
      <c r="AA589" s="103">
        <v>6402</v>
      </c>
      <c r="AB589" s="103">
        <v>9232</v>
      </c>
      <c r="AC589" s="78">
        <v>139641</v>
      </c>
      <c r="AD589" s="103">
        <f t="shared" si="217"/>
        <v>145103</v>
      </c>
      <c r="AE589" s="192">
        <f t="shared" si="239"/>
        <v>6.7133578247076428E-2</v>
      </c>
      <c r="AF589" s="192">
        <f t="shared" si="240"/>
        <v>3.8174262420487513E-2</v>
      </c>
      <c r="AG589" s="20">
        <f t="shared" si="233"/>
        <v>102.07660572467971</v>
      </c>
      <c r="AH589" s="20">
        <f t="shared" si="234"/>
        <v>79.892368869010269</v>
      </c>
      <c r="AI589" s="3">
        <f t="shared" si="241"/>
        <v>129773</v>
      </c>
      <c r="AJ589" s="31">
        <f t="shared" si="237"/>
        <v>4.4120383451754959E-2</v>
      </c>
      <c r="AK589" s="31"/>
    </row>
    <row r="590" spans="1:37">
      <c r="A590" s="28">
        <v>46246</v>
      </c>
      <c r="B590" s="2">
        <v>202.5</v>
      </c>
      <c r="C590" s="2">
        <v>508.58333333333326</v>
      </c>
      <c r="D590" s="2">
        <v>67.5</v>
      </c>
      <c r="E590" s="2">
        <v>444.66666666666663</v>
      </c>
      <c r="F590" s="2">
        <v>241.5</v>
      </c>
      <c r="G590" s="2">
        <v>68</v>
      </c>
      <c r="H590" s="2">
        <v>48</v>
      </c>
      <c r="I590" s="2">
        <v>2138.25</v>
      </c>
      <c r="J590" s="2">
        <v>88</v>
      </c>
      <c r="K590" s="2">
        <v>1708.3333333333333</v>
      </c>
      <c r="L590" s="2">
        <v>48</v>
      </c>
      <c r="M590" s="2">
        <v>274</v>
      </c>
      <c r="N590" s="107">
        <f t="shared" si="238"/>
        <v>288.74234763586946</v>
      </c>
      <c r="O590" s="7">
        <f t="shared" si="242"/>
        <v>4954.6666666666661</v>
      </c>
      <c r="P590" s="7">
        <f t="shared" si="212"/>
        <v>4665.9243190307971</v>
      </c>
      <c r="Q590" s="7">
        <f t="shared" si="213"/>
        <v>2061.1855667731375</v>
      </c>
      <c r="R590" s="7">
        <f t="shared" si="214"/>
        <v>1496.6554189243263</v>
      </c>
      <c r="S590" s="7">
        <v>1255</v>
      </c>
      <c r="T590" s="7">
        <v>1336</v>
      </c>
      <c r="U590" s="7">
        <v>0</v>
      </c>
      <c r="V590" s="103">
        <v>134757</v>
      </c>
      <c r="W590" s="7">
        <f>+V590-U590-S590+AA590</f>
        <v>139700</v>
      </c>
      <c r="X590" s="103">
        <f t="shared" si="229"/>
        <v>149963</v>
      </c>
      <c r="Y590" s="103">
        <f t="shared" si="235"/>
        <v>140955</v>
      </c>
      <c r="Z590" s="2">
        <v>20100</v>
      </c>
      <c r="AA590" s="103">
        <v>6198</v>
      </c>
      <c r="AB590" s="103">
        <v>9008</v>
      </c>
      <c r="AC590" s="78">
        <v>154105</v>
      </c>
      <c r="AD590" s="103">
        <f t="shared" si="217"/>
        <v>149963</v>
      </c>
      <c r="AE590" s="192">
        <f t="shared" si="239"/>
        <v>0.12390902306868692</v>
      </c>
      <c r="AF590" s="192">
        <f t="shared" si="240"/>
        <v>3.6040890086221265E-2</v>
      </c>
      <c r="AG590" s="20">
        <f t="shared" si="233"/>
        <v>211.67791440900683</v>
      </c>
      <c r="AH590" s="20">
        <f t="shared" si="234"/>
        <v>77.064433226862619</v>
      </c>
      <c r="AI590" s="3">
        <f t="shared" si="241"/>
        <v>134005</v>
      </c>
      <c r="AJ590" s="31">
        <f t="shared" si="237"/>
        <v>4.1330194781379406E-2</v>
      </c>
      <c r="AK590" s="31"/>
    </row>
    <row r="591" spans="1:37">
      <c r="A591" s="28">
        <v>46247</v>
      </c>
      <c r="B591" s="2">
        <v>202.5</v>
      </c>
      <c r="C591" s="2">
        <v>469.66666666666669</v>
      </c>
      <c r="D591" s="2">
        <v>67.5</v>
      </c>
      <c r="E591" s="2">
        <v>427.00000000000006</v>
      </c>
      <c r="F591" s="2">
        <v>363.83333333333337</v>
      </c>
      <c r="G591" s="2">
        <v>68</v>
      </c>
      <c r="H591" s="2">
        <v>48</v>
      </c>
      <c r="I591" s="2">
        <v>2150.8333333333335</v>
      </c>
      <c r="J591" s="2">
        <v>95.5</v>
      </c>
      <c r="K591" s="2">
        <v>1820.1666666666667</v>
      </c>
      <c r="L591" s="2">
        <v>61</v>
      </c>
      <c r="M591" s="2">
        <v>274.5</v>
      </c>
      <c r="N591" s="107">
        <f t="shared" si="238"/>
        <v>27.531357150668715</v>
      </c>
      <c r="O591" s="7">
        <f t="shared" si="242"/>
        <v>5170</v>
      </c>
      <c r="P591" s="7">
        <f t="shared" si="212"/>
        <v>5142.4686428493314</v>
      </c>
      <c r="Q591" s="7">
        <f t="shared" si="213"/>
        <v>2150.8333333333335</v>
      </c>
      <c r="R591" s="7">
        <f t="shared" si="214"/>
        <v>1792.635309515998</v>
      </c>
      <c r="S591" s="7">
        <v>8276</v>
      </c>
      <c r="T591" s="7">
        <v>8589</v>
      </c>
      <c r="U591" s="7">
        <v>0</v>
      </c>
      <c r="V591" s="103">
        <v>175906</v>
      </c>
      <c r="W591" s="7">
        <f t="shared" si="228"/>
        <v>170366</v>
      </c>
      <c r="X591" s="103">
        <f>+V591+AB591+AA591</f>
        <v>178642</v>
      </c>
      <c r="Y591" s="103">
        <f>+X591-AB591</f>
        <v>178642</v>
      </c>
      <c r="Z591" s="2">
        <v>2475</v>
      </c>
      <c r="AA591" s="103">
        <v>2736</v>
      </c>
      <c r="AB591" s="103"/>
      <c r="AC591" s="78">
        <v>155447</v>
      </c>
      <c r="AD591" s="103">
        <f t="shared" si="217"/>
        <v>178642</v>
      </c>
      <c r="AE591" s="192">
        <f t="shared" si="239"/>
        <v>1.51257341730622E-2</v>
      </c>
      <c r="AF591" s="192">
        <f>+(AB591/AD591*0.6)</f>
        <v>0</v>
      </c>
      <c r="AG591" s="20">
        <f t="shared" si="233"/>
        <v>27.531357150668715</v>
      </c>
      <c r="AH591" s="20">
        <f t="shared" si="234"/>
        <v>0</v>
      </c>
      <c r="AI591" s="3">
        <f t="shared" si="241"/>
        <v>152972</v>
      </c>
      <c r="AJ591" s="31">
        <f t="shared" si="237"/>
        <v>1.5315547295708736E-2</v>
      </c>
      <c r="AK591" s="31"/>
    </row>
    <row r="592" spans="1:37">
      <c r="A592" s="28">
        <v>46248</v>
      </c>
      <c r="B592" s="2">
        <v>217.5</v>
      </c>
      <c r="C592" s="2">
        <v>365.75</v>
      </c>
      <c r="D592" s="2">
        <v>67.5</v>
      </c>
      <c r="E592" s="2">
        <v>439.16666666666663</v>
      </c>
      <c r="F592" s="2">
        <v>394.75</v>
      </c>
      <c r="G592" s="2">
        <v>55.666666666666664</v>
      </c>
      <c r="H592" s="2">
        <v>48</v>
      </c>
      <c r="I592" s="2">
        <v>2119</v>
      </c>
      <c r="J592" s="2">
        <v>100</v>
      </c>
      <c r="K592" s="2">
        <v>2207.75</v>
      </c>
      <c r="L592" s="2">
        <v>47</v>
      </c>
      <c r="M592" s="2">
        <v>252.24999999999997</v>
      </c>
      <c r="N592" s="107">
        <f t="shared" si="238"/>
        <v>73.555272842601624</v>
      </c>
      <c r="O592" s="7">
        <f t="shared" si="242"/>
        <v>5472.25</v>
      </c>
      <c r="P592" s="7">
        <f t="shared" si="212"/>
        <v>5398.6947271573981</v>
      </c>
      <c r="Q592" s="7">
        <f t="shared" si="213"/>
        <v>2045.4447271573983</v>
      </c>
      <c r="R592" s="7">
        <f t="shared" si="214"/>
        <v>2207.75</v>
      </c>
      <c r="S592" s="7">
        <v>6948</v>
      </c>
      <c r="T592" s="7">
        <v>7291</v>
      </c>
      <c r="U592" s="7">
        <v>0</v>
      </c>
      <c r="V592" s="103">
        <v>150848</v>
      </c>
      <c r="W592" s="7">
        <f t="shared" si="228"/>
        <v>150495</v>
      </c>
      <c r="X592" s="103">
        <f>+V592+AB592+AA592</f>
        <v>167111</v>
      </c>
      <c r="Y592" s="103">
        <f>+X592-AB592</f>
        <v>157443</v>
      </c>
      <c r="Z592" s="2"/>
      <c r="AA592" s="103">
        <v>6595</v>
      </c>
      <c r="AB592" s="103">
        <v>9668</v>
      </c>
      <c r="AC592" s="78">
        <v>175241</v>
      </c>
      <c r="AD592" s="103">
        <f t="shared" si="217"/>
        <v>167111</v>
      </c>
      <c r="AE592" s="192">
        <f t="shared" si="239"/>
        <v>0</v>
      </c>
      <c r="AF592" s="192">
        <f>+(AB592/AD592*0.6)</f>
        <v>3.4712257122511386E-2</v>
      </c>
      <c r="AG592" s="20">
        <f t="shared" si="233"/>
        <v>0</v>
      </c>
      <c r="AH592" s="20">
        <f t="shared" si="234"/>
        <v>73.555272842601624</v>
      </c>
      <c r="AI592" s="3">
        <f>+AC592-Z592</f>
        <v>175241</v>
      </c>
      <c r="AJ592" s="31">
        <f t="shared" si="237"/>
        <v>3.9464786878182764E-2</v>
      </c>
      <c r="AK592" s="31"/>
    </row>
    <row r="593" spans="1:37">
      <c r="A593" s="28">
        <v>46249</v>
      </c>
      <c r="B593" s="2">
        <v>210</v>
      </c>
      <c r="C593" s="2">
        <v>416.75</v>
      </c>
      <c r="D593" s="2">
        <v>60</v>
      </c>
      <c r="E593" s="2">
        <v>343.41666666666669</v>
      </c>
      <c r="F593" s="2">
        <v>433.75</v>
      </c>
      <c r="G593" s="2">
        <v>0</v>
      </c>
      <c r="H593" s="2">
        <v>22.5</v>
      </c>
      <c r="I593" s="2">
        <v>1891.5</v>
      </c>
      <c r="J593" s="2">
        <v>82.5</v>
      </c>
      <c r="K593" s="2">
        <v>1966.6666666666667</v>
      </c>
      <c r="L593" s="2">
        <v>7.5</v>
      </c>
      <c r="M593" s="2">
        <v>214.41666666666666</v>
      </c>
      <c r="N593" s="107">
        <f t="shared" si="238"/>
        <v>0</v>
      </c>
      <c r="O593" s="7">
        <f t="shared" si="242"/>
        <v>5061.166666666667</v>
      </c>
      <c r="P593" s="7">
        <f t="shared" si="212"/>
        <v>5061.166666666667</v>
      </c>
      <c r="Q593" s="7">
        <f t="shared" si="213"/>
        <v>1891.5</v>
      </c>
      <c r="R593" s="7">
        <f t="shared" si="214"/>
        <v>1966.6666666666667</v>
      </c>
      <c r="S593" s="7">
        <v>7174</v>
      </c>
      <c r="T593" s="7">
        <v>7896</v>
      </c>
      <c r="U593" s="7">
        <v>0</v>
      </c>
      <c r="V593" s="103">
        <v>150983</v>
      </c>
      <c r="W593" s="7">
        <f t="shared" si="228"/>
        <v>152560</v>
      </c>
      <c r="X593" s="103">
        <f t="shared" si="229"/>
        <v>159734</v>
      </c>
      <c r="Y593" s="103">
        <f t="shared" si="235"/>
        <v>159734</v>
      </c>
      <c r="Z593" s="2"/>
      <c r="AA593" s="103">
        <v>8751</v>
      </c>
      <c r="AB593" s="103"/>
      <c r="AC593" s="78">
        <v>165762</v>
      </c>
      <c r="AD593" s="103">
        <f t="shared" si="217"/>
        <v>159734</v>
      </c>
      <c r="AE593" s="192">
        <f t="shared" si="239"/>
        <v>0</v>
      </c>
      <c r="AF593" s="192">
        <f t="shared" si="240"/>
        <v>0</v>
      </c>
      <c r="AG593" s="20">
        <f t="shared" si="233"/>
        <v>0</v>
      </c>
      <c r="AH593" s="20">
        <f t="shared" si="234"/>
        <v>0</v>
      </c>
      <c r="AI593" s="3">
        <f t="shared" si="241"/>
        <v>165762</v>
      </c>
      <c r="AJ593" s="31">
        <f t="shared" si="237"/>
        <v>5.478482977950843E-2</v>
      </c>
      <c r="AK593" s="31"/>
    </row>
    <row r="594" spans="1:37">
      <c r="A594" s="28">
        <v>46250</v>
      </c>
      <c r="B594"/>
      <c r="C594"/>
      <c r="D594"/>
      <c r="E594"/>
      <c r="F594"/>
      <c r="G594"/>
      <c r="H594"/>
      <c r="I594"/>
      <c r="J594"/>
      <c r="K594"/>
      <c r="L594"/>
      <c r="M594"/>
      <c r="N594" s="107">
        <f t="shared" si="238"/>
        <v>0</v>
      </c>
      <c r="O594" s="7">
        <f t="shared" si="242"/>
        <v>0</v>
      </c>
      <c r="P594" s="7">
        <f t="shared" si="212"/>
        <v>0</v>
      </c>
      <c r="Q594" s="7">
        <f t="shared" si="213"/>
        <v>0</v>
      </c>
      <c r="R594" s="7">
        <f t="shared" si="214"/>
        <v>0</v>
      </c>
      <c r="T594" s="7"/>
      <c r="U594" s="7"/>
      <c r="V594" s="103"/>
      <c r="W594" s="7">
        <f t="shared" si="228"/>
        <v>0</v>
      </c>
      <c r="X594" s="103">
        <f t="shared" si="229"/>
        <v>0</v>
      </c>
      <c r="Y594" s="103">
        <f t="shared" si="235"/>
        <v>0</v>
      </c>
      <c r="Z594" s="2"/>
      <c r="AA594" s="103"/>
      <c r="AB594" s="103"/>
      <c r="AD594" s="103"/>
      <c r="AE594" s="192"/>
      <c r="AF594" s="192"/>
      <c r="AG594" s="20"/>
      <c r="AH594" s="20"/>
      <c r="AI594" s="3"/>
      <c r="AJ594" s="31"/>
      <c r="AK594" s="31"/>
    </row>
    <row r="595" spans="1:37">
      <c r="A595" s="28">
        <v>46251</v>
      </c>
      <c r="B595" s="3">
        <v>195</v>
      </c>
      <c r="C595" s="3">
        <v>270</v>
      </c>
      <c r="D595" s="3">
        <v>67.5</v>
      </c>
      <c r="E595" s="3">
        <v>491.33333333333331</v>
      </c>
      <c r="F595" s="3">
        <v>331.5</v>
      </c>
      <c r="G595" s="3">
        <v>118.5</v>
      </c>
      <c r="H595" s="3">
        <v>39.5</v>
      </c>
      <c r="I595" s="3">
        <v>2291.9166666666665</v>
      </c>
      <c r="J595" s="3">
        <v>208</v>
      </c>
      <c r="K595" s="3">
        <v>2109.166666666667</v>
      </c>
      <c r="L595" s="3">
        <v>103.5</v>
      </c>
      <c r="M595" s="3">
        <v>238.83333333333331</v>
      </c>
      <c r="N595" s="107">
        <f t="shared" si="238"/>
        <v>349.69048757384473</v>
      </c>
      <c r="O595" s="7">
        <f t="shared" si="242"/>
        <v>5473.0833333333339</v>
      </c>
      <c r="P595" s="7">
        <f t="shared" si="212"/>
        <v>5123.3928457594884</v>
      </c>
      <c r="Q595" s="7">
        <f t="shared" si="213"/>
        <v>2074.9003621375887</v>
      </c>
      <c r="R595" s="7">
        <f t="shared" si="214"/>
        <v>1976.4924836219002</v>
      </c>
      <c r="S595" s="7">
        <v>5534</v>
      </c>
      <c r="T595" s="7">
        <v>6152</v>
      </c>
      <c r="U595" s="7">
        <v>0</v>
      </c>
      <c r="V595" s="103">
        <v>165877</v>
      </c>
      <c r="W595" s="7">
        <f>+V595-U595-S595+AA595</f>
        <v>161134</v>
      </c>
      <c r="X595" s="103">
        <f t="shared" si="229"/>
        <v>197899</v>
      </c>
      <c r="Y595" s="103">
        <f t="shared" si="235"/>
        <v>166668</v>
      </c>
      <c r="Z595" s="2">
        <v>12452</v>
      </c>
      <c r="AA595" s="103">
        <v>791</v>
      </c>
      <c r="AB595" s="103">
        <v>31231</v>
      </c>
      <c r="AC595" s="78">
        <v>188056</v>
      </c>
      <c r="AD595" s="103">
        <f t="shared" si="217"/>
        <v>197899</v>
      </c>
      <c r="AE595" s="192">
        <f t="shared" ref="AE595:AE601" si="243">+(Z595/AC595*0.95)</f>
        <v>6.2903603182030879E-2</v>
      </c>
      <c r="AF595" s="192">
        <f t="shared" ref="AF595:AF601" si="244">+(AB595/AD595*0.6)</f>
        <v>9.4687694227863703E-2</v>
      </c>
      <c r="AG595" s="20">
        <f t="shared" ref="AG595:AG607" si="245">+AE595*K595</f>
        <v>132.67418304476681</v>
      </c>
      <c r="AH595" s="20">
        <f t="shared" ref="AH595:AH607" si="246">+AF595*I595</f>
        <v>217.01630452907793</v>
      </c>
      <c r="AI595" s="3">
        <f t="shared" ref="AI595:AI601" si="247">+AC595-Z595</f>
        <v>175604</v>
      </c>
      <c r="AJ595" s="31">
        <f t="shared" si="237"/>
        <v>3.9969883627506957E-3</v>
      </c>
      <c r="AK595" s="31"/>
    </row>
    <row r="596" spans="1:37">
      <c r="A596" s="28">
        <v>46252</v>
      </c>
      <c r="B596" s="3">
        <v>180</v>
      </c>
      <c r="C596" s="3">
        <v>420</v>
      </c>
      <c r="D596" s="3">
        <v>67.5</v>
      </c>
      <c r="E596" s="3">
        <v>518.08333333333326</v>
      </c>
      <c r="F596" s="3">
        <v>244.5</v>
      </c>
      <c r="G596" s="3">
        <v>97.75</v>
      </c>
      <c r="H596" s="3">
        <v>32</v>
      </c>
      <c r="I596" s="3">
        <v>2272.916666666667</v>
      </c>
      <c r="J596" s="3">
        <v>149.5</v>
      </c>
      <c r="K596" s="3">
        <v>1819.5833333333333</v>
      </c>
      <c r="L596" s="3">
        <v>95</v>
      </c>
      <c r="M596" s="3">
        <v>252</v>
      </c>
      <c r="N596" s="107">
        <f t="shared" si="238"/>
        <v>326.16233981097906</v>
      </c>
      <c r="O596" s="7">
        <f t="shared" si="242"/>
        <v>5154</v>
      </c>
      <c r="P596" s="7">
        <f t="shared" si="212"/>
        <v>4827.8376601890213</v>
      </c>
      <c r="Q596" s="7">
        <f t="shared" si="213"/>
        <v>2114.1992248124607</v>
      </c>
      <c r="R596" s="7">
        <f t="shared" si="214"/>
        <v>1652.1384353765604</v>
      </c>
      <c r="S596" s="7">
        <v>1331</v>
      </c>
      <c r="T596" s="7">
        <v>1618</v>
      </c>
      <c r="U596" s="7">
        <v>0</v>
      </c>
      <c r="V596" s="103">
        <v>150608</v>
      </c>
      <c r="W596" s="7">
        <f t="shared" si="228"/>
        <v>162830</v>
      </c>
      <c r="X596" s="103">
        <f t="shared" si="229"/>
        <v>185783</v>
      </c>
      <c r="Y596" s="103">
        <f t="shared" si="235"/>
        <v>164161</v>
      </c>
      <c r="Z596" s="2">
        <v>17083</v>
      </c>
      <c r="AA596" s="103">
        <v>13553</v>
      </c>
      <c r="AB596" s="103">
        <v>21622</v>
      </c>
      <c r="AC596" s="78">
        <v>176355</v>
      </c>
      <c r="AD596" s="103">
        <f t="shared" si="217"/>
        <v>185783</v>
      </c>
      <c r="AE596" s="192">
        <f t="shared" si="243"/>
        <v>9.2023758895409827E-2</v>
      </c>
      <c r="AF596" s="192">
        <f t="shared" si="244"/>
        <v>6.9829855261245646E-2</v>
      </c>
      <c r="AG596" s="20">
        <f t="shared" si="245"/>
        <v>167.44489795677279</v>
      </c>
      <c r="AH596" s="20">
        <f t="shared" si="246"/>
        <v>158.71744185420627</v>
      </c>
      <c r="AI596" s="3">
        <f>+AC596-Z596</f>
        <v>159272</v>
      </c>
      <c r="AJ596" s="31">
        <f t="shared" si="237"/>
        <v>7.2950700548489372E-2</v>
      </c>
      <c r="AK596" s="31"/>
    </row>
    <row r="597" spans="1:37">
      <c r="A597" s="28">
        <v>46253</v>
      </c>
      <c r="B597" s="3">
        <v>200.33333333333331</v>
      </c>
      <c r="C597" s="3">
        <v>502.5</v>
      </c>
      <c r="D597" s="3">
        <v>71.5</v>
      </c>
      <c r="E597" s="3">
        <v>479.50000000000006</v>
      </c>
      <c r="F597" s="3">
        <v>262.08333333333331</v>
      </c>
      <c r="G597" s="3">
        <v>95</v>
      </c>
      <c r="H597" s="3">
        <v>39.5</v>
      </c>
      <c r="I597" s="3">
        <v>2297.25</v>
      </c>
      <c r="J597" s="3">
        <v>137.5</v>
      </c>
      <c r="K597" s="3">
        <v>1790.9999999999998</v>
      </c>
      <c r="L597" s="3">
        <v>103.5</v>
      </c>
      <c r="M597" s="3">
        <v>270</v>
      </c>
      <c r="N597" s="107">
        <f t="shared" si="238"/>
        <v>272.96429533269361</v>
      </c>
      <c r="O597" s="7">
        <f t="shared" si="242"/>
        <v>5262.1666666666661</v>
      </c>
      <c r="P597" s="7">
        <f t="shared" ref="P597:P622" si="248">+B597+C597+D597+F597+J597+Q597+R597</f>
        <v>4989.2023713339731</v>
      </c>
      <c r="Q597" s="7">
        <f t="shared" ref="Q597:Q622" si="249">+I597-AH597</f>
        <v>2166.1665763851192</v>
      </c>
      <c r="R597" s="7">
        <f t="shared" ref="R597:R622" si="250">+K597-AG597</f>
        <v>1649.1191282821871</v>
      </c>
      <c r="S597" s="7">
        <v>8</v>
      </c>
      <c r="T597" s="7">
        <v>40</v>
      </c>
      <c r="U597" s="7">
        <v>0</v>
      </c>
      <c r="V597" s="103">
        <v>147308</v>
      </c>
      <c r="W597" s="7">
        <f t="shared" si="228"/>
        <v>156686</v>
      </c>
      <c r="X597" s="103">
        <f t="shared" si="229"/>
        <v>173162</v>
      </c>
      <c r="Y597" s="103">
        <f t="shared" si="235"/>
        <v>156694</v>
      </c>
      <c r="Z597" s="2">
        <v>13929</v>
      </c>
      <c r="AA597" s="103">
        <v>9386</v>
      </c>
      <c r="AB597" s="103">
        <v>16468</v>
      </c>
      <c r="AC597" s="78">
        <v>167038</v>
      </c>
      <c r="AD597" s="103">
        <f t="shared" si="217"/>
        <v>173162</v>
      </c>
      <c r="AE597" s="192">
        <f t="shared" si="243"/>
        <v>7.9218800512458248E-2</v>
      </c>
      <c r="AF597" s="192">
        <f t="shared" si="244"/>
        <v>5.7061018006260032E-2</v>
      </c>
      <c r="AG597" s="20">
        <f t="shared" si="245"/>
        <v>141.88087171781271</v>
      </c>
      <c r="AH597" s="20">
        <f t="shared" si="246"/>
        <v>131.08342361488087</v>
      </c>
      <c r="AI597" s="3">
        <f t="shared" si="247"/>
        <v>153109</v>
      </c>
      <c r="AJ597" s="31">
        <f t="shared" si="237"/>
        <v>5.4203578152250492E-2</v>
      </c>
      <c r="AK597" s="31"/>
    </row>
    <row r="598" spans="1:37">
      <c r="A598" s="28">
        <v>46254</v>
      </c>
      <c r="B598" s="3">
        <v>157.5</v>
      </c>
      <c r="C598" s="3">
        <v>582.16666666666674</v>
      </c>
      <c r="D598" s="3">
        <v>85.583333333333329</v>
      </c>
      <c r="E598" s="3">
        <v>477.91666666666669</v>
      </c>
      <c r="F598" s="3">
        <v>269.75</v>
      </c>
      <c r="G598" s="3">
        <v>111.33333333333334</v>
      </c>
      <c r="H598" s="3">
        <v>47</v>
      </c>
      <c r="I598" s="3">
        <v>2293.4166666666665</v>
      </c>
      <c r="J598" s="3">
        <v>185.5</v>
      </c>
      <c r="K598" s="3">
        <v>1651.5833333333333</v>
      </c>
      <c r="L598" s="3">
        <v>103.5</v>
      </c>
      <c r="M598" s="3">
        <v>266.75</v>
      </c>
      <c r="N598" s="107">
        <f t="shared" si="238"/>
        <v>116.27060362993929</v>
      </c>
      <c r="O598" s="7">
        <f t="shared" si="242"/>
        <v>5225.5</v>
      </c>
      <c r="P598" s="7">
        <f t="shared" si="248"/>
        <v>5109.2293963700604</v>
      </c>
      <c r="Q598" s="7">
        <f t="shared" si="249"/>
        <v>2283.698234951039</v>
      </c>
      <c r="R598" s="7">
        <f t="shared" si="250"/>
        <v>1545.0311614190216</v>
      </c>
      <c r="S598" s="7">
        <v>2738</v>
      </c>
      <c r="T598" s="7">
        <v>3278</v>
      </c>
      <c r="U598" s="7">
        <v>0</v>
      </c>
      <c r="V598" s="103">
        <v>131474</v>
      </c>
      <c r="W598" s="7">
        <f t="shared" si="228"/>
        <v>137432</v>
      </c>
      <c r="X598" s="103">
        <f t="shared" si="229"/>
        <v>141167</v>
      </c>
      <c r="Y598" s="103">
        <f t="shared" si="235"/>
        <v>140170</v>
      </c>
      <c r="Z598" s="2">
        <v>10230</v>
      </c>
      <c r="AA598" s="103">
        <v>8696</v>
      </c>
      <c r="AB598" s="103">
        <v>997</v>
      </c>
      <c r="AC598" s="78">
        <v>150639</v>
      </c>
      <c r="AD598" s="103">
        <f t="shared" si="217"/>
        <v>141167</v>
      </c>
      <c r="AE598" s="192">
        <f t="shared" si="243"/>
        <v>6.4515165395415533E-2</v>
      </c>
      <c r="AF598" s="192">
        <f t="shared" si="244"/>
        <v>4.2375342679238067E-3</v>
      </c>
      <c r="AG598" s="20">
        <f t="shared" si="245"/>
        <v>106.5521719143117</v>
      </c>
      <c r="AH598" s="20">
        <f t="shared" si="246"/>
        <v>9.7184317156275899</v>
      </c>
      <c r="AI598" s="3">
        <f t="shared" si="247"/>
        <v>140409</v>
      </c>
      <c r="AJ598" s="31">
        <f t="shared" si="237"/>
        <v>6.1600799053603182E-2</v>
      </c>
      <c r="AK598" s="31"/>
    </row>
    <row r="599" spans="1:37">
      <c r="A599" s="28">
        <v>46255</v>
      </c>
      <c r="B599" s="3">
        <v>187.5</v>
      </c>
      <c r="C599" s="3">
        <v>514.58333333333326</v>
      </c>
      <c r="D599" s="3">
        <v>83.166666666666657</v>
      </c>
      <c r="E599" s="3">
        <v>562.58333333333337</v>
      </c>
      <c r="F599" s="3">
        <v>300.33333333333337</v>
      </c>
      <c r="G599" s="3">
        <v>110.5</v>
      </c>
      <c r="H599" s="3">
        <v>47</v>
      </c>
      <c r="I599" s="3">
        <v>2287.3333333333335</v>
      </c>
      <c r="J599" s="3">
        <v>130.75</v>
      </c>
      <c r="K599" s="3">
        <v>1644.0833333333333</v>
      </c>
      <c r="L599" s="3">
        <v>103.5</v>
      </c>
      <c r="M599" s="3">
        <v>268.75</v>
      </c>
      <c r="N599" s="107">
        <f t="shared" si="238"/>
        <v>164.97444833699836</v>
      </c>
      <c r="O599" s="7">
        <f t="shared" si="242"/>
        <v>5147.75</v>
      </c>
      <c r="P599" s="7">
        <f t="shared" si="248"/>
        <v>4982.7755516630014</v>
      </c>
      <c r="Q599" s="7">
        <f t="shared" si="249"/>
        <v>2202.6962537732661</v>
      </c>
      <c r="R599" s="7">
        <f t="shared" si="250"/>
        <v>1563.7459645564024</v>
      </c>
      <c r="S599" s="7">
        <v>2858</v>
      </c>
      <c r="T599" s="7">
        <v>3036</v>
      </c>
      <c r="U599" s="7">
        <v>0</v>
      </c>
      <c r="V599" s="103">
        <v>165944</v>
      </c>
      <c r="W599" s="7">
        <f t="shared" si="228"/>
        <v>170077</v>
      </c>
      <c r="X599" s="103">
        <f t="shared" si="229"/>
        <v>184301</v>
      </c>
      <c r="Y599" s="103">
        <f t="shared" si="235"/>
        <v>172935</v>
      </c>
      <c r="Z599" s="2">
        <v>7214</v>
      </c>
      <c r="AA599" s="103">
        <v>6991</v>
      </c>
      <c r="AB599" s="103">
        <v>11366</v>
      </c>
      <c r="AC599" s="78">
        <v>140251</v>
      </c>
      <c r="AD599" s="103">
        <f t="shared" si="217"/>
        <v>184301</v>
      </c>
      <c r="AE599" s="192">
        <f t="shared" si="243"/>
        <v>4.886453572523547E-2</v>
      </c>
      <c r="AF599" s="192">
        <f t="shared" si="244"/>
        <v>3.7002512194724932E-2</v>
      </c>
      <c r="AG599" s="20">
        <f t="shared" si="245"/>
        <v>80.337368776930873</v>
      </c>
      <c r="AH599" s="20">
        <f t="shared" si="246"/>
        <v>84.637079560067505</v>
      </c>
      <c r="AI599" s="3">
        <f t="shared" si="247"/>
        <v>133037</v>
      </c>
      <c r="AJ599" s="31">
        <f t="shared" si="237"/>
        <v>3.7932512574538391E-2</v>
      </c>
      <c r="AK599" s="31"/>
    </row>
    <row r="600" spans="1:37">
      <c r="A600" s="28">
        <v>46256</v>
      </c>
      <c r="B600" s="3">
        <v>180</v>
      </c>
      <c r="C600" s="3">
        <v>456</v>
      </c>
      <c r="D600" s="3">
        <v>82.5</v>
      </c>
      <c r="E600" s="3">
        <v>367.08333333333331</v>
      </c>
      <c r="F600" s="3">
        <v>267.08333333333337</v>
      </c>
      <c r="G600" s="3">
        <v>0</v>
      </c>
      <c r="H600" s="3">
        <v>30</v>
      </c>
      <c r="I600" s="3">
        <v>2059.5</v>
      </c>
      <c r="J600" s="3">
        <v>185.5</v>
      </c>
      <c r="K600" s="3">
        <v>1516.4166666666667</v>
      </c>
      <c r="L600" s="3">
        <v>67.5</v>
      </c>
      <c r="M600" s="3">
        <v>254.16666666666666</v>
      </c>
      <c r="N600" s="107">
        <f t="shared" si="238"/>
        <v>105.71418404507628</v>
      </c>
      <c r="O600" s="7">
        <f t="shared" si="242"/>
        <v>4747</v>
      </c>
      <c r="P600" s="7">
        <f t="shared" si="248"/>
        <v>4641.2858159549241</v>
      </c>
      <c r="Q600" s="7">
        <f t="shared" si="249"/>
        <v>2059.5</v>
      </c>
      <c r="R600" s="7">
        <f t="shared" si="250"/>
        <v>1410.7024826215904</v>
      </c>
      <c r="S600" s="7">
        <v>573</v>
      </c>
      <c r="T600" s="7">
        <v>771</v>
      </c>
      <c r="U600" s="7">
        <v>0</v>
      </c>
      <c r="V600" s="103">
        <v>170660</v>
      </c>
      <c r="W600" s="7">
        <f t="shared" si="228"/>
        <v>173281</v>
      </c>
      <c r="X600" s="103">
        <f t="shared" si="229"/>
        <v>173854</v>
      </c>
      <c r="Y600" s="103">
        <f t="shared" si="235"/>
        <v>173854</v>
      </c>
      <c r="Z600" s="2">
        <v>10458</v>
      </c>
      <c r="AA600" s="103">
        <v>3194</v>
      </c>
      <c r="AB600" s="103"/>
      <c r="AC600" s="78">
        <v>142514</v>
      </c>
      <c r="AD600" s="103">
        <f t="shared" si="217"/>
        <v>173854</v>
      </c>
      <c r="AE600" s="192">
        <f t="shared" si="243"/>
        <v>6.9713150988674796E-2</v>
      </c>
      <c r="AF600" s="192">
        <f t="shared" si="244"/>
        <v>0</v>
      </c>
      <c r="AG600" s="20">
        <f t="shared" si="245"/>
        <v>105.71418404507628</v>
      </c>
      <c r="AH600" s="20">
        <f t="shared" si="246"/>
        <v>0</v>
      </c>
      <c r="AI600" s="3">
        <f t="shared" si="247"/>
        <v>132056</v>
      </c>
      <c r="AJ600" s="31">
        <f t="shared" si="237"/>
        <v>1.8371737204781025E-2</v>
      </c>
      <c r="AK600" s="31"/>
    </row>
    <row r="601" spans="1:37">
      <c r="A601" s="28">
        <v>46257</v>
      </c>
      <c r="B601" s="3">
        <v>150</v>
      </c>
      <c r="C601" s="3">
        <v>267.66666666666663</v>
      </c>
      <c r="D601" s="3">
        <v>67.5</v>
      </c>
      <c r="E601" s="3">
        <v>250.16666666666669</v>
      </c>
      <c r="F601" s="3">
        <v>217.5</v>
      </c>
      <c r="G601" s="3">
        <v>0</v>
      </c>
      <c r="H601" s="3">
        <v>22.5</v>
      </c>
      <c r="I601" s="3">
        <v>1695</v>
      </c>
      <c r="J601" s="3">
        <v>90</v>
      </c>
      <c r="K601" s="3">
        <v>1187.3333333333335</v>
      </c>
      <c r="L601" s="3">
        <v>45</v>
      </c>
      <c r="M601" s="3">
        <v>223.41666666666666</v>
      </c>
      <c r="N601" s="107">
        <f t="shared" si="238"/>
        <v>62.726703173361457</v>
      </c>
      <c r="O601" s="7">
        <f t="shared" si="242"/>
        <v>3675</v>
      </c>
      <c r="P601" s="7">
        <f t="shared" si="248"/>
        <v>3612.2732968266387</v>
      </c>
      <c r="Q601" s="7">
        <f t="shared" si="249"/>
        <v>1632.2732968266384</v>
      </c>
      <c r="R601" s="7">
        <f t="shared" si="250"/>
        <v>1187.3333333333335</v>
      </c>
      <c r="T601" s="7">
        <v>25</v>
      </c>
      <c r="U601" s="7">
        <v>0</v>
      </c>
      <c r="V601" s="103">
        <v>135932</v>
      </c>
      <c r="W601" s="7">
        <f t="shared" si="228"/>
        <v>137938</v>
      </c>
      <c r="X601" s="103">
        <f t="shared" si="229"/>
        <v>147005</v>
      </c>
      <c r="Y601" s="103">
        <f t="shared" si="235"/>
        <v>137938</v>
      </c>
      <c r="Z601" s="2"/>
      <c r="AA601" s="103">
        <v>2006</v>
      </c>
      <c r="AB601" s="103">
        <v>9067</v>
      </c>
      <c r="AC601" s="78">
        <v>121091</v>
      </c>
      <c r="AD601" s="103">
        <f t="shared" si="217"/>
        <v>147005</v>
      </c>
      <c r="AE601" s="192">
        <f t="shared" si="243"/>
        <v>0</v>
      </c>
      <c r="AF601" s="192">
        <f t="shared" si="244"/>
        <v>3.7006904527056905E-2</v>
      </c>
      <c r="AG601" s="20">
        <f t="shared" si="245"/>
        <v>0</v>
      </c>
      <c r="AH601" s="20">
        <f t="shared" si="246"/>
        <v>62.726703173361457</v>
      </c>
      <c r="AI601" s="3">
        <f t="shared" si="247"/>
        <v>121091</v>
      </c>
      <c r="AJ601" s="31">
        <f t="shared" si="237"/>
        <v>1.3645794360736029E-2</v>
      </c>
    </row>
    <row r="602" spans="1:37" ht="16.8">
      <c r="A602" s="28">
        <v>46258</v>
      </c>
      <c r="B602" s="3">
        <v>198</v>
      </c>
      <c r="C602" s="3">
        <v>248.83333333333331</v>
      </c>
      <c r="D602" s="3">
        <v>82.5</v>
      </c>
      <c r="E602" s="3">
        <v>532.75</v>
      </c>
      <c r="F602" s="3">
        <v>270</v>
      </c>
      <c r="G602" s="3">
        <v>76.5</v>
      </c>
      <c r="H602" s="3">
        <v>47</v>
      </c>
      <c r="I602" s="3">
        <v>2109.75</v>
      </c>
      <c r="J602" s="3">
        <v>106</v>
      </c>
      <c r="K602" s="3">
        <v>1417.5</v>
      </c>
      <c r="L602" s="3">
        <v>88.5</v>
      </c>
      <c r="M602" s="3">
        <v>267.5</v>
      </c>
      <c r="N602" s="107">
        <f t="shared" si="238"/>
        <v>31.008593459225448</v>
      </c>
      <c r="O602" s="7">
        <f t="shared" ref="O602:O622" si="251">+B602+C602+D602+F602+I602+K602+J602</f>
        <v>4432.583333333333</v>
      </c>
      <c r="P602" s="7">
        <f t="shared" si="248"/>
        <v>4401.5747398741078</v>
      </c>
      <c r="Q602" s="7">
        <f t="shared" si="249"/>
        <v>2109.75</v>
      </c>
      <c r="R602" s="7">
        <f t="shared" si="250"/>
        <v>1386.4914065407745</v>
      </c>
      <c r="T602" s="7">
        <v>54</v>
      </c>
      <c r="U602" s="164"/>
      <c r="V602" s="103">
        <v>120065</v>
      </c>
      <c r="W602" s="7">
        <f>+V602-U602-S602+AA602</f>
        <v>131016</v>
      </c>
      <c r="X602" s="103">
        <f t="shared" si="229"/>
        <v>131016</v>
      </c>
      <c r="Y602" s="103">
        <f t="shared" si="235"/>
        <v>131016</v>
      </c>
      <c r="Z602" s="2">
        <v>2351</v>
      </c>
      <c r="AA602" s="103">
        <v>10951</v>
      </c>
      <c r="AB602" s="103"/>
      <c r="AC602" s="78">
        <v>102098</v>
      </c>
      <c r="AD602" s="103">
        <f t="shared" si="217"/>
        <v>131016</v>
      </c>
      <c r="AE602" s="192">
        <f t="shared" ref="AE602:AE607" si="252">+(Z602/AC602*0.95)</f>
        <v>2.1875550941252521E-2</v>
      </c>
      <c r="AF602" s="192">
        <f t="shared" ref="AF602:AF607" si="253">+(AB602/AD602*0.6)</f>
        <v>0</v>
      </c>
      <c r="AG602" s="20">
        <f t="shared" si="245"/>
        <v>31.008593459225448</v>
      </c>
      <c r="AH602" s="20">
        <f t="shared" si="246"/>
        <v>0</v>
      </c>
      <c r="AI602" s="3">
        <f t="shared" ref="AI602:AI607" si="254">+AC602-Z602</f>
        <v>99747</v>
      </c>
      <c r="AJ602" s="31">
        <f t="shared" ref="AJ602:AJ607" si="255">+AA602/AD602</f>
        <v>8.3585210966599502E-2</v>
      </c>
    </row>
    <row r="603" spans="1:37" ht="16.8">
      <c r="A603" s="28">
        <v>46259</v>
      </c>
      <c r="B603" s="3">
        <v>193.5</v>
      </c>
      <c r="C603" s="3">
        <v>472.5</v>
      </c>
      <c r="D603" s="3">
        <v>67.5</v>
      </c>
      <c r="E603" s="3">
        <v>502.49999999999994</v>
      </c>
      <c r="F603" s="3">
        <v>251.16666666666666</v>
      </c>
      <c r="G603" s="3">
        <v>75.416666666666671</v>
      </c>
      <c r="H603" s="3">
        <v>39.5</v>
      </c>
      <c r="I603" s="3">
        <v>2208.166666666667</v>
      </c>
      <c r="J603" s="3">
        <v>106</v>
      </c>
      <c r="K603" s="3">
        <v>1349.1666666666667</v>
      </c>
      <c r="L603" s="3">
        <v>88.5</v>
      </c>
      <c r="M603" s="3">
        <v>269.25</v>
      </c>
      <c r="N603" s="107">
        <f t="shared" si="238"/>
        <v>251.90011288006599</v>
      </c>
      <c r="O603" s="7">
        <f t="shared" si="251"/>
        <v>4648</v>
      </c>
      <c r="P603" s="7">
        <f t="shared" si="248"/>
        <v>4396.0998871199345</v>
      </c>
      <c r="Q603" s="7">
        <f t="shared" si="249"/>
        <v>2120.9658721018013</v>
      </c>
      <c r="R603" s="7">
        <f t="shared" si="250"/>
        <v>1184.4673483514666</v>
      </c>
      <c r="S603" s="7">
        <v>8</v>
      </c>
      <c r="T603" s="7">
        <v>119</v>
      </c>
      <c r="U603" s="164"/>
      <c r="V603" s="103">
        <v>134557</v>
      </c>
      <c r="W603" s="7">
        <f t="shared" si="228"/>
        <v>144370</v>
      </c>
      <c r="X603" s="103">
        <f>+V603+AB603+AA603</f>
        <v>154550</v>
      </c>
      <c r="Y603" s="103">
        <f>+X603-AB603</f>
        <v>144378</v>
      </c>
      <c r="Z603" s="2">
        <v>14232</v>
      </c>
      <c r="AA603" s="103">
        <v>9821</v>
      </c>
      <c r="AB603" s="103">
        <v>10172</v>
      </c>
      <c r="AC603" s="78">
        <v>110755</v>
      </c>
      <c r="AD603" s="103">
        <f t="shared" si="217"/>
        <v>154550</v>
      </c>
      <c r="AE603" s="192">
        <f t="shared" si="252"/>
        <v>0.12207484989390999</v>
      </c>
      <c r="AF603" s="192">
        <f t="shared" si="253"/>
        <v>3.9490132643157552E-2</v>
      </c>
      <c r="AG603" s="20">
        <f t="shared" si="245"/>
        <v>164.69931831520023</v>
      </c>
      <c r="AH603" s="20">
        <f t="shared" si="246"/>
        <v>87.200794564865745</v>
      </c>
      <c r="AI603" s="3">
        <f t="shared" si="254"/>
        <v>96523</v>
      </c>
      <c r="AJ603" s="31">
        <f t="shared" si="255"/>
        <v>6.3545778065351013E-2</v>
      </c>
    </row>
    <row r="604" spans="1:37" ht="16.8">
      <c r="A604" s="28">
        <v>46260</v>
      </c>
      <c r="B604" s="3">
        <v>201</v>
      </c>
      <c r="C604" s="3">
        <v>501</v>
      </c>
      <c r="D604" s="3">
        <v>81</v>
      </c>
      <c r="E604" s="3">
        <v>491.49999999999994</v>
      </c>
      <c r="F604" s="3">
        <v>247.00000000000003</v>
      </c>
      <c r="G604" s="3">
        <v>75.75</v>
      </c>
      <c r="H604" s="3">
        <v>47</v>
      </c>
      <c r="I604" s="3">
        <v>2057.4166666666665</v>
      </c>
      <c r="J604" s="3">
        <v>97</v>
      </c>
      <c r="K604" s="3">
        <v>1587.8333333333335</v>
      </c>
      <c r="L604" s="3">
        <v>57.5</v>
      </c>
      <c r="M604" s="3">
        <v>272.16666666666663</v>
      </c>
      <c r="N604" s="107">
        <f t="shared" si="238"/>
        <v>310.96571083685353</v>
      </c>
      <c r="O604" s="7">
        <f t="shared" si="251"/>
        <v>4772.25</v>
      </c>
      <c r="P604" s="7">
        <f t="shared" si="248"/>
        <v>4461.2842891631462</v>
      </c>
      <c r="Q604" s="7">
        <f t="shared" si="249"/>
        <v>2057.4166666666665</v>
      </c>
      <c r="R604" s="7">
        <f t="shared" si="250"/>
        <v>1276.86762249648</v>
      </c>
      <c r="S604" s="7">
        <v>5</v>
      </c>
      <c r="T604" s="7">
        <v>68</v>
      </c>
      <c r="U604" s="164"/>
      <c r="V604" s="103">
        <v>131533</v>
      </c>
      <c r="W604" s="7">
        <f t="shared" si="228"/>
        <v>143393</v>
      </c>
      <c r="X604" s="103">
        <f t="shared" si="229"/>
        <v>143398</v>
      </c>
      <c r="Y604" s="103">
        <f t="shared" si="235"/>
        <v>143398</v>
      </c>
      <c r="Z604" s="2">
        <v>26158</v>
      </c>
      <c r="AA604" s="103">
        <v>11865</v>
      </c>
      <c r="AB604" s="103"/>
      <c r="AC604" s="78">
        <v>126888</v>
      </c>
      <c r="AD604" s="103">
        <f t="shared" si="217"/>
        <v>143398</v>
      </c>
      <c r="AE604" s="192">
        <f t="shared" si="252"/>
        <v>0.19584279049240275</v>
      </c>
      <c r="AF604" s="192">
        <f t="shared" si="253"/>
        <v>0</v>
      </c>
      <c r="AG604" s="20">
        <f t="shared" si="245"/>
        <v>310.96571083685353</v>
      </c>
      <c r="AH604" s="20">
        <f t="shared" si="246"/>
        <v>0</v>
      </c>
      <c r="AI604" s="3">
        <f t="shared" si="254"/>
        <v>100730</v>
      </c>
      <c r="AJ604" s="31">
        <f t="shared" si="255"/>
        <v>8.2741739773218595E-2</v>
      </c>
    </row>
    <row r="605" spans="1:37" ht="16.8">
      <c r="A605" s="28">
        <v>46261</v>
      </c>
      <c r="B605" s="3">
        <v>189</v>
      </c>
      <c r="C605" s="3">
        <v>508.25</v>
      </c>
      <c r="D605" s="3">
        <v>79</v>
      </c>
      <c r="E605" s="3">
        <v>467.66666666666669</v>
      </c>
      <c r="F605" s="3">
        <v>216.91666666666666</v>
      </c>
      <c r="G605" s="3">
        <v>76.5</v>
      </c>
      <c r="H605" s="3">
        <v>43.583333333333336</v>
      </c>
      <c r="I605" s="3">
        <v>2098.083333333333</v>
      </c>
      <c r="J605" s="3">
        <v>105.75</v>
      </c>
      <c r="K605" s="3">
        <v>1674.2499999999998</v>
      </c>
      <c r="L605" s="3">
        <v>65</v>
      </c>
      <c r="M605" s="3">
        <v>262.91666666666669</v>
      </c>
      <c r="N605" s="107">
        <f t="shared" si="238"/>
        <v>48.657727750785071</v>
      </c>
      <c r="O605" s="7">
        <f t="shared" si="251"/>
        <v>4871.2499999999991</v>
      </c>
      <c r="P605" s="7">
        <f t="shared" si="248"/>
        <v>4822.5922722492141</v>
      </c>
      <c r="Q605" s="7">
        <f t="shared" si="249"/>
        <v>2097.9643568983256</v>
      </c>
      <c r="R605" s="7">
        <f t="shared" si="250"/>
        <v>1625.711248684222</v>
      </c>
      <c r="T605" s="7">
        <v>23</v>
      </c>
      <c r="U605" s="164"/>
      <c r="V605" s="103">
        <v>119455</v>
      </c>
      <c r="W605" s="7">
        <f t="shared" si="228"/>
        <v>126956</v>
      </c>
      <c r="X605" s="103">
        <f t="shared" si="229"/>
        <v>126968</v>
      </c>
      <c r="Y605" s="103">
        <f t="shared" si="235"/>
        <v>126956</v>
      </c>
      <c r="Z605" s="2">
        <v>3450</v>
      </c>
      <c r="AA605" s="103">
        <v>7501</v>
      </c>
      <c r="AB605" s="103">
        <v>12</v>
      </c>
      <c r="AC605" s="78">
        <v>113051</v>
      </c>
      <c r="AD605" s="103">
        <f t="shared" si="217"/>
        <v>126968</v>
      </c>
      <c r="AE605" s="192">
        <f t="shared" si="252"/>
        <v>2.8991340191594942E-2</v>
      </c>
      <c r="AF605" s="192">
        <f t="shared" si="253"/>
        <v>5.6707201814630455E-5</v>
      </c>
      <c r="AG605" s="20">
        <f t="shared" si="245"/>
        <v>48.538751315777823</v>
      </c>
      <c r="AH605" s="20">
        <f t="shared" si="246"/>
        <v>0.11897643500724589</v>
      </c>
      <c r="AI605" s="3">
        <f t="shared" si="254"/>
        <v>109601</v>
      </c>
      <c r="AJ605" s="31">
        <f t="shared" si="255"/>
        <v>5.9077877890492091E-2</v>
      </c>
    </row>
    <row r="606" spans="1:37" ht="16.8">
      <c r="A606" s="28">
        <v>46262</v>
      </c>
      <c r="B606" s="3">
        <v>295.5</v>
      </c>
      <c r="C606" s="3">
        <v>450.75</v>
      </c>
      <c r="D606" s="3">
        <v>75.083333333333329</v>
      </c>
      <c r="E606" s="3">
        <v>470.5</v>
      </c>
      <c r="F606" s="3">
        <v>235.16666666666669</v>
      </c>
      <c r="G606" s="3">
        <v>73</v>
      </c>
      <c r="H606" s="3">
        <v>47</v>
      </c>
      <c r="I606" s="3">
        <v>1907</v>
      </c>
      <c r="J606" s="3">
        <v>112</v>
      </c>
      <c r="K606" s="3">
        <v>1462.1666666666667</v>
      </c>
      <c r="L606" s="3">
        <v>83.25</v>
      </c>
      <c r="M606" s="3">
        <v>246.5</v>
      </c>
      <c r="N606" s="107">
        <f t="shared" si="238"/>
        <v>174.98304506377843</v>
      </c>
      <c r="O606" s="7">
        <f t="shared" si="251"/>
        <v>4537.666666666667</v>
      </c>
      <c r="P606" s="7">
        <f t="shared" si="248"/>
        <v>4362.6836216028878</v>
      </c>
      <c r="Q606" s="7">
        <f t="shared" si="249"/>
        <v>1748.4071729905759</v>
      </c>
      <c r="R606" s="7">
        <f t="shared" si="250"/>
        <v>1445.7764486123124</v>
      </c>
      <c r="S606" s="7">
        <v>5</v>
      </c>
      <c r="T606" s="7">
        <v>66</v>
      </c>
      <c r="U606" s="164"/>
      <c r="V606" s="103">
        <v>132739</v>
      </c>
      <c r="W606" s="7">
        <f t="shared" si="228"/>
        <v>139658</v>
      </c>
      <c r="X606" s="103">
        <f t="shared" si="229"/>
        <v>162136</v>
      </c>
      <c r="Y606" s="103">
        <f t="shared" si="235"/>
        <v>139663</v>
      </c>
      <c r="Z606" s="2">
        <v>1296</v>
      </c>
      <c r="AA606" s="103">
        <v>6924</v>
      </c>
      <c r="AB606" s="103">
        <v>22473</v>
      </c>
      <c r="AC606" s="78">
        <v>109835</v>
      </c>
      <c r="AD606" s="103">
        <f t="shared" si="217"/>
        <v>162136</v>
      </c>
      <c r="AE606" s="192">
        <f t="shared" si="252"/>
        <v>1.120954158510493E-2</v>
      </c>
      <c r="AF606" s="192">
        <f t="shared" si="253"/>
        <v>8.3163517047416979E-2</v>
      </c>
      <c r="AG606" s="20">
        <f t="shared" si="245"/>
        <v>16.390218054354261</v>
      </c>
      <c r="AH606" s="20">
        <f t="shared" si="246"/>
        <v>158.59282700942418</v>
      </c>
      <c r="AI606" s="3">
        <f t="shared" si="254"/>
        <v>108539</v>
      </c>
      <c r="AJ606" s="31">
        <f t="shared" si="255"/>
        <v>4.2704889722208518E-2</v>
      </c>
    </row>
    <row r="607" spans="1:37" ht="16.8">
      <c r="A607" s="28">
        <v>46263</v>
      </c>
      <c r="B607" s="3">
        <v>180</v>
      </c>
      <c r="C607" s="3">
        <v>381.16666666666669</v>
      </c>
      <c r="D607" s="3">
        <v>73</v>
      </c>
      <c r="E607" s="3">
        <v>305.41666666666663</v>
      </c>
      <c r="F607" s="3">
        <v>224</v>
      </c>
      <c r="G607" s="3">
        <v>0</v>
      </c>
      <c r="H607" s="3">
        <v>30</v>
      </c>
      <c r="I607" s="3">
        <v>1878.8333333333333</v>
      </c>
      <c r="J607" s="3">
        <v>67.5</v>
      </c>
      <c r="K607" s="3">
        <v>1447.9166666666665</v>
      </c>
      <c r="L607" s="3">
        <v>60</v>
      </c>
      <c r="M607" s="3">
        <v>225</v>
      </c>
      <c r="N607" s="107">
        <f t="shared" si="238"/>
        <v>472.21189989146512</v>
      </c>
      <c r="O607" s="7">
        <f t="shared" si="251"/>
        <v>4252.4166666666661</v>
      </c>
      <c r="P607" s="7">
        <f t="shared" si="248"/>
        <v>3780.2047667752013</v>
      </c>
      <c r="Q607" s="7">
        <f t="shared" si="249"/>
        <v>1758.0650104298691</v>
      </c>
      <c r="R607" s="7">
        <f t="shared" si="250"/>
        <v>1096.4730896786657</v>
      </c>
      <c r="T607" s="7">
        <v>25</v>
      </c>
      <c r="U607" s="164"/>
      <c r="V607" s="103">
        <v>128650</v>
      </c>
      <c r="W607" s="7">
        <f>+V607-U607-S607+AA607</f>
        <v>135259</v>
      </c>
      <c r="X607" s="103">
        <f t="shared" si="229"/>
        <v>151488</v>
      </c>
      <c r="Y607" s="103">
        <f t="shared" si="235"/>
        <v>135259</v>
      </c>
      <c r="Z607" s="2">
        <v>30726</v>
      </c>
      <c r="AA607" s="103">
        <v>6609</v>
      </c>
      <c r="AB607" s="103">
        <v>16229</v>
      </c>
      <c r="AC607" s="78">
        <v>120259</v>
      </c>
      <c r="AD607" s="103">
        <f t="shared" si="217"/>
        <v>151488</v>
      </c>
      <c r="AE607" s="192">
        <f t="shared" si="252"/>
        <v>0.2427236215168927</v>
      </c>
      <c r="AF607" s="192">
        <f t="shared" si="253"/>
        <v>6.4278358681875786E-2</v>
      </c>
      <c r="AG607" s="20">
        <f t="shared" si="245"/>
        <v>351.44357698800087</v>
      </c>
      <c r="AH607" s="20">
        <f t="shared" si="246"/>
        <v>120.76832290346428</v>
      </c>
      <c r="AI607" s="3">
        <f t="shared" si="254"/>
        <v>89533</v>
      </c>
      <c r="AJ607" s="31">
        <f t="shared" si="255"/>
        <v>4.3627217997465148E-2</v>
      </c>
    </row>
    <row r="608" spans="1:37" ht="16.8">
      <c r="A608" s="28">
        <v>46264</v>
      </c>
      <c r="B608" s="3">
        <v>0</v>
      </c>
      <c r="C608" s="3">
        <v>0</v>
      </c>
      <c r="D608" s="3">
        <v>0</v>
      </c>
      <c r="E608" s="3">
        <v>0</v>
      </c>
      <c r="F608" s="3">
        <v>0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3">
        <v>0</v>
      </c>
      <c r="M608" s="3">
        <v>7</v>
      </c>
      <c r="N608" s="107">
        <f t="shared" si="238"/>
        <v>0</v>
      </c>
      <c r="O608" s="7">
        <f t="shared" si="251"/>
        <v>0</v>
      </c>
      <c r="P608" s="7">
        <f t="shared" si="248"/>
        <v>0</v>
      </c>
      <c r="Q608" s="7">
        <f t="shared" si="249"/>
        <v>0</v>
      </c>
      <c r="R608" s="7">
        <f t="shared" si="250"/>
        <v>0</v>
      </c>
      <c r="T608" s="7"/>
      <c r="U608" s="164"/>
      <c r="V608" s="103"/>
      <c r="W608" s="7"/>
      <c r="X608" s="103">
        <f t="shared" si="229"/>
        <v>0</v>
      </c>
      <c r="Y608" s="103">
        <f t="shared" si="235"/>
        <v>0</v>
      </c>
      <c r="Z608" s="2"/>
      <c r="AD608" s="103"/>
      <c r="AE608" s="192"/>
      <c r="AF608" s="192"/>
      <c r="AG608" s="20"/>
      <c r="AH608" s="20"/>
      <c r="AI608" s="3"/>
      <c r="AJ608" s="31"/>
    </row>
    <row r="609" spans="1:40">
      <c r="A609" s="28">
        <v>46265</v>
      </c>
      <c r="B609" s="2">
        <v>210.08333333333334</v>
      </c>
      <c r="C609" s="2">
        <v>342.75</v>
      </c>
      <c r="D609" s="2">
        <v>86.666666666666657</v>
      </c>
      <c r="E609" s="2">
        <v>500.33333333333337</v>
      </c>
      <c r="F609" s="2">
        <v>277</v>
      </c>
      <c r="G609" s="2">
        <v>119.75000000000001</v>
      </c>
      <c r="H609" s="2">
        <v>70.5</v>
      </c>
      <c r="I609" s="2">
        <v>1926.8333333333333</v>
      </c>
      <c r="J609" s="2">
        <v>120</v>
      </c>
      <c r="K609" s="2">
        <v>1495.1666666666667</v>
      </c>
      <c r="L609" s="2">
        <v>96</v>
      </c>
      <c r="M609" s="2">
        <v>231</v>
      </c>
      <c r="N609" s="107">
        <f t="shared" si="238"/>
        <v>48.140292867030425</v>
      </c>
      <c r="O609" s="7">
        <f t="shared" si="251"/>
        <v>4458.5</v>
      </c>
      <c r="P609" s="7">
        <f t="shared" si="248"/>
        <v>4410.3597071329696</v>
      </c>
      <c r="Q609" s="7">
        <f t="shared" si="249"/>
        <v>1888.1943244642648</v>
      </c>
      <c r="R609" s="7">
        <f t="shared" si="250"/>
        <v>1485.6653826687048</v>
      </c>
      <c r="T609" s="7"/>
      <c r="U609" s="74"/>
      <c r="V609" s="103">
        <v>105877</v>
      </c>
      <c r="W609" s="7">
        <f t="shared" ref="W609:W635" si="256">+V609-U609-S609+AA609</f>
        <v>117074</v>
      </c>
      <c r="X609" s="103">
        <f t="shared" si="229"/>
        <v>119742</v>
      </c>
      <c r="Y609" s="103">
        <f>+X609-AB609</f>
        <v>117074</v>
      </c>
      <c r="Z609" s="2">
        <v>989</v>
      </c>
      <c r="AA609" s="103">
        <v>11197</v>
      </c>
      <c r="AB609" s="103">
        <v>2668</v>
      </c>
      <c r="AC609" s="78">
        <v>147852</v>
      </c>
      <c r="AD609" s="103">
        <f t="shared" si="217"/>
        <v>119742</v>
      </c>
      <c r="AE609" s="192">
        <f t="shared" ref="AE609:AE615" si="257">+(Z609/AC609*0.95)</f>
        <v>6.3546654762870972E-3</v>
      </c>
      <c r="AF609" s="31">
        <f>+(AB609/AD609*0.9)</f>
        <v>2.0053114195520371E-2</v>
      </c>
      <c r="AG609" s="20">
        <f t="shared" ref="AG609:AG615" si="258">+AE609*K609</f>
        <v>9.5012839979619255</v>
      </c>
      <c r="AH609" s="20">
        <f t="shared" ref="AH609:AH615" si="259">+AF609*I609</f>
        <v>38.639008869068498</v>
      </c>
      <c r="AI609" s="3">
        <f t="shared" ref="AI609:AI615" si="260">+AC609-Z609</f>
        <v>146863</v>
      </c>
      <c r="AJ609" s="31">
        <f t="shared" ref="AJ609:AJ615" si="261">+AA609/AD609</f>
        <v>9.35093784971021E-2</v>
      </c>
    </row>
    <row r="610" spans="1:40">
      <c r="A610" s="28">
        <v>46266</v>
      </c>
      <c r="B610" s="2">
        <v>179.24999999999997</v>
      </c>
      <c r="C610" s="2">
        <v>498</v>
      </c>
      <c r="D610" s="2">
        <v>82</v>
      </c>
      <c r="E610" s="2">
        <v>461.91666666666663</v>
      </c>
      <c r="F610" s="2">
        <v>220.5</v>
      </c>
      <c r="G610" s="2">
        <v>56.75</v>
      </c>
      <c r="H610" s="2">
        <v>70.5</v>
      </c>
      <c r="I610" s="2">
        <v>2024.0833333333333</v>
      </c>
      <c r="J610" s="2">
        <v>127.5</v>
      </c>
      <c r="K610" s="2">
        <v>1528.4166666666667</v>
      </c>
      <c r="L610" s="2">
        <v>96</v>
      </c>
      <c r="M610" s="2">
        <v>248.5</v>
      </c>
      <c r="N610" s="107">
        <f t="shared" si="238"/>
        <v>226.38509755351402</v>
      </c>
      <c r="O610" s="7">
        <f t="shared" si="251"/>
        <v>4659.75</v>
      </c>
      <c r="P610" s="7">
        <f t="shared" si="248"/>
        <v>4433.3649024464858</v>
      </c>
      <c r="Q610" s="7">
        <f t="shared" si="249"/>
        <v>1916.3246508642073</v>
      </c>
      <c r="R610" s="7">
        <f t="shared" si="250"/>
        <v>1409.7902515822786</v>
      </c>
      <c r="S610" s="74"/>
      <c r="T610" s="74"/>
      <c r="U610" s="74"/>
      <c r="V610" s="103">
        <v>132306</v>
      </c>
      <c r="W610" s="7">
        <f t="shared" si="256"/>
        <v>140331</v>
      </c>
      <c r="X610" s="103">
        <f t="shared" si="229"/>
        <v>149154</v>
      </c>
      <c r="Y610" s="103">
        <f t="shared" si="235"/>
        <v>140331</v>
      </c>
      <c r="Z610" s="2">
        <v>12263</v>
      </c>
      <c r="AA610" s="103">
        <v>8025</v>
      </c>
      <c r="AB610" s="103">
        <v>8823</v>
      </c>
      <c r="AC610" s="78">
        <v>150100</v>
      </c>
      <c r="AD610" s="103">
        <f t="shared" si="217"/>
        <v>149154</v>
      </c>
      <c r="AE610" s="192">
        <f t="shared" si="257"/>
        <v>7.7613924050632901E-2</v>
      </c>
      <c r="AF610" s="31">
        <f t="shared" ref="AF610:AF615" si="262">+(AB610/AD610*0.9)</f>
        <v>5.3238263807876419E-2</v>
      </c>
      <c r="AG610" s="20">
        <f t="shared" si="258"/>
        <v>118.62641508438817</v>
      </c>
      <c r="AH610" s="20">
        <f t="shared" si="259"/>
        <v>107.75868246912586</v>
      </c>
      <c r="AI610" s="3">
        <f t="shared" si="260"/>
        <v>137837</v>
      </c>
      <c r="AJ610" s="31">
        <f t="shared" si="261"/>
        <v>5.3803451466269761E-2</v>
      </c>
    </row>
    <row r="611" spans="1:40">
      <c r="A611" s="28">
        <v>46267</v>
      </c>
      <c r="B611" s="2">
        <v>195</v>
      </c>
      <c r="C611" s="2">
        <v>496.5</v>
      </c>
      <c r="D611" s="2">
        <v>75</v>
      </c>
      <c r="E611" s="2">
        <v>480.83333333333337</v>
      </c>
      <c r="F611" s="2">
        <v>216</v>
      </c>
      <c r="G611" s="2">
        <v>68</v>
      </c>
      <c r="H611" s="2">
        <v>63</v>
      </c>
      <c r="I611" s="2">
        <v>2187.6666666666665</v>
      </c>
      <c r="J611" s="2">
        <v>120</v>
      </c>
      <c r="K611" s="2">
        <v>1619.2500000000002</v>
      </c>
      <c r="L611" s="2">
        <v>53.833333333333329</v>
      </c>
      <c r="M611" s="2">
        <v>247</v>
      </c>
      <c r="N611" s="107">
        <f t="shared" si="238"/>
        <v>360.11371125511135</v>
      </c>
      <c r="O611" s="7">
        <f t="shared" si="251"/>
        <v>4909.416666666667</v>
      </c>
      <c r="P611" s="7">
        <f t="shared" si="248"/>
        <v>4549.3029554115556</v>
      </c>
      <c r="Q611" s="7">
        <f t="shared" si="249"/>
        <v>1976.410186117392</v>
      </c>
      <c r="R611" s="7">
        <f t="shared" si="250"/>
        <v>1470.3927692941634</v>
      </c>
      <c r="S611" s="74"/>
      <c r="T611" s="74"/>
      <c r="U611" s="74"/>
      <c r="V611" s="103">
        <v>136703</v>
      </c>
      <c r="W611" s="7">
        <f t="shared" si="256"/>
        <v>162264</v>
      </c>
      <c r="X611" s="103">
        <f t="shared" si="229"/>
        <v>181767</v>
      </c>
      <c r="Y611" s="103">
        <f t="shared" si="235"/>
        <v>162264</v>
      </c>
      <c r="Z611" s="2">
        <v>14971</v>
      </c>
      <c r="AA611" s="103">
        <v>25561</v>
      </c>
      <c r="AB611" s="103">
        <v>19503</v>
      </c>
      <c r="AC611" s="78">
        <v>154710</v>
      </c>
      <c r="AD611" s="103">
        <f t="shared" si="217"/>
        <v>181767</v>
      </c>
      <c r="AE611" s="192">
        <f t="shared" si="257"/>
        <v>9.1929739512636541E-2</v>
      </c>
      <c r="AF611" s="31">
        <f t="shared" si="262"/>
        <v>9.6567033619964021E-2</v>
      </c>
      <c r="AG611" s="20">
        <f t="shared" si="258"/>
        <v>148.85723070583674</v>
      </c>
      <c r="AH611" s="20">
        <f t="shared" si="259"/>
        <v>211.25648054927461</v>
      </c>
      <c r="AI611" s="3">
        <f t="shared" si="260"/>
        <v>139739</v>
      </c>
      <c r="AJ611" s="31">
        <f t="shared" si="261"/>
        <v>0.14062508596169823</v>
      </c>
    </row>
    <row r="612" spans="1:40">
      <c r="A612" s="28">
        <v>46268</v>
      </c>
      <c r="B612" s="2">
        <v>202.5</v>
      </c>
      <c r="C612" s="2">
        <v>455.41666666666663</v>
      </c>
      <c r="D612" s="2">
        <v>85</v>
      </c>
      <c r="E612" s="2">
        <v>504.00000000000006</v>
      </c>
      <c r="F612" s="2">
        <v>282.41666666666663</v>
      </c>
      <c r="G612" s="2">
        <v>68</v>
      </c>
      <c r="H612" s="2">
        <v>62</v>
      </c>
      <c r="I612" s="2">
        <v>2437.1666666666665</v>
      </c>
      <c r="J612" s="2">
        <v>108</v>
      </c>
      <c r="K612" s="2">
        <v>2012.5</v>
      </c>
      <c r="L612" s="2">
        <v>50.083333333333329</v>
      </c>
      <c r="M612" s="2">
        <v>252.58333333333334</v>
      </c>
      <c r="N612" s="107">
        <f t="shared" si="238"/>
        <v>47.964136970772337</v>
      </c>
      <c r="O612" s="7">
        <f t="shared" si="251"/>
        <v>5583</v>
      </c>
      <c r="P612" s="7">
        <f t="shared" si="248"/>
        <v>5535.0358630292276</v>
      </c>
      <c r="Q612" s="7">
        <f t="shared" si="249"/>
        <v>2437.1666666666665</v>
      </c>
      <c r="R612" s="7">
        <f t="shared" si="250"/>
        <v>1964.5358630292276</v>
      </c>
      <c r="S612" s="74"/>
      <c r="T612" s="74"/>
      <c r="U612" s="74"/>
      <c r="V612" s="103">
        <v>116733</v>
      </c>
      <c r="W612" s="7">
        <f t="shared" si="256"/>
        <v>122468</v>
      </c>
      <c r="X612" s="103">
        <f t="shared" si="229"/>
        <v>122468</v>
      </c>
      <c r="Y612" s="103">
        <f>+X612-AB612</f>
        <v>122468</v>
      </c>
      <c r="Z612" s="2">
        <v>3563</v>
      </c>
      <c r="AA612" s="103">
        <v>5735</v>
      </c>
      <c r="AB612" s="103"/>
      <c r="AC612" s="78">
        <v>142023</v>
      </c>
      <c r="AD612" s="103">
        <f t="shared" si="217"/>
        <v>122468</v>
      </c>
      <c r="AE612" s="192">
        <f t="shared" si="257"/>
        <v>2.3833111538271969E-2</v>
      </c>
      <c r="AF612" s="31">
        <f t="shared" si="262"/>
        <v>0</v>
      </c>
      <c r="AG612" s="20">
        <f t="shared" si="258"/>
        <v>47.964136970772337</v>
      </c>
      <c r="AH612" s="20">
        <f t="shared" si="259"/>
        <v>0</v>
      </c>
      <c r="AI612" s="3">
        <f t="shared" si="260"/>
        <v>138460</v>
      </c>
      <c r="AJ612" s="31">
        <f t="shared" si="261"/>
        <v>4.6828559297122513E-2</v>
      </c>
    </row>
    <row r="613" spans="1:40">
      <c r="A613" s="28">
        <v>46269</v>
      </c>
      <c r="B613" s="2">
        <v>180</v>
      </c>
      <c r="C613" s="2">
        <v>482.83333333333337</v>
      </c>
      <c r="D613" s="2">
        <v>84.166666666666671</v>
      </c>
      <c r="E613" s="2">
        <v>477.5</v>
      </c>
      <c r="F613" s="2">
        <v>274.66666666666669</v>
      </c>
      <c r="G613" s="2">
        <v>66.583333333333343</v>
      </c>
      <c r="H613" s="2">
        <v>70.5</v>
      </c>
      <c r="I613" s="2">
        <v>2246.166666666667</v>
      </c>
      <c r="J613" s="2">
        <v>105</v>
      </c>
      <c r="K613" s="2">
        <v>1830.3333333333333</v>
      </c>
      <c r="L613" s="2">
        <v>47</v>
      </c>
      <c r="M613" s="2">
        <v>229</v>
      </c>
      <c r="N613" s="107">
        <f t="shared" si="238"/>
        <v>6.2625104794517679</v>
      </c>
      <c r="O613" s="7">
        <f t="shared" si="251"/>
        <v>5203.166666666667</v>
      </c>
      <c r="P613" s="7">
        <f t="shared" si="248"/>
        <v>5196.9041561872154</v>
      </c>
      <c r="Q613" s="7">
        <f t="shared" si="249"/>
        <v>2246.1346859353125</v>
      </c>
      <c r="R613" s="7">
        <f t="shared" si="250"/>
        <v>1824.1028035852357</v>
      </c>
      <c r="S613"/>
      <c r="T613"/>
      <c r="U613"/>
      <c r="V613" s="103">
        <v>121896</v>
      </c>
      <c r="W613" s="7">
        <f t="shared" si="256"/>
        <v>126421</v>
      </c>
      <c r="X613" s="103">
        <f t="shared" si="229"/>
        <v>126423</v>
      </c>
      <c r="Y613" s="103">
        <f t="shared" si="235"/>
        <v>126421</v>
      </c>
      <c r="Z613" s="2">
        <v>587</v>
      </c>
      <c r="AA613" s="103">
        <v>4525</v>
      </c>
      <c r="AB613" s="103">
        <v>2</v>
      </c>
      <c r="AC613" s="78">
        <v>163820</v>
      </c>
      <c r="AD613" s="103">
        <f t="shared" si="217"/>
        <v>126423</v>
      </c>
      <c r="AE613" s="192">
        <f t="shared" si="257"/>
        <v>3.4040410206324012E-3</v>
      </c>
      <c r="AF613" s="31">
        <f t="shared" si="262"/>
        <v>1.4237915569160676E-5</v>
      </c>
      <c r="AG613" s="20">
        <f t="shared" si="258"/>
        <v>6.2305297480975046</v>
      </c>
      <c r="AH613" s="20">
        <f t="shared" si="259"/>
        <v>3.1980731354263076E-2</v>
      </c>
      <c r="AI613" s="3">
        <f t="shared" si="260"/>
        <v>163233</v>
      </c>
      <c r="AJ613" s="31">
        <f t="shared" si="261"/>
        <v>3.5792537750251138E-2</v>
      </c>
    </row>
    <row r="614" spans="1:40">
      <c r="A614" s="28">
        <v>46270</v>
      </c>
      <c r="B614" s="2">
        <v>184.5</v>
      </c>
      <c r="C614" s="2">
        <v>437.91666666666663</v>
      </c>
      <c r="D614" s="2">
        <v>82.5</v>
      </c>
      <c r="E614" s="2">
        <v>375</v>
      </c>
      <c r="F614" s="2">
        <v>244.08333333333331</v>
      </c>
      <c r="G614" s="2">
        <v>0</v>
      </c>
      <c r="H614" s="2">
        <v>45</v>
      </c>
      <c r="I614" s="2">
        <v>2223.25</v>
      </c>
      <c r="J614" s="2">
        <v>112.5</v>
      </c>
      <c r="K614" s="2">
        <v>1628.4166666666667</v>
      </c>
      <c r="L614" s="2">
        <v>45</v>
      </c>
      <c r="M614" s="2">
        <v>222.75</v>
      </c>
      <c r="N614" s="107">
        <f t="shared" si="238"/>
        <v>332.66572968529255</v>
      </c>
      <c r="O614" s="7">
        <f t="shared" si="251"/>
        <v>4913.166666666667</v>
      </c>
      <c r="P614" s="7">
        <f t="shared" si="248"/>
        <v>4580.5009369813743</v>
      </c>
      <c r="Q614" s="7">
        <f t="shared" si="249"/>
        <v>2221.975077448697</v>
      </c>
      <c r="R614" s="7">
        <f t="shared" si="250"/>
        <v>1297.025859532677</v>
      </c>
      <c r="S614"/>
      <c r="T614"/>
      <c r="U614"/>
      <c r="V614" s="103">
        <v>130853</v>
      </c>
      <c r="W614" s="7">
        <f t="shared" si="256"/>
        <v>136455</v>
      </c>
      <c r="X614" s="103">
        <f t="shared" si="229"/>
        <v>136542</v>
      </c>
      <c r="Y614" s="103">
        <f t="shared" si="235"/>
        <v>136455</v>
      </c>
      <c r="Z614" s="2">
        <v>19671</v>
      </c>
      <c r="AA614" s="103">
        <v>5602</v>
      </c>
      <c r="AB614" s="103">
        <v>87</v>
      </c>
      <c r="AC614" s="78">
        <v>91828</v>
      </c>
      <c r="AD614" s="103">
        <f t="shared" si="217"/>
        <v>136542</v>
      </c>
      <c r="AE614" s="192">
        <f t="shared" si="257"/>
        <v>0.20350492224593805</v>
      </c>
      <c r="AF614" s="31">
        <f t="shared" si="262"/>
        <v>5.7344992749483676E-4</v>
      </c>
      <c r="AG614" s="20">
        <f t="shared" si="258"/>
        <v>331.39080713398965</v>
      </c>
      <c r="AH614" s="20">
        <f t="shared" si="259"/>
        <v>1.2749225513028959</v>
      </c>
      <c r="AI614" s="3">
        <f t="shared" si="260"/>
        <v>72157</v>
      </c>
      <c r="AJ614" s="31">
        <f t="shared" si="261"/>
        <v>4.102766914209547E-2</v>
      </c>
    </row>
    <row r="615" spans="1:40" ht="16.8">
      <c r="A615" s="28">
        <v>46271</v>
      </c>
      <c r="B615" s="2">
        <v>127.5</v>
      </c>
      <c r="C615" s="2">
        <v>247.5</v>
      </c>
      <c r="D615" s="2">
        <v>75</v>
      </c>
      <c r="E615" s="2">
        <v>140.83333333333331</v>
      </c>
      <c r="F615" s="2">
        <v>215.5</v>
      </c>
      <c r="G615" s="2">
        <v>0</v>
      </c>
      <c r="H615" s="2">
        <v>30</v>
      </c>
      <c r="I615" s="2">
        <v>1708.3333333333333</v>
      </c>
      <c r="J615" s="2">
        <v>110.58333333333333</v>
      </c>
      <c r="K615" s="2">
        <v>1112.0833333333335</v>
      </c>
      <c r="L615" s="2">
        <v>45</v>
      </c>
      <c r="M615" s="2">
        <v>199.91666666666666</v>
      </c>
      <c r="N615" s="107">
        <f t="shared" si="238"/>
        <v>451.10867292624647</v>
      </c>
      <c r="O615" s="7">
        <f t="shared" si="251"/>
        <v>3596.5</v>
      </c>
      <c r="P615" s="7">
        <f t="shared" si="248"/>
        <v>3145.3913270737539</v>
      </c>
      <c r="Q615" s="7">
        <f t="shared" si="249"/>
        <v>1534.2053581304003</v>
      </c>
      <c r="R615" s="7">
        <f t="shared" si="250"/>
        <v>835.10263561001989</v>
      </c>
      <c r="S615" s="164"/>
      <c r="T615" s="164"/>
      <c r="U615" s="164"/>
      <c r="V615" s="103">
        <v>105882</v>
      </c>
      <c r="W615" s="7">
        <f t="shared" si="256"/>
        <v>109569</v>
      </c>
      <c r="X615" s="103">
        <f t="shared" si="229"/>
        <v>123563</v>
      </c>
      <c r="Y615" s="103">
        <f t="shared" si="235"/>
        <v>109569</v>
      </c>
      <c r="Z615" s="2">
        <v>29096</v>
      </c>
      <c r="AA615" s="103">
        <v>3687</v>
      </c>
      <c r="AB615" s="103">
        <v>13994</v>
      </c>
      <c r="AC615" s="78">
        <v>110980</v>
      </c>
      <c r="AD615" s="103">
        <f t="shared" si="217"/>
        <v>123563</v>
      </c>
      <c r="AE615" s="192">
        <f t="shared" si="257"/>
        <v>0.24906469634168316</v>
      </c>
      <c r="AF615" s="31">
        <f t="shared" si="262"/>
        <v>0.10192857085049732</v>
      </c>
      <c r="AG615" s="20">
        <f t="shared" si="258"/>
        <v>276.98069772331354</v>
      </c>
      <c r="AH615" s="20">
        <f t="shared" si="259"/>
        <v>174.12797520293293</v>
      </c>
      <c r="AI615" s="3">
        <f t="shared" si="260"/>
        <v>81884</v>
      </c>
      <c r="AJ615" s="31">
        <f t="shared" si="261"/>
        <v>2.983902948293583E-2</v>
      </c>
    </row>
    <row r="616" spans="1:40" ht="16.8">
      <c r="A616" s="28">
        <v>46272</v>
      </c>
      <c r="B616" s="3">
        <v>195</v>
      </c>
      <c r="C616" s="3">
        <v>280.66666666666663</v>
      </c>
      <c r="D616" s="3">
        <v>82.5</v>
      </c>
      <c r="E616" s="3">
        <v>551</v>
      </c>
      <c r="F616" s="3">
        <v>341.08333333333337</v>
      </c>
      <c r="G616" s="3">
        <v>142.66666666666666</v>
      </c>
      <c r="H616" s="3">
        <v>70.5</v>
      </c>
      <c r="I616" s="3">
        <v>2649.5</v>
      </c>
      <c r="J616" s="3">
        <v>126.83333333333333</v>
      </c>
      <c r="K616" s="3">
        <v>1672.5</v>
      </c>
      <c r="L616" s="3">
        <v>85.5</v>
      </c>
      <c r="M616" s="3">
        <v>285.25</v>
      </c>
      <c r="N616" s="107">
        <f t="shared" si="238"/>
        <v>545.29731740763145</v>
      </c>
      <c r="O616" s="7">
        <f t="shared" si="251"/>
        <v>5348.083333333333</v>
      </c>
      <c r="P616" s="7">
        <f t="shared" si="248"/>
        <v>4802.7860159257016</v>
      </c>
      <c r="Q616" s="7">
        <f t="shared" si="249"/>
        <v>2447.0743372744246</v>
      </c>
      <c r="R616" s="7">
        <f t="shared" si="250"/>
        <v>1329.6283453179442</v>
      </c>
      <c r="S616" s="81"/>
      <c r="T616" s="164"/>
      <c r="U616" s="81"/>
      <c r="V616" s="103">
        <v>144446</v>
      </c>
      <c r="W616" s="7">
        <f t="shared" si="256"/>
        <v>154411</v>
      </c>
      <c r="X616" s="103">
        <f>+V616+AB616+AA616</f>
        <v>168735</v>
      </c>
      <c r="Y616" s="103">
        <f t="shared" si="235"/>
        <v>154411</v>
      </c>
      <c r="Z616" s="2">
        <v>38833</v>
      </c>
      <c r="AA616" s="103">
        <v>9965</v>
      </c>
      <c r="AB616" s="103">
        <v>14324</v>
      </c>
      <c r="AC616" s="78">
        <v>179953</v>
      </c>
      <c r="AD616" s="103">
        <f t="shared" si="217"/>
        <v>168735</v>
      </c>
      <c r="AE616" s="192">
        <f t="shared" ref="AE616:AE621" si="263">+(Z616/AC616*0.95)</f>
        <v>0.20500547365145341</v>
      </c>
      <c r="AF616" s="31">
        <f t="shared" ref="AF616:AF621" si="264">+(AB616/AD616*0.9)</f>
        <v>7.6401457907369547E-2</v>
      </c>
      <c r="AG616" s="20">
        <f t="shared" ref="AG616:AG621" si="265">+AE616*K616</f>
        <v>342.87165468205581</v>
      </c>
      <c r="AH616" s="20">
        <f t="shared" ref="AH616:AH621" si="266">+AF616*I616</f>
        <v>202.42566272557562</v>
      </c>
      <c r="AI616" s="3">
        <f t="shared" ref="AI616:AI621" si="267">+AC616-Z616</f>
        <v>141120</v>
      </c>
      <c r="AJ616" s="31">
        <f t="shared" ref="AJ616:AJ621" si="268">+AA616/AD616</f>
        <v>5.9057101371973807E-2</v>
      </c>
    </row>
    <row r="617" spans="1:40" ht="16.8">
      <c r="A617" s="28">
        <v>46273</v>
      </c>
      <c r="B617" s="3">
        <v>187.5</v>
      </c>
      <c r="C617" s="3">
        <v>465</v>
      </c>
      <c r="D617" s="3">
        <v>75</v>
      </c>
      <c r="E617" s="3">
        <v>495.33333333333331</v>
      </c>
      <c r="F617" s="3">
        <v>360</v>
      </c>
      <c r="G617" s="3">
        <v>125.25</v>
      </c>
      <c r="H617" s="3">
        <v>63</v>
      </c>
      <c r="I617" s="3">
        <v>2631.3333333333335</v>
      </c>
      <c r="J617" s="3">
        <v>116.5</v>
      </c>
      <c r="K617" s="3">
        <v>1668.0833333333333</v>
      </c>
      <c r="L617" s="3">
        <v>73.5</v>
      </c>
      <c r="M617" s="3">
        <v>284.66666666666663</v>
      </c>
      <c r="N617" s="107">
        <f t="shared" si="238"/>
        <v>577.25400848651918</v>
      </c>
      <c r="O617" s="7">
        <f t="shared" si="251"/>
        <v>5503.416666666667</v>
      </c>
      <c r="P617" s="7">
        <f t="shared" si="248"/>
        <v>4926.1626581801474</v>
      </c>
      <c r="Q617" s="7">
        <f t="shared" si="249"/>
        <v>2501.3572131931542</v>
      </c>
      <c r="R617" s="7">
        <f t="shared" si="250"/>
        <v>1220.8054449869933</v>
      </c>
      <c r="S617" s="164"/>
      <c r="T617" s="164"/>
      <c r="U617" s="81"/>
      <c r="V617" s="103">
        <v>157790</v>
      </c>
      <c r="W617" s="7">
        <f t="shared" si="256"/>
        <v>160734</v>
      </c>
      <c r="X617" s="103">
        <f t="shared" si="229"/>
        <v>170068</v>
      </c>
      <c r="Y617" s="103">
        <f t="shared" si="235"/>
        <v>160734</v>
      </c>
      <c r="Z617" s="2">
        <v>51792</v>
      </c>
      <c r="AA617" s="103">
        <v>2944</v>
      </c>
      <c r="AB617" s="103">
        <v>9334</v>
      </c>
      <c r="AC617" s="78">
        <v>183496</v>
      </c>
      <c r="AD617" s="103">
        <f t="shared" si="217"/>
        <v>170068</v>
      </c>
      <c r="AE617" s="192">
        <f t="shared" si="263"/>
        <v>0.26813881501504117</v>
      </c>
      <c r="AF617" s="31">
        <f t="shared" si="264"/>
        <v>4.9395535903285749E-2</v>
      </c>
      <c r="AG617" s="20">
        <f t="shared" si="265"/>
        <v>447.27788834633992</v>
      </c>
      <c r="AH617" s="20">
        <f t="shared" si="266"/>
        <v>129.97612014017923</v>
      </c>
      <c r="AI617" s="3">
        <f t="shared" si="267"/>
        <v>131704</v>
      </c>
      <c r="AJ617" s="31">
        <f t="shared" si="268"/>
        <v>1.7310722769715643E-2</v>
      </c>
    </row>
    <row r="618" spans="1:40" ht="16.8">
      <c r="A618" s="28">
        <v>46274</v>
      </c>
      <c r="B618" s="3">
        <v>187.5</v>
      </c>
      <c r="C618" s="3">
        <v>415.33333333333337</v>
      </c>
      <c r="D618" s="3">
        <v>82.5</v>
      </c>
      <c r="E618" s="3">
        <v>508.08333333333331</v>
      </c>
      <c r="F618" s="3">
        <v>350.91666666666663</v>
      </c>
      <c r="G618" s="3">
        <v>139.83333333333331</v>
      </c>
      <c r="H618" s="3">
        <v>70.5</v>
      </c>
      <c r="I618" s="3">
        <v>2685.333333333333</v>
      </c>
      <c r="J618" s="3">
        <v>133.08333333333334</v>
      </c>
      <c r="K618" s="3">
        <v>1753.8333333333335</v>
      </c>
      <c r="L618" s="3">
        <v>88.25</v>
      </c>
      <c r="M618" s="3">
        <v>311.41666666666669</v>
      </c>
      <c r="N618" s="107">
        <f t="shared" si="238"/>
        <v>370.36242425233888</v>
      </c>
      <c r="O618" s="7">
        <f t="shared" si="251"/>
        <v>5608.4999999999991</v>
      </c>
      <c r="P618" s="7">
        <f t="shared" si="248"/>
        <v>5238.1375757476599</v>
      </c>
      <c r="Q618" s="7">
        <f t="shared" si="249"/>
        <v>2397.9649076371652</v>
      </c>
      <c r="R618" s="7">
        <f t="shared" si="250"/>
        <v>1670.8393347771621</v>
      </c>
      <c r="S618" s="164"/>
      <c r="T618" s="164"/>
      <c r="U618" s="81"/>
      <c r="V618" s="103">
        <v>133719</v>
      </c>
      <c r="W618" s="7">
        <f>+V618-U618-S618+AA618</f>
        <v>143808</v>
      </c>
      <c r="X618" s="103">
        <f t="shared" si="229"/>
        <v>163215</v>
      </c>
      <c r="Y618" s="103">
        <f t="shared" si="235"/>
        <v>143808</v>
      </c>
      <c r="Z618" s="2">
        <v>8602</v>
      </c>
      <c r="AA618" s="103">
        <v>10089</v>
      </c>
      <c r="AB618" s="103">
        <v>19407</v>
      </c>
      <c r="AC618" s="78">
        <v>172689</v>
      </c>
      <c r="AD618" s="103">
        <f t="shared" si="217"/>
        <v>163215</v>
      </c>
      <c r="AE618" s="192">
        <f t="shared" si="263"/>
        <v>4.7321485444932795E-2</v>
      </c>
      <c r="AF618" s="31">
        <f t="shared" si="264"/>
        <v>0.1070140612076096</v>
      </c>
      <c r="AG618" s="20">
        <f t="shared" si="265"/>
        <v>82.993998556171306</v>
      </c>
      <c r="AH618" s="20">
        <f t="shared" si="266"/>
        <v>287.36842569616761</v>
      </c>
      <c r="AI618" s="3">
        <f t="shared" si="267"/>
        <v>164087</v>
      </c>
      <c r="AJ618" s="31">
        <f t="shared" si="268"/>
        <v>6.1814171491590846E-2</v>
      </c>
    </row>
    <row r="619" spans="1:40" ht="16.8">
      <c r="A619" s="28">
        <v>46275</v>
      </c>
      <c r="B619" s="3">
        <v>202.5</v>
      </c>
      <c r="C619" s="3">
        <v>427.5</v>
      </c>
      <c r="D619" s="3">
        <v>82.5</v>
      </c>
      <c r="E619" s="3">
        <v>510.16666666666669</v>
      </c>
      <c r="F619" s="3">
        <v>339</v>
      </c>
      <c r="G619" s="3">
        <v>138.75</v>
      </c>
      <c r="H619" s="3">
        <v>70.5</v>
      </c>
      <c r="I619" s="3">
        <v>2569.4166666666665</v>
      </c>
      <c r="J619" s="3">
        <v>148.08333333333334</v>
      </c>
      <c r="K619" s="3">
        <v>1605.4166666666665</v>
      </c>
      <c r="L619" s="3">
        <v>87.5</v>
      </c>
      <c r="M619" s="3">
        <v>293.33333333333331</v>
      </c>
      <c r="N619" s="107">
        <f t="shared" si="238"/>
        <v>194.66458305047647</v>
      </c>
      <c r="O619" s="7">
        <f t="shared" si="251"/>
        <v>5374.4166666666661</v>
      </c>
      <c r="P619" s="7">
        <f t="shared" si="248"/>
        <v>5179.7520836161902</v>
      </c>
      <c r="Q619" s="7">
        <f t="shared" si="249"/>
        <v>2437.5987016303893</v>
      </c>
      <c r="R619" s="7">
        <f t="shared" si="250"/>
        <v>1542.5700486524672</v>
      </c>
      <c r="S619" s="81"/>
      <c r="T619" s="164"/>
      <c r="U619" s="81"/>
      <c r="V619" s="103">
        <v>160458</v>
      </c>
      <c r="W619" s="7">
        <f t="shared" si="256"/>
        <v>165843</v>
      </c>
      <c r="X619" s="103">
        <f t="shared" si="229"/>
        <v>175868</v>
      </c>
      <c r="Y619" s="103">
        <f t="shared" si="235"/>
        <v>165843</v>
      </c>
      <c r="Z619" s="2">
        <v>7466</v>
      </c>
      <c r="AA619" s="103">
        <v>5385</v>
      </c>
      <c r="AB619" s="103">
        <v>10025</v>
      </c>
      <c r="AC619" s="78">
        <v>181183</v>
      </c>
      <c r="AD619" s="103">
        <f t="shared" si="217"/>
        <v>175868</v>
      </c>
      <c r="AE619" s="192">
        <f t="shared" si="263"/>
        <v>3.9146608677414547E-2</v>
      </c>
      <c r="AF619" s="31">
        <f t="shared" si="264"/>
        <v>5.1302681556622015E-2</v>
      </c>
      <c r="AG619" s="20">
        <f t="shared" si="265"/>
        <v>62.846618014199265</v>
      </c>
      <c r="AH619" s="20">
        <f t="shared" si="266"/>
        <v>131.8179650362772</v>
      </c>
      <c r="AI619" s="3">
        <f t="shared" si="267"/>
        <v>173717</v>
      </c>
      <c r="AJ619" s="31">
        <f t="shared" si="268"/>
        <v>3.0619555575772738E-2</v>
      </c>
    </row>
    <row r="620" spans="1:40" ht="16.8">
      <c r="A620" s="28">
        <v>46276</v>
      </c>
      <c r="B620" s="3">
        <v>207</v>
      </c>
      <c r="C620" s="3">
        <v>438.83333333333326</v>
      </c>
      <c r="D620" s="3">
        <v>89.666666666666657</v>
      </c>
      <c r="E620" s="3">
        <v>553.16666666666674</v>
      </c>
      <c r="F620" s="3">
        <v>429.08333333333331</v>
      </c>
      <c r="G620" s="3">
        <v>152.25</v>
      </c>
      <c r="H620" s="3">
        <v>68.25</v>
      </c>
      <c r="I620" s="3">
        <v>2756.1666666666665</v>
      </c>
      <c r="J620" s="3">
        <v>143.5</v>
      </c>
      <c r="K620" s="3">
        <v>1451.3333333333333</v>
      </c>
      <c r="L620" s="3">
        <v>43.25</v>
      </c>
      <c r="M620" s="3">
        <v>271.58333333333331</v>
      </c>
      <c r="N620" s="107">
        <f t="shared" si="238"/>
        <v>138.91486493228371</v>
      </c>
      <c r="O620" s="7">
        <f t="shared" si="251"/>
        <v>5515.583333333333</v>
      </c>
      <c r="P620" s="7">
        <f t="shared" si="248"/>
        <v>5376.6684684010497</v>
      </c>
      <c r="Q620" s="7">
        <f t="shared" si="249"/>
        <v>2663.7223558826304</v>
      </c>
      <c r="R620" s="7">
        <f t="shared" si="250"/>
        <v>1404.8627791850859</v>
      </c>
      <c r="S620" s="164"/>
      <c r="T620" s="164"/>
      <c r="U620" s="81"/>
      <c r="V620" s="103">
        <v>172460</v>
      </c>
      <c r="W620" s="7">
        <f t="shared" si="256"/>
        <v>173468</v>
      </c>
      <c r="X620" s="103">
        <f t="shared" si="229"/>
        <v>180183</v>
      </c>
      <c r="Y620" s="103">
        <f t="shared" si="235"/>
        <v>173468</v>
      </c>
      <c r="Z620" s="2">
        <v>4750</v>
      </c>
      <c r="AA620" s="103">
        <v>1008</v>
      </c>
      <c r="AB620" s="103">
        <v>6715</v>
      </c>
      <c r="AC620" s="78">
        <v>140931</v>
      </c>
      <c r="AD620" s="103">
        <f t="shared" si="217"/>
        <v>180183</v>
      </c>
      <c r="AE620" s="192">
        <f t="shared" si="263"/>
        <v>3.2019215076881595E-2</v>
      </c>
      <c r="AF620" s="31">
        <f t="shared" si="264"/>
        <v>3.3540900084913672E-2</v>
      </c>
      <c r="AG620" s="20">
        <f t="shared" si="265"/>
        <v>46.470554148247487</v>
      </c>
      <c r="AH620" s="20">
        <f t="shared" si="266"/>
        <v>92.444310784036233</v>
      </c>
      <c r="AI620" s="3">
        <f t="shared" si="267"/>
        <v>136181</v>
      </c>
      <c r="AJ620" s="31">
        <f t="shared" si="268"/>
        <v>5.5943124490101734E-3</v>
      </c>
    </row>
    <row r="621" spans="1:40" ht="16.8">
      <c r="A621" s="28">
        <v>46277</v>
      </c>
      <c r="B621" s="3">
        <v>202.5</v>
      </c>
      <c r="C621" s="3">
        <v>427.41666666666674</v>
      </c>
      <c r="D621" s="3">
        <v>87.5</v>
      </c>
      <c r="E621" s="3">
        <v>351.83333333333337</v>
      </c>
      <c r="F621" s="3">
        <v>356.25</v>
      </c>
      <c r="G621" s="3">
        <v>0</v>
      </c>
      <c r="H621" s="3">
        <v>45</v>
      </c>
      <c r="I621" s="3">
        <v>2560.166666666667</v>
      </c>
      <c r="J621" s="3">
        <v>134</v>
      </c>
      <c r="K621" s="3">
        <v>1176.4999999999998</v>
      </c>
      <c r="L621" s="3">
        <v>60</v>
      </c>
      <c r="M621" s="3">
        <v>257.75</v>
      </c>
      <c r="N621" s="107">
        <f t="shared" si="238"/>
        <v>262.71922804190763</v>
      </c>
      <c r="O621" s="7">
        <f t="shared" si="251"/>
        <v>4944.3333333333339</v>
      </c>
      <c r="P621" s="7">
        <f t="shared" si="248"/>
        <v>4681.6141052914263</v>
      </c>
      <c r="Q621" s="7">
        <f t="shared" si="249"/>
        <v>2560.166666666667</v>
      </c>
      <c r="R621" s="7">
        <f t="shared" si="250"/>
        <v>913.78077195809215</v>
      </c>
      <c r="S621" s="81"/>
      <c r="T621" s="164"/>
      <c r="U621" s="81"/>
      <c r="V621" s="103">
        <v>176609</v>
      </c>
      <c r="W621" s="7">
        <f t="shared" si="256"/>
        <v>180638</v>
      </c>
      <c r="X621" s="103">
        <f t="shared" si="229"/>
        <v>180638</v>
      </c>
      <c r="Y621" s="103">
        <f t="shared" si="235"/>
        <v>180638</v>
      </c>
      <c r="Z621" s="2">
        <v>31657</v>
      </c>
      <c r="AA621" s="103">
        <v>4029</v>
      </c>
      <c r="AB621" s="103"/>
      <c r="AC621" s="78">
        <v>134677</v>
      </c>
      <c r="AD621" s="103">
        <f t="shared" si="217"/>
        <v>180638</v>
      </c>
      <c r="AE621" s="192">
        <f t="shared" si="263"/>
        <v>0.22330576119159173</v>
      </c>
      <c r="AF621" s="31">
        <f t="shared" si="264"/>
        <v>0</v>
      </c>
      <c r="AG621" s="20">
        <f t="shared" si="265"/>
        <v>262.71922804190763</v>
      </c>
      <c r="AH621" s="20">
        <f t="shared" si="266"/>
        <v>0</v>
      </c>
      <c r="AI621" s="3">
        <f t="shared" si="267"/>
        <v>103020</v>
      </c>
      <c r="AJ621" s="31">
        <f t="shared" si="268"/>
        <v>2.2304277062412118E-2</v>
      </c>
      <c r="AN621" s="31"/>
    </row>
    <row r="622" spans="1:40" ht="16.8">
      <c r="A622" s="28">
        <v>46278</v>
      </c>
      <c r="B622" s="3">
        <v>0</v>
      </c>
      <c r="C622" s="3">
        <v>0</v>
      </c>
      <c r="D622" s="3">
        <v>0</v>
      </c>
      <c r="E622" s="3">
        <v>0</v>
      </c>
      <c r="F622" s="3">
        <v>0</v>
      </c>
      <c r="G622" s="3">
        <v>0</v>
      </c>
      <c r="H622" s="3">
        <v>0</v>
      </c>
      <c r="I622" s="3">
        <v>0</v>
      </c>
      <c r="J622" s="3">
        <v>0</v>
      </c>
      <c r="K622" s="3">
        <v>0</v>
      </c>
      <c r="L622" s="3">
        <v>0</v>
      </c>
      <c r="M622" s="3">
        <v>0</v>
      </c>
      <c r="N622" s="107">
        <f t="shared" si="238"/>
        <v>0</v>
      </c>
      <c r="O622" s="7">
        <f t="shared" si="251"/>
        <v>0</v>
      </c>
      <c r="P622" s="7">
        <f t="shared" si="248"/>
        <v>0</v>
      </c>
      <c r="Q622" s="7">
        <f t="shared" si="249"/>
        <v>0</v>
      </c>
      <c r="R622" s="7">
        <f t="shared" si="250"/>
        <v>0</v>
      </c>
      <c r="S622" s="164"/>
      <c r="T622" s="164"/>
      <c r="U622" s="81"/>
      <c r="V622" s="103"/>
      <c r="W622" s="7"/>
      <c r="X622" s="103"/>
      <c r="Y622" s="103"/>
      <c r="Z622" s="2"/>
      <c r="AA622" s="103"/>
      <c r="AB622" s="103"/>
      <c r="AD622" s="103"/>
      <c r="AE622" s="192"/>
      <c r="AF622" s="31"/>
      <c r="AG622" s="20"/>
      <c r="AH622" s="20"/>
      <c r="AI622" s="3"/>
      <c r="AJ622" s="31"/>
    </row>
    <row r="623" spans="1:40" ht="16.8">
      <c r="A623" s="28">
        <v>46279</v>
      </c>
      <c r="B623" s="3">
        <v>195</v>
      </c>
      <c r="C623" s="3">
        <v>606</v>
      </c>
      <c r="D623" s="3">
        <v>74.083333333333343</v>
      </c>
      <c r="E623" s="3">
        <v>481</v>
      </c>
      <c r="F623" s="3">
        <v>477.75</v>
      </c>
      <c r="G623" s="3">
        <v>181.66666666666666</v>
      </c>
      <c r="H623" s="3">
        <v>78</v>
      </c>
      <c r="I623" s="3">
        <v>2604.583333333333</v>
      </c>
      <c r="J623" s="3">
        <v>239.58333333333334</v>
      </c>
      <c r="K623" s="3">
        <v>1643.6666666666665</v>
      </c>
      <c r="L623" s="3">
        <v>85.5</v>
      </c>
      <c r="M623" s="3">
        <v>287</v>
      </c>
      <c r="N623" s="107">
        <f t="shared" ref="N623:N628" si="269">+AH623+AG623</f>
        <v>343.44611502240241</v>
      </c>
      <c r="O623" s="7">
        <f t="shared" ref="O623:O628" si="270">+B623+C623+D623+F623+I623+K623+J623</f>
        <v>5840.6666666666661</v>
      </c>
      <c r="P623" s="7">
        <f t="shared" ref="P623:P628" si="271">+B623+C623+D623+F623+J623+Q623+R623</f>
        <v>5497.2205516442637</v>
      </c>
      <c r="Q623" s="7">
        <f t="shared" ref="Q623:Q628" si="272">+I623-AH623</f>
        <v>2266.4282627614839</v>
      </c>
      <c r="R623" s="7">
        <f t="shared" ref="R623:R628" si="273">+K623-AG623</f>
        <v>1638.375622216113</v>
      </c>
      <c r="S623" s="164"/>
      <c r="T623" s="164"/>
      <c r="U623" s="81"/>
      <c r="V623" s="103">
        <v>148135</v>
      </c>
      <c r="W623" s="7">
        <f t="shared" si="256"/>
        <v>151755</v>
      </c>
      <c r="X623" s="103">
        <f t="shared" si="229"/>
        <v>177337</v>
      </c>
      <c r="Y623" s="103">
        <f t="shared" si="235"/>
        <v>151755</v>
      </c>
      <c r="Z623" s="2">
        <v>567</v>
      </c>
      <c r="AA623" s="103">
        <v>3620</v>
      </c>
      <c r="AB623" s="2">
        <v>25582</v>
      </c>
      <c r="AC623" s="78">
        <v>167332</v>
      </c>
      <c r="AD623" s="103">
        <f t="shared" si="217"/>
        <v>177337</v>
      </c>
      <c r="AE623" s="192">
        <f t="shared" ref="AE623:AE628" si="274">+(Z623/AC623*0.95)</f>
        <v>3.2190495541797146E-3</v>
      </c>
      <c r="AF623" s="31">
        <f t="shared" ref="AF623:AF628" si="275">+(AB623/AD623*0.9)</f>
        <v>0.12983077417572192</v>
      </c>
      <c r="AG623" s="20">
        <f t="shared" ref="AG623:AG628" si="276">+AE623*K623</f>
        <v>5.2910444505533905</v>
      </c>
      <c r="AH623" s="20">
        <f t="shared" ref="AH623:AH628" si="277">+AF623*I623</f>
        <v>338.15507057184902</v>
      </c>
      <c r="AI623" s="3">
        <f t="shared" ref="AI623:AI628" si="278">+AC623-Z623</f>
        <v>166765</v>
      </c>
      <c r="AJ623" s="31">
        <f t="shared" ref="AJ623:AJ628" si="279">+AA623/AD623</f>
        <v>2.041311175896739E-2</v>
      </c>
    </row>
    <row r="624" spans="1:40">
      <c r="A624" s="28">
        <v>46280</v>
      </c>
      <c r="B624" s="3">
        <v>187.5</v>
      </c>
      <c r="C624" s="3">
        <v>490.5</v>
      </c>
      <c r="D624" s="3">
        <v>82.5</v>
      </c>
      <c r="E624" s="3">
        <v>527.25</v>
      </c>
      <c r="F624" s="3">
        <v>371.33333333333337</v>
      </c>
      <c r="G624" s="3">
        <v>185.16666666666666</v>
      </c>
      <c r="H624" s="3">
        <v>84.75</v>
      </c>
      <c r="I624" s="3">
        <v>2991.5</v>
      </c>
      <c r="J624" s="3">
        <v>181</v>
      </c>
      <c r="K624" s="3">
        <v>1525.5833333333333</v>
      </c>
      <c r="L624" s="3">
        <v>70.5</v>
      </c>
      <c r="M624" s="3">
        <v>290.41666666666669</v>
      </c>
      <c r="N624" s="107">
        <f t="shared" si="269"/>
        <v>221.07186341760675</v>
      </c>
      <c r="O624" s="7">
        <f t="shared" si="270"/>
        <v>5829.916666666667</v>
      </c>
      <c r="P624" s="7">
        <f t="shared" si="271"/>
        <v>5608.8448032490596</v>
      </c>
      <c r="Q624" s="7">
        <f t="shared" si="272"/>
        <v>2843.7351991020887</v>
      </c>
      <c r="R624" s="7">
        <f t="shared" si="273"/>
        <v>1452.2762708136379</v>
      </c>
      <c r="S624"/>
      <c r="T624"/>
      <c r="U624"/>
      <c r="V624" s="103">
        <v>168826</v>
      </c>
      <c r="W624" s="7">
        <f t="shared" si="256"/>
        <v>174306</v>
      </c>
      <c r="X624" s="103">
        <f t="shared" si="229"/>
        <v>184428</v>
      </c>
      <c r="Y624" s="103">
        <f t="shared" si="235"/>
        <v>174306</v>
      </c>
      <c r="Z624" s="2">
        <v>7972</v>
      </c>
      <c r="AA624" s="103">
        <v>5480</v>
      </c>
      <c r="AB624" s="2">
        <v>10122</v>
      </c>
      <c r="AC624" s="78">
        <v>157609</v>
      </c>
      <c r="AD624" s="103">
        <f t="shared" si="217"/>
        <v>184428</v>
      </c>
      <c r="AE624" s="192">
        <f t="shared" si="274"/>
        <v>4.8051824451649336E-2</v>
      </c>
      <c r="AF624" s="31">
        <f t="shared" si="275"/>
        <v>4.9394885809096234E-2</v>
      </c>
      <c r="AG624" s="20">
        <f t="shared" si="276"/>
        <v>73.307062519695364</v>
      </c>
      <c r="AH624" s="20">
        <f t="shared" si="277"/>
        <v>147.76480089791139</v>
      </c>
      <c r="AI624" s="3">
        <f t="shared" si="278"/>
        <v>149637</v>
      </c>
      <c r="AJ624" s="31">
        <f t="shared" si="279"/>
        <v>2.9713492528249508E-2</v>
      </c>
    </row>
    <row r="625" spans="1:36">
      <c r="A625" s="28">
        <v>46281</v>
      </c>
      <c r="B625" s="3">
        <v>187.08333333333334</v>
      </c>
      <c r="C625" s="3">
        <v>570.75</v>
      </c>
      <c r="D625" s="3">
        <v>90</v>
      </c>
      <c r="E625" s="3">
        <v>486</v>
      </c>
      <c r="F625" s="3">
        <v>427.33333333333337</v>
      </c>
      <c r="G625" s="3">
        <v>183.91666666666669</v>
      </c>
      <c r="H625" s="3">
        <v>86.5</v>
      </c>
      <c r="I625" s="3">
        <v>2669.25</v>
      </c>
      <c r="J625" s="3">
        <v>188.5</v>
      </c>
      <c r="K625" s="3">
        <v>1632.4166666666667</v>
      </c>
      <c r="L625" s="3">
        <v>70.5</v>
      </c>
      <c r="M625" s="3">
        <v>301.83333333333337</v>
      </c>
      <c r="N625" s="107">
        <f t="shared" si="269"/>
        <v>602.23562714284458</v>
      </c>
      <c r="O625" s="7">
        <f t="shared" si="270"/>
        <v>5765.3333333333339</v>
      </c>
      <c r="P625" s="7">
        <f t="shared" si="271"/>
        <v>5163.0977061904887</v>
      </c>
      <c r="Q625" s="7">
        <f t="shared" si="272"/>
        <v>2213.344499883739</v>
      </c>
      <c r="R625" s="7">
        <f t="shared" si="273"/>
        <v>1486.0865396400832</v>
      </c>
      <c r="S625"/>
      <c r="T625"/>
      <c r="U625"/>
      <c r="V625" s="103">
        <v>166378</v>
      </c>
      <c r="W625" s="7">
        <f t="shared" si="256"/>
        <v>167256</v>
      </c>
      <c r="X625" s="103">
        <f>+V625+AB625+AA625</f>
        <v>206432</v>
      </c>
      <c r="Y625" s="103">
        <f>+X625-AB625</f>
        <v>167256</v>
      </c>
      <c r="Z625" s="2">
        <v>15910</v>
      </c>
      <c r="AA625" s="103">
        <v>878</v>
      </c>
      <c r="AB625" s="2">
        <v>39176</v>
      </c>
      <c r="AC625" s="78">
        <v>168613</v>
      </c>
      <c r="AD625" s="103">
        <f t="shared" si="217"/>
        <v>206432</v>
      </c>
      <c r="AE625" s="192">
        <f t="shared" si="274"/>
        <v>8.9640181955128018E-2</v>
      </c>
      <c r="AF625" s="31">
        <f t="shared" si="275"/>
        <v>0.17079910091458689</v>
      </c>
      <c r="AG625" s="20">
        <f t="shared" si="276"/>
        <v>146.33012702658357</v>
      </c>
      <c r="AH625" s="20">
        <f t="shared" si="277"/>
        <v>455.90550011626107</v>
      </c>
      <c r="AI625" s="3">
        <f t="shared" si="278"/>
        <v>152703</v>
      </c>
      <c r="AJ625" s="31">
        <f t="shared" si="279"/>
        <v>4.2532165555727794E-3</v>
      </c>
    </row>
    <row r="626" spans="1:36">
      <c r="A626" s="28">
        <v>46282</v>
      </c>
      <c r="B626" s="3">
        <v>202.5</v>
      </c>
      <c r="C626" s="3">
        <v>469.66666666666674</v>
      </c>
      <c r="D626" s="3">
        <v>92.5</v>
      </c>
      <c r="E626" s="3">
        <v>491.25000000000006</v>
      </c>
      <c r="F626" s="3">
        <v>359.75</v>
      </c>
      <c r="G626" s="3">
        <v>183.08333333333331</v>
      </c>
      <c r="H626" s="3">
        <v>87</v>
      </c>
      <c r="I626" s="3">
        <v>2949.1666666666665</v>
      </c>
      <c r="J626" s="3">
        <v>155.08333333333334</v>
      </c>
      <c r="K626" s="3">
        <v>1830.9999999999998</v>
      </c>
      <c r="L626" s="3">
        <v>70.5</v>
      </c>
      <c r="M626" s="3">
        <v>321.66666666666663</v>
      </c>
      <c r="N626" s="107">
        <f t="shared" si="269"/>
        <v>312.2985582982671</v>
      </c>
      <c r="O626" s="7">
        <f>+B626+C626+D626+F626+I626+K626+J626</f>
        <v>6059.6666666666661</v>
      </c>
      <c r="P626" s="7">
        <f t="shared" si="271"/>
        <v>5747.3681083683996</v>
      </c>
      <c r="Q626" s="7">
        <f t="shared" si="272"/>
        <v>2722.6335685212916</v>
      </c>
      <c r="R626" s="7">
        <f t="shared" si="273"/>
        <v>1745.2345398471077</v>
      </c>
      <c r="S626"/>
      <c r="T626"/>
      <c r="U626"/>
      <c r="V626" s="103">
        <v>158069</v>
      </c>
      <c r="W626" s="7">
        <f t="shared" si="256"/>
        <v>158802</v>
      </c>
      <c r="X626" s="103">
        <f t="shared" si="229"/>
        <v>173620</v>
      </c>
      <c r="Y626" s="103">
        <f>+X626-AB626</f>
        <v>158802</v>
      </c>
      <c r="Z626" s="2">
        <v>7514</v>
      </c>
      <c r="AA626" s="103">
        <v>733</v>
      </c>
      <c r="AB626" s="2">
        <v>14818</v>
      </c>
      <c r="AC626" s="78">
        <v>152395</v>
      </c>
      <c r="AD626" s="103">
        <f t="shared" si="217"/>
        <v>173620</v>
      </c>
      <c r="AE626" s="192">
        <f t="shared" si="274"/>
        <v>4.68407756159979E-2</v>
      </c>
      <c r="AF626" s="31">
        <f t="shared" si="275"/>
        <v>7.6812579195945169E-2</v>
      </c>
      <c r="AG626" s="20">
        <f t="shared" si="276"/>
        <v>85.765460152892146</v>
      </c>
      <c r="AH626" s="20">
        <f t="shared" si="277"/>
        <v>226.53309814537494</v>
      </c>
      <c r="AI626" s="3">
        <f t="shared" si="278"/>
        <v>144881</v>
      </c>
      <c r="AJ626" s="31">
        <f t="shared" si="279"/>
        <v>4.2218638405713627E-3</v>
      </c>
    </row>
    <row r="627" spans="1:36">
      <c r="A627" s="28">
        <v>46283</v>
      </c>
      <c r="B627" s="3">
        <v>194.66666666666666</v>
      </c>
      <c r="C627" s="3">
        <v>515.5</v>
      </c>
      <c r="D627" s="3">
        <v>82.5</v>
      </c>
      <c r="E627" s="3">
        <v>454.33333333333331</v>
      </c>
      <c r="F627" s="3">
        <v>428.91666666666663</v>
      </c>
      <c r="G627" s="3">
        <v>165.08333333333331</v>
      </c>
      <c r="H627" s="3">
        <v>86.25</v>
      </c>
      <c r="I627" s="3">
        <v>2771.5833333333335</v>
      </c>
      <c r="J627" s="3">
        <v>166</v>
      </c>
      <c r="K627" s="3">
        <v>1738.6666666666665</v>
      </c>
      <c r="L627" s="3">
        <v>63</v>
      </c>
      <c r="M627" s="3">
        <v>298</v>
      </c>
      <c r="N627" s="107">
        <f t="shared" si="269"/>
        <v>825.5763075769529</v>
      </c>
      <c r="O627" s="7">
        <f t="shared" si="270"/>
        <v>5897.8333333333339</v>
      </c>
      <c r="P627" s="7">
        <f t="shared" si="271"/>
        <v>5072.2570257563802</v>
      </c>
      <c r="Q627" s="7">
        <f t="shared" si="272"/>
        <v>2368.7788760221097</v>
      </c>
      <c r="R627" s="7">
        <f t="shared" si="273"/>
        <v>1315.8948164009375</v>
      </c>
      <c r="S627"/>
      <c r="T627"/>
      <c r="U627"/>
      <c r="V627" s="103">
        <v>163781</v>
      </c>
      <c r="W627" s="7">
        <f t="shared" si="256"/>
        <v>165204</v>
      </c>
      <c r="X627" s="103">
        <f t="shared" si="229"/>
        <v>197019</v>
      </c>
      <c r="Y627" s="103">
        <f t="shared" si="235"/>
        <v>165204</v>
      </c>
      <c r="Z627" s="2">
        <v>44228</v>
      </c>
      <c r="AA627" s="103">
        <v>1423</v>
      </c>
      <c r="AB627" s="2">
        <v>31815</v>
      </c>
      <c r="AC627" s="78">
        <v>172795</v>
      </c>
      <c r="AD627" s="103">
        <f t="shared" si="217"/>
        <v>197019</v>
      </c>
      <c r="AE627" s="192">
        <f t="shared" si="274"/>
        <v>0.24315865621111721</v>
      </c>
      <c r="AF627" s="31">
        <f t="shared" si="275"/>
        <v>0.14533369878032068</v>
      </c>
      <c r="AG627" s="20">
        <f t="shared" si="276"/>
        <v>422.77185026572909</v>
      </c>
      <c r="AH627" s="20">
        <f t="shared" si="277"/>
        <v>402.80445731122381</v>
      </c>
      <c r="AI627" s="3">
        <f t="shared" si="278"/>
        <v>128567</v>
      </c>
      <c r="AJ627" s="31">
        <f t="shared" si="279"/>
        <v>7.2226536526933949E-3</v>
      </c>
    </row>
    <row r="628" spans="1:36">
      <c r="A628" s="28">
        <v>46284</v>
      </c>
      <c r="B628" s="3">
        <v>202.5</v>
      </c>
      <c r="C628" s="3">
        <v>647.58333333333337</v>
      </c>
      <c r="D628" s="3">
        <v>80.75</v>
      </c>
      <c r="E628" s="3">
        <v>297.83333333333337</v>
      </c>
      <c r="F628" s="3">
        <v>266.83333333333337</v>
      </c>
      <c r="G628" s="3">
        <v>6.1666666666666661</v>
      </c>
      <c r="H628" s="3">
        <v>52.5</v>
      </c>
      <c r="I628" s="3">
        <v>2701.3333333333335</v>
      </c>
      <c r="J628" s="3">
        <v>127.5</v>
      </c>
      <c r="K628" s="3">
        <v>1723.5833333333335</v>
      </c>
      <c r="L628" s="3">
        <v>41.75</v>
      </c>
      <c r="M628" s="3">
        <v>291.5</v>
      </c>
      <c r="N628" s="107">
        <f t="shared" si="269"/>
        <v>1134.1292764177301</v>
      </c>
      <c r="O628" s="7">
        <f t="shared" si="270"/>
        <v>5750.0833333333339</v>
      </c>
      <c r="P628" s="7">
        <f t="shared" si="271"/>
        <v>4615.9540569156034</v>
      </c>
      <c r="Q628" s="7">
        <f t="shared" si="272"/>
        <v>2114.069368099601</v>
      </c>
      <c r="R628" s="7">
        <f t="shared" si="273"/>
        <v>1176.7180221493359</v>
      </c>
      <c r="V628" s="103">
        <v>146022</v>
      </c>
      <c r="W628" s="7">
        <f t="shared" si="256"/>
        <v>154978</v>
      </c>
      <c r="X628" s="103">
        <f t="shared" si="229"/>
        <v>204336</v>
      </c>
      <c r="Y628" s="103">
        <f t="shared" si="235"/>
        <v>154978</v>
      </c>
      <c r="Z628" s="2">
        <v>59111</v>
      </c>
      <c r="AA628" s="103">
        <v>8956</v>
      </c>
      <c r="AB628" s="2">
        <v>49358</v>
      </c>
      <c r="AC628" s="78">
        <v>176988</v>
      </c>
      <c r="AD628" s="103">
        <f t="shared" si="217"/>
        <v>204336</v>
      </c>
      <c r="AE628" s="192">
        <f t="shared" si="274"/>
        <v>0.31728394015413475</v>
      </c>
      <c r="AF628" s="31">
        <f t="shared" si="275"/>
        <v>0.21739781536293165</v>
      </c>
      <c r="AG628" s="20">
        <f t="shared" si="276"/>
        <v>546.86531118399751</v>
      </c>
      <c r="AH628" s="20">
        <f t="shared" si="277"/>
        <v>587.26396523373273</v>
      </c>
      <c r="AI628" s="3">
        <f t="shared" si="278"/>
        <v>117877</v>
      </c>
      <c r="AJ628" s="31">
        <f t="shared" si="279"/>
        <v>4.3829770573956622E-2</v>
      </c>
    </row>
    <row r="629" spans="1:36">
      <c r="A629" s="28">
        <v>46285</v>
      </c>
      <c r="B629" s="3">
        <v>0</v>
      </c>
      <c r="C629" s="3">
        <v>0</v>
      </c>
      <c r="D629" s="3">
        <v>0</v>
      </c>
      <c r="E629" s="3">
        <v>0</v>
      </c>
      <c r="F629" s="3"/>
      <c r="G629" s="3">
        <v>0</v>
      </c>
      <c r="H629" s="3">
        <v>0</v>
      </c>
      <c r="I629" s="3">
        <v>0</v>
      </c>
      <c r="J629" s="3">
        <v>0</v>
      </c>
      <c r="K629" s="3">
        <v>0</v>
      </c>
      <c r="L629" s="3">
        <v>0</v>
      </c>
      <c r="M629" s="3">
        <v>0</v>
      </c>
      <c r="N629" s="107">
        <f t="shared" ref="N629:N635" si="280">+AH629+AG629</f>
        <v>0</v>
      </c>
      <c r="O629" s="7">
        <f t="shared" ref="O629:O635" si="281">+B629+C629+D629+F629+I629+K629+J629</f>
        <v>0</v>
      </c>
      <c r="P629" s="7">
        <f t="shared" ref="P629:P635" si="282">+B629+C629+D629+F629+J629+Q629+R629</f>
        <v>0</v>
      </c>
      <c r="Q629" s="7">
        <f t="shared" ref="Q629:Q635" si="283">+I629-AH629</f>
        <v>0</v>
      </c>
      <c r="R629" s="7">
        <f t="shared" ref="R629:R635" si="284">+K629-AG629</f>
        <v>0</v>
      </c>
      <c r="V629" s="103"/>
      <c r="W629" s="7"/>
      <c r="X629" s="103"/>
      <c r="Y629" s="103"/>
      <c r="Z629" s="2"/>
      <c r="AA629" s="103"/>
      <c r="AD629" s="103"/>
      <c r="AE629" s="192"/>
      <c r="AF629" s="31"/>
      <c r="AG629" s="20"/>
      <c r="AH629" s="20"/>
      <c r="AI629" s="3"/>
      <c r="AJ629" s="31"/>
    </row>
    <row r="630" spans="1:36">
      <c r="A630" s="28">
        <v>46286</v>
      </c>
      <c r="B630" s="3">
        <v>244.41666666666669</v>
      </c>
      <c r="C630" s="3">
        <v>591.91666666666674</v>
      </c>
      <c r="D630" s="3">
        <v>86.833333333333343</v>
      </c>
      <c r="E630" s="3">
        <v>454.75</v>
      </c>
      <c r="F630" s="3">
        <v>219</v>
      </c>
      <c r="G630" s="3">
        <v>170.33333333333331</v>
      </c>
      <c r="H630" s="3">
        <v>85.083333333333343</v>
      </c>
      <c r="I630" s="3">
        <v>2702.75</v>
      </c>
      <c r="J630" s="3">
        <v>181</v>
      </c>
      <c r="K630" s="3">
        <v>1741.1666666666667</v>
      </c>
      <c r="L630" s="3">
        <v>93</v>
      </c>
      <c r="M630" s="3">
        <v>294.5</v>
      </c>
      <c r="N630" s="107">
        <f t="shared" si="280"/>
        <v>858.21930485021335</v>
      </c>
      <c r="O630" s="7">
        <f t="shared" si="281"/>
        <v>5767.0833333333339</v>
      </c>
      <c r="P630" s="7">
        <f t="shared" si="282"/>
        <v>4908.8640284831208</v>
      </c>
      <c r="Q630" s="7">
        <f t="shared" si="283"/>
        <v>1844.5306951497867</v>
      </c>
      <c r="R630" s="7">
        <f t="shared" si="284"/>
        <v>1741.1666666666667</v>
      </c>
      <c r="V630" s="103">
        <v>148754</v>
      </c>
      <c r="W630" s="7">
        <f t="shared" si="256"/>
        <v>149993</v>
      </c>
      <c r="X630" s="103">
        <f>+V630+AB630+AA630</f>
        <v>231763</v>
      </c>
      <c r="Y630" s="103">
        <f t="shared" ref="Y630:Y635" si="285">+X630-AB630</f>
        <v>149993</v>
      </c>
      <c r="Z630" s="2">
        <v>0</v>
      </c>
      <c r="AA630" s="103">
        <v>1239</v>
      </c>
      <c r="AB630" s="2">
        <v>81770</v>
      </c>
      <c r="AC630" s="78">
        <v>181378</v>
      </c>
      <c r="AD630" s="103">
        <f t="shared" si="217"/>
        <v>231763</v>
      </c>
      <c r="AE630" s="192">
        <f t="shared" ref="AE630:AE635" si="286">+(Z630/AC630*0.95)</f>
        <v>0</v>
      </c>
      <c r="AF630" s="31">
        <f t="shared" ref="AF630:AF635" si="287">+(AB630/AD630*0.9)</f>
        <v>0.31753558592182529</v>
      </c>
      <c r="AG630" s="20">
        <f t="shared" ref="AG630:AG635" si="288">+AE630*K630</f>
        <v>0</v>
      </c>
      <c r="AH630" s="20">
        <f t="shared" ref="AH630:AH635" si="289">+AF630*I630</f>
        <v>858.21930485021335</v>
      </c>
      <c r="AI630" s="3">
        <f t="shared" ref="AI630:AI635" si="290">+AC630-Z630</f>
        <v>181378</v>
      </c>
      <c r="AJ630" s="31">
        <f t="shared" ref="AJ630:AJ635" si="291">+AA630/AD630</f>
        <v>5.3459784348666526E-3</v>
      </c>
    </row>
    <row r="631" spans="1:36">
      <c r="A631" s="28">
        <v>46287</v>
      </c>
      <c r="B631" s="3">
        <v>270</v>
      </c>
      <c r="C631" s="3">
        <v>546.66666666666663</v>
      </c>
      <c r="D631" s="3">
        <v>89.166666666666657</v>
      </c>
      <c r="E631" s="3">
        <v>459.91666666666669</v>
      </c>
      <c r="F631" s="3">
        <v>207</v>
      </c>
      <c r="G631" s="3">
        <v>164.75</v>
      </c>
      <c r="H631" s="3">
        <v>62</v>
      </c>
      <c r="I631" s="3">
        <v>2732.083333333333</v>
      </c>
      <c r="J631" s="3">
        <v>126.75</v>
      </c>
      <c r="K631" s="3">
        <v>1724.25</v>
      </c>
      <c r="L631" s="3">
        <v>96</v>
      </c>
      <c r="M631" s="3">
        <v>290.33333333333331</v>
      </c>
      <c r="N631" s="107">
        <f t="shared" si="280"/>
        <v>395.37031892834125</v>
      </c>
      <c r="O631" s="7">
        <f t="shared" si="281"/>
        <v>5695.9166666666661</v>
      </c>
      <c r="P631" s="7">
        <f t="shared" si="282"/>
        <v>5300.5463477383246</v>
      </c>
      <c r="Q631" s="7">
        <f t="shared" si="283"/>
        <v>2732.083333333333</v>
      </c>
      <c r="R631" s="7">
        <f t="shared" si="284"/>
        <v>1328.8796810716588</v>
      </c>
      <c r="V631" s="103">
        <v>156908</v>
      </c>
      <c r="W631" s="7">
        <f t="shared" si="256"/>
        <v>161496</v>
      </c>
      <c r="X631" s="103">
        <f>+V631+AB631+AA631</f>
        <v>161496</v>
      </c>
      <c r="Y631" s="103">
        <f>+X631-AB631</f>
        <v>161496</v>
      </c>
      <c r="Z631" s="2">
        <v>43825</v>
      </c>
      <c r="AA631" s="103">
        <v>4588</v>
      </c>
      <c r="AB631" s="103">
        <v>0</v>
      </c>
      <c r="AC631" s="78">
        <v>181569</v>
      </c>
      <c r="AD631" s="103">
        <f t="shared" ref="AD631:AD642" si="292">+X631</f>
        <v>161496</v>
      </c>
      <c r="AE631" s="192">
        <f t="shared" si="286"/>
        <v>0.22929988048620634</v>
      </c>
      <c r="AF631" s="31">
        <f t="shared" si="287"/>
        <v>0</v>
      </c>
      <c r="AG631" s="20">
        <f t="shared" si="288"/>
        <v>395.37031892834125</v>
      </c>
      <c r="AH631" s="20">
        <f t="shared" si="289"/>
        <v>0</v>
      </c>
      <c r="AI631" s="3">
        <f t="shared" si="290"/>
        <v>137744</v>
      </c>
      <c r="AJ631" s="31">
        <f t="shared" si="291"/>
        <v>2.8409372368355872E-2</v>
      </c>
    </row>
    <row r="632" spans="1:36">
      <c r="A632" s="28">
        <v>46288</v>
      </c>
      <c r="B632" s="3">
        <v>392.58333333333331</v>
      </c>
      <c r="C632" s="3">
        <v>667.5</v>
      </c>
      <c r="D632" s="3">
        <v>85</v>
      </c>
      <c r="E632" s="3">
        <v>472.83333333333331</v>
      </c>
      <c r="F632" s="3">
        <v>215.16666666666666</v>
      </c>
      <c r="G632" s="3">
        <v>173.5</v>
      </c>
      <c r="H632" s="3">
        <v>78</v>
      </c>
      <c r="I632" s="3">
        <v>2902.083333333333</v>
      </c>
      <c r="J632" s="3">
        <v>143.5</v>
      </c>
      <c r="K632" s="3">
        <v>1750.5833333333335</v>
      </c>
      <c r="L632" s="3">
        <v>103.5</v>
      </c>
      <c r="M632" s="3">
        <v>305.25</v>
      </c>
      <c r="N632" s="107">
        <f t="shared" si="280"/>
        <v>636.5877210207459</v>
      </c>
      <c r="O632" s="7">
        <f t="shared" si="281"/>
        <v>6156.4166666666661</v>
      </c>
      <c r="P632" s="7">
        <f t="shared" si="282"/>
        <v>5519.8289456459206</v>
      </c>
      <c r="Q632" s="7">
        <f t="shared" si="283"/>
        <v>2627.1557290498613</v>
      </c>
      <c r="R632" s="7">
        <f t="shared" si="284"/>
        <v>1388.9232165960591</v>
      </c>
      <c r="V632" s="103">
        <v>161770</v>
      </c>
      <c r="W632" s="7">
        <f>+V632-U632-S632+AA632</f>
        <v>167565</v>
      </c>
      <c r="X632" s="103">
        <f t="shared" ref="X632:X635" si="293">+V632+AB632+AA632</f>
        <v>187278</v>
      </c>
      <c r="Y632" s="103">
        <f t="shared" si="285"/>
        <v>167565</v>
      </c>
      <c r="Z632" s="2">
        <v>35522</v>
      </c>
      <c r="AA632" s="103">
        <v>5795</v>
      </c>
      <c r="AB632" s="103">
        <v>19713</v>
      </c>
      <c r="AC632" s="78">
        <v>163344</v>
      </c>
      <c r="AD632" s="103">
        <f t="shared" si="292"/>
        <v>187278</v>
      </c>
      <c r="AE632" s="192">
        <f t="shared" si="286"/>
        <v>0.2065940591634832</v>
      </c>
      <c r="AF632" s="31">
        <f t="shared" si="287"/>
        <v>9.473456572581937E-2</v>
      </c>
      <c r="AG632" s="20">
        <f t="shared" si="288"/>
        <v>361.66011673727434</v>
      </c>
      <c r="AH632" s="20">
        <f t="shared" si="289"/>
        <v>274.92760428347162</v>
      </c>
      <c r="AI632" s="3">
        <f t="shared" si="290"/>
        <v>127822</v>
      </c>
      <c r="AJ632" s="31">
        <f t="shared" si="291"/>
        <v>3.0943303538055723E-2</v>
      </c>
    </row>
    <row r="633" spans="1:36">
      <c r="A633" s="28">
        <v>46289</v>
      </c>
      <c r="B633" s="3">
        <v>373.41666666666663</v>
      </c>
      <c r="C633" s="3">
        <v>527.25000000000011</v>
      </c>
      <c r="D633" s="3">
        <v>82.5</v>
      </c>
      <c r="E633" s="3">
        <v>465.25000000000006</v>
      </c>
      <c r="F633" s="3">
        <v>198</v>
      </c>
      <c r="G633" s="3">
        <v>172.08333333333334</v>
      </c>
      <c r="H633" s="3">
        <v>79</v>
      </c>
      <c r="I633" s="3">
        <v>2846.75</v>
      </c>
      <c r="J633" s="3">
        <v>128.5</v>
      </c>
      <c r="K633" s="3">
        <v>1938.0833333333335</v>
      </c>
      <c r="L633" s="3">
        <v>111</v>
      </c>
      <c r="M633" s="3">
        <v>308.5</v>
      </c>
      <c r="N633" s="107">
        <f t="shared" si="280"/>
        <v>857.66813406582378</v>
      </c>
      <c r="O633" s="7">
        <f t="shared" si="281"/>
        <v>6094.5</v>
      </c>
      <c r="P633" s="7">
        <f t="shared" si="282"/>
        <v>5236.8318659341767</v>
      </c>
      <c r="Q633" s="7">
        <f t="shared" si="283"/>
        <v>2465.1464001166742</v>
      </c>
      <c r="R633" s="7">
        <f t="shared" si="284"/>
        <v>1462.0187991508355</v>
      </c>
      <c r="V633" s="103">
        <v>150543</v>
      </c>
      <c r="W633" s="7">
        <f t="shared" si="256"/>
        <v>157557</v>
      </c>
      <c r="X633" s="103">
        <f t="shared" si="293"/>
        <v>185131</v>
      </c>
      <c r="Y633" s="103">
        <f t="shared" si="285"/>
        <v>157557</v>
      </c>
      <c r="Z633" s="2">
        <v>51094</v>
      </c>
      <c r="AA633" s="103">
        <v>7014</v>
      </c>
      <c r="AB633" s="103">
        <v>27574</v>
      </c>
      <c r="AC633" s="78">
        <v>197606</v>
      </c>
      <c r="AD633" s="103">
        <f t="shared" si="292"/>
        <v>185131</v>
      </c>
      <c r="AE633" s="192">
        <f t="shared" si="286"/>
        <v>0.24563677216278856</v>
      </c>
      <c r="AF633" s="31">
        <f t="shared" si="287"/>
        <v>0.13404886269722521</v>
      </c>
      <c r="AG633" s="20">
        <f t="shared" si="288"/>
        <v>476.06453418249782</v>
      </c>
      <c r="AH633" s="20">
        <f t="shared" si="289"/>
        <v>381.6035998833259</v>
      </c>
      <c r="AI633" s="3">
        <f>+AC633-Z633</f>
        <v>146512</v>
      </c>
      <c r="AJ633" s="31">
        <f t="shared" si="291"/>
        <v>3.78866856442195E-2</v>
      </c>
    </row>
    <row r="634" spans="1:36">
      <c r="A634" s="28">
        <v>46290</v>
      </c>
      <c r="B634" s="3">
        <v>297</v>
      </c>
      <c r="C634" s="3">
        <v>706.08333333333337</v>
      </c>
      <c r="D634" s="3">
        <v>82.5</v>
      </c>
      <c r="E634" s="3">
        <v>449.41666666666663</v>
      </c>
      <c r="F634" s="3">
        <v>213</v>
      </c>
      <c r="G634" s="3">
        <v>154.58333333333331</v>
      </c>
      <c r="H634" s="3">
        <v>76.5</v>
      </c>
      <c r="I634" s="3">
        <v>2850.7499999999995</v>
      </c>
      <c r="J634" s="3">
        <v>128.5</v>
      </c>
      <c r="K634" s="3">
        <v>1907.416666666667</v>
      </c>
      <c r="L634" s="3">
        <v>88.5</v>
      </c>
      <c r="M634" s="3">
        <v>307.58333333333331</v>
      </c>
      <c r="N634" s="107">
        <f t="shared" si="280"/>
        <v>1068.8230009516535</v>
      </c>
      <c r="O634" s="7">
        <f t="shared" si="281"/>
        <v>6185.25</v>
      </c>
      <c r="P634" s="7">
        <f t="shared" si="282"/>
        <v>5116.4269990483463</v>
      </c>
      <c r="Q634" s="7">
        <f t="shared" si="283"/>
        <v>2259.8004537928236</v>
      </c>
      <c r="R634" s="7">
        <f t="shared" si="284"/>
        <v>1429.5432119221896</v>
      </c>
      <c r="V634" s="103">
        <v>130860</v>
      </c>
      <c r="W634" s="7">
        <f t="shared" si="256"/>
        <v>136662</v>
      </c>
      <c r="X634" s="103">
        <f t="shared" si="293"/>
        <v>177559</v>
      </c>
      <c r="Y634" s="103">
        <f t="shared" si="285"/>
        <v>136662</v>
      </c>
      <c r="Z634" s="2">
        <v>43848</v>
      </c>
      <c r="AA634" s="103">
        <v>5802</v>
      </c>
      <c r="AB634" s="103">
        <v>40897</v>
      </c>
      <c r="AC634" s="78">
        <v>166267</v>
      </c>
      <c r="AD634" s="103">
        <f t="shared" si="292"/>
        <v>177559</v>
      </c>
      <c r="AE634" s="192">
        <f t="shared" si="286"/>
        <v>0.2505343814467092</v>
      </c>
      <c r="AF634" s="31">
        <f t="shared" si="287"/>
        <v>0.20729616634470796</v>
      </c>
      <c r="AG634" s="20">
        <f t="shared" si="288"/>
        <v>477.87345474447733</v>
      </c>
      <c r="AH634" s="20">
        <f t="shared" si="289"/>
        <v>590.94954620717613</v>
      </c>
      <c r="AI634" s="3">
        <f t="shared" si="290"/>
        <v>122419</v>
      </c>
      <c r="AJ634" s="31">
        <f t="shared" si="291"/>
        <v>3.2676462471629149E-2</v>
      </c>
    </row>
    <row r="635" spans="1:36">
      <c r="A635" s="28">
        <v>46291</v>
      </c>
      <c r="B635" s="3">
        <v>257.5</v>
      </c>
      <c r="C635" s="3">
        <v>708.91666666666674</v>
      </c>
      <c r="D635" s="3">
        <v>75</v>
      </c>
      <c r="E635" s="3">
        <v>266.58333333333331</v>
      </c>
      <c r="F635" s="3">
        <v>171.5</v>
      </c>
      <c r="G635" s="3">
        <v>7.5</v>
      </c>
      <c r="H635" s="3">
        <v>44.666666666666664</v>
      </c>
      <c r="I635" s="3">
        <v>2792.3333333333335</v>
      </c>
      <c r="J635" s="3">
        <v>112.5</v>
      </c>
      <c r="K635" s="3">
        <v>1828.25</v>
      </c>
      <c r="L635" s="3">
        <v>15</v>
      </c>
      <c r="M635" s="3">
        <v>284.91666666666663</v>
      </c>
      <c r="N635" s="107">
        <f t="shared" si="280"/>
        <v>1443.2776175007011</v>
      </c>
      <c r="O635" s="7">
        <f t="shared" si="281"/>
        <v>5946</v>
      </c>
      <c r="P635" s="7">
        <f t="shared" si="282"/>
        <v>4502.7223824992989</v>
      </c>
      <c r="Q635" s="7">
        <f t="shared" si="283"/>
        <v>1972.1496731714831</v>
      </c>
      <c r="R635" s="7">
        <f t="shared" si="284"/>
        <v>1205.1560426611491</v>
      </c>
      <c r="V635" s="103">
        <v>138924</v>
      </c>
      <c r="W635" s="7">
        <f t="shared" si="256"/>
        <v>141428</v>
      </c>
      <c r="X635" s="103">
        <f t="shared" si="293"/>
        <v>209947</v>
      </c>
      <c r="Y635" s="103">
        <f t="shared" si="285"/>
        <v>141428</v>
      </c>
      <c r="Z635" s="2">
        <v>62679</v>
      </c>
      <c r="AA635" s="103">
        <v>2504</v>
      </c>
      <c r="AB635" s="103">
        <v>68519</v>
      </c>
      <c r="AC635" s="78">
        <v>174714</v>
      </c>
      <c r="AD635" s="103">
        <f t="shared" si="292"/>
        <v>209947</v>
      </c>
      <c r="AE635" s="192">
        <f t="shared" si="286"/>
        <v>0.3408144167038703</v>
      </c>
      <c r="AF635" s="31">
        <f t="shared" si="287"/>
        <v>0.29372698823988913</v>
      </c>
      <c r="AG635" s="20">
        <f t="shared" si="288"/>
        <v>623.09395733885083</v>
      </c>
      <c r="AH635" s="20">
        <f t="shared" si="289"/>
        <v>820.18366016185041</v>
      </c>
      <c r="AI635" s="3">
        <f t="shared" si="290"/>
        <v>112035</v>
      </c>
      <c r="AJ635" s="31">
        <f t="shared" si="291"/>
        <v>1.1926819625905586E-2</v>
      </c>
    </row>
    <row r="636" spans="1:36">
      <c r="A636" s="28">
        <v>46292</v>
      </c>
      <c r="B636"/>
      <c r="C636"/>
      <c r="D636"/>
      <c r="E636"/>
      <c r="F636"/>
      <c r="G636"/>
      <c r="H636"/>
      <c r="I636"/>
      <c r="J636"/>
      <c r="K636"/>
      <c r="N636" s="107"/>
      <c r="V636" s="103"/>
      <c r="W636" s="7"/>
      <c r="X636" s="103"/>
      <c r="Y636" s="103"/>
      <c r="Z636" s="2"/>
      <c r="AA636" s="103"/>
      <c r="AB636" s="103"/>
      <c r="AC636" s="78"/>
      <c r="AD636" s="103">
        <f t="shared" si="292"/>
        <v>0</v>
      </c>
      <c r="AE636" s="192"/>
      <c r="AF636" s="31"/>
      <c r="AG636" s="20"/>
      <c r="AH636" s="20"/>
      <c r="AI636" s="3"/>
      <c r="AJ636" s="31"/>
    </row>
    <row r="637" spans="1:36">
      <c r="A637" s="28">
        <v>46293</v>
      </c>
      <c r="B637" s="3">
        <v>328.25</v>
      </c>
      <c r="C637" s="3">
        <v>523.25</v>
      </c>
      <c r="D637" s="3">
        <v>82.5</v>
      </c>
      <c r="E637" s="3">
        <v>536.41666666666674</v>
      </c>
      <c r="F637" s="3">
        <v>236.91666666666669</v>
      </c>
      <c r="G637" s="3">
        <v>159.91666666666669</v>
      </c>
      <c r="H637" s="3">
        <v>70.5</v>
      </c>
      <c r="I637" s="3">
        <v>2886.166666666667</v>
      </c>
      <c r="J637" s="3">
        <v>135.66666666666669</v>
      </c>
      <c r="K637" s="3">
        <v>2057.166666666667</v>
      </c>
      <c r="L637" s="3">
        <v>100.5</v>
      </c>
      <c r="M637" s="3">
        <v>262.83333333333337</v>
      </c>
      <c r="N637" s="107">
        <f t="shared" ref="N637:N642" si="294">+AH637+AG637</f>
        <v>536.73347599017302</v>
      </c>
      <c r="O637" s="7">
        <f t="shared" ref="O637:O642" si="295">+B637+C637+D637+F637+I637+K637+J637</f>
        <v>6249.9166666666679</v>
      </c>
      <c r="P637" s="7">
        <f t="shared" ref="P637:P642" si="296">+B637+C637+D637+F637+J637+Q637+R637</f>
        <v>5713.1831906764946</v>
      </c>
      <c r="Q637" s="7">
        <f t="shared" ref="Q637:Q642" si="297">+I637-AH637</f>
        <v>2349.4331906764937</v>
      </c>
      <c r="R637" s="7">
        <f t="shared" ref="R637:R642" si="298">+K637-AG637</f>
        <v>2057.166666666667</v>
      </c>
      <c r="V637" s="103">
        <v>145900</v>
      </c>
      <c r="W637" s="7">
        <f t="shared" ref="W637:W642" si="299">+V637-U637-S637+AA637</f>
        <v>151455</v>
      </c>
      <c r="X637" s="103">
        <f t="shared" ref="X637:X642" si="300">+V637+AB637+AA637</f>
        <v>190901</v>
      </c>
      <c r="Y637" s="103">
        <f t="shared" ref="Y637:Y642" si="301">+X637-AB637</f>
        <v>151455</v>
      </c>
      <c r="Z637" s="2"/>
      <c r="AA637" s="103">
        <v>5555</v>
      </c>
      <c r="AB637" s="103">
        <v>39446</v>
      </c>
      <c r="AC637" s="78">
        <v>202503</v>
      </c>
      <c r="AD637" s="103">
        <f t="shared" si="292"/>
        <v>190901</v>
      </c>
      <c r="AE637" s="192">
        <f t="shared" ref="AE637:AE642" si="302">+(Z637/AC637*0.95)</f>
        <v>0</v>
      </c>
      <c r="AF637" s="31">
        <f t="shared" ref="AF637:AF642" si="303">+(AB637/AD637*0.9)</f>
        <v>0.185967595769535</v>
      </c>
      <c r="AG637" s="20">
        <f t="shared" ref="AG637:AG642" si="304">+AE637*K637</f>
        <v>0</v>
      </c>
      <c r="AH637" s="20">
        <f t="shared" ref="AH637:AH642" si="305">+AF637*I637</f>
        <v>536.73347599017302</v>
      </c>
      <c r="AI637" s="3">
        <f t="shared" ref="AI637:AI642" si="306">+AC637-Z637</f>
        <v>202503</v>
      </c>
      <c r="AJ637" s="31">
        <f t="shared" ref="AJ637:AJ642" si="307">+AA637/AD637</f>
        <v>2.9098852284692066E-2</v>
      </c>
    </row>
    <row r="638" spans="1:36">
      <c r="A638" s="28">
        <v>46294</v>
      </c>
      <c r="B638" s="3">
        <v>304</v>
      </c>
      <c r="C638" s="3">
        <v>636.91666666666663</v>
      </c>
      <c r="D638" s="3">
        <v>82.5</v>
      </c>
      <c r="E638" s="3">
        <v>519.45833333333326</v>
      </c>
      <c r="F638" s="3">
        <v>269.33333333333331</v>
      </c>
      <c r="G638" s="3">
        <v>142</v>
      </c>
      <c r="H638" s="3">
        <v>70.5</v>
      </c>
      <c r="I638" s="3">
        <v>2892.8333333333335</v>
      </c>
      <c r="J638" s="3">
        <v>143.16666666666666</v>
      </c>
      <c r="K638" s="3">
        <v>1984.25</v>
      </c>
      <c r="L638" s="3">
        <v>65.958333333333343</v>
      </c>
      <c r="M638" s="3">
        <v>291.66666666666669</v>
      </c>
      <c r="N638" s="107">
        <f t="shared" si="294"/>
        <v>341.15760611399133</v>
      </c>
      <c r="O638" s="7">
        <f t="shared" si="295"/>
        <v>6313.0000000000009</v>
      </c>
      <c r="P638" s="7">
        <f t="shared" si="296"/>
        <v>5971.8423938860087</v>
      </c>
      <c r="Q638" s="7">
        <f t="shared" si="297"/>
        <v>2625.020555095794</v>
      </c>
      <c r="R638" s="7">
        <f t="shared" si="298"/>
        <v>1910.9051721235483</v>
      </c>
      <c r="V638" s="103">
        <v>166962</v>
      </c>
      <c r="W638" s="7">
        <f t="shared" si="299"/>
        <v>168029</v>
      </c>
      <c r="X638" s="103">
        <f t="shared" si="300"/>
        <v>187295</v>
      </c>
      <c r="Y638" s="103">
        <f t="shared" si="301"/>
        <v>168029</v>
      </c>
      <c r="Z638" s="2">
        <v>7974</v>
      </c>
      <c r="AA638" s="103">
        <v>1067</v>
      </c>
      <c r="AB638" s="103">
        <v>19266</v>
      </c>
      <c r="AC638" s="78">
        <v>204940</v>
      </c>
      <c r="AD638" s="103">
        <f t="shared" si="292"/>
        <v>187295</v>
      </c>
      <c r="AE638" s="192">
        <f t="shared" si="302"/>
        <v>3.6963501512637845E-2</v>
      </c>
      <c r="AF638" s="31">
        <f t="shared" si="303"/>
        <v>9.2578018633706183E-2</v>
      </c>
      <c r="AG638" s="20">
        <f t="shared" si="304"/>
        <v>73.344827876451646</v>
      </c>
      <c r="AH638" s="20">
        <f t="shared" si="305"/>
        <v>267.8127782375397</v>
      </c>
      <c r="AI638" s="3">
        <f t="shared" si="306"/>
        <v>196966</v>
      </c>
      <c r="AJ638" s="31">
        <f t="shared" si="307"/>
        <v>5.6968952721642326E-3</v>
      </c>
    </row>
    <row r="639" spans="1:36">
      <c r="A639" s="28">
        <v>46295</v>
      </c>
      <c r="B639" s="3">
        <v>307.5</v>
      </c>
      <c r="C639" s="3">
        <v>622.5</v>
      </c>
      <c r="D639" s="3">
        <v>90</v>
      </c>
      <c r="E639" s="3">
        <v>541.66666666666674</v>
      </c>
      <c r="F639" s="3">
        <v>315</v>
      </c>
      <c r="G639" s="3">
        <v>171</v>
      </c>
      <c r="H639" s="3">
        <v>79</v>
      </c>
      <c r="I639" s="3">
        <v>3141.2499999999995</v>
      </c>
      <c r="J639" s="3">
        <v>135.66666666666669</v>
      </c>
      <c r="K639" s="3">
        <v>1834.5833333333335</v>
      </c>
      <c r="L639" s="3">
        <v>32.916666666666671</v>
      </c>
      <c r="M639" s="3">
        <v>307.58333333333331</v>
      </c>
      <c r="N639" s="107">
        <f t="shared" si="294"/>
        <v>388.49398746422651</v>
      </c>
      <c r="O639" s="7">
        <f t="shared" si="295"/>
        <v>6446.5000000000009</v>
      </c>
      <c r="P639" s="7">
        <f t="shared" si="296"/>
        <v>6058.0060125357732</v>
      </c>
      <c r="Q639" s="7">
        <f t="shared" si="297"/>
        <v>3022.8936490731844</v>
      </c>
      <c r="R639" s="7">
        <f t="shared" si="298"/>
        <v>1564.4456967959222</v>
      </c>
      <c r="V639" s="103">
        <v>170899</v>
      </c>
      <c r="W639" s="7">
        <f t="shared" si="299"/>
        <v>180552</v>
      </c>
      <c r="X639" s="103">
        <f t="shared" si="300"/>
        <v>188441</v>
      </c>
      <c r="Y639" s="103">
        <f t="shared" si="301"/>
        <v>180552</v>
      </c>
      <c r="Z639" s="2">
        <v>26961</v>
      </c>
      <c r="AA639" s="103">
        <v>9653</v>
      </c>
      <c r="AB639" s="103">
        <v>7889</v>
      </c>
      <c r="AC639" s="78">
        <v>173945</v>
      </c>
      <c r="AD639" s="103">
        <f t="shared" si="292"/>
        <v>188441</v>
      </c>
      <c r="AE639" s="192">
        <f t="shared" si="302"/>
        <v>0.14724740578918621</v>
      </c>
      <c r="AF639" s="31">
        <f t="shared" si="303"/>
        <v>3.7678106144628819E-2</v>
      </c>
      <c r="AG639" s="20">
        <f t="shared" si="304"/>
        <v>270.13763653741125</v>
      </c>
      <c r="AH639" s="20">
        <f t="shared" si="305"/>
        <v>118.35635092681525</v>
      </c>
      <c r="AI639" s="3">
        <f t="shared" si="306"/>
        <v>146984</v>
      </c>
      <c r="AJ639" s="31">
        <f t="shared" si="307"/>
        <v>5.1225582543077144E-2</v>
      </c>
    </row>
    <row r="640" spans="1:36">
      <c r="A640" s="28">
        <v>46296</v>
      </c>
      <c r="B640" s="3">
        <v>287.91666666666663</v>
      </c>
      <c r="C640" s="3">
        <v>604.25</v>
      </c>
      <c r="D640" s="3">
        <v>89.583333333333343</v>
      </c>
      <c r="E640" s="3">
        <v>489.83333333333331</v>
      </c>
      <c r="F640" s="3">
        <v>351.66666666666663</v>
      </c>
      <c r="G640" s="3">
        <v>168.75</v>
      </c>
      <c r="H640" s="3">
        <v>79</v>
      </c>
      <c r="I640" s="3">
        <v>3048.1666666666665</v>
      </c>
      <c r="J640" s="3">
        <v>128.5</v>
      </c>
      <c r="K640" s="3">
        <v>1957.7500000000002</v>
      </c>
      <c r="L640" s="3">
        <v>73.5</v>
      </c>
      <c r="M640" s="3">
        <v>268.25</v>
      </c>
      <c r="N640" s="107">
        <f t="shared" si="294"/>
        <v>776.67234901451866</v>
      </c>
      <c r="O640" s="7">
        <f t="shared" si="295"/>
        <v>6467.833333333333</v>
      </c>
      <c r="P640" s="7">
        <f t="shared" si="296"/>
        <v>5691.1609843188153</v>
      </c>
      <c r="Q640" s="7">
        <f t="shared" si="297"/>
        <v>2907.6312016736638</v>
      </c>
      <c r="R640" s="7">
        <f t="shared" si="298"/>
        <v>1321.6131159784845</v>
      </c>
      <c r="V640" s="103">
        <v>172873</v>
      </c>
      <c r="W640" s="7">
        <f t="shared" si="299"/>
        <v>178984</v>
      </c>
      <c r="X640" s="103">
        <f t="shared" si="300"/>
        <v>188648</v>
      </c>
      <c r="Y640" s="103">
        <f t="shared" si="301"/>
        <v>178984</v>
      </c>
      <c r="Z640" s="2">
        <v>71727</v>
      </c>
      <c r="AA640" s="103">
        <v>6111</v>
      </c>
      <c r="AB640" s="103">
        <v>9664</v>
      </c>
      <c r="AC640" s="78">
        <v>209707</v>
      </c>
      <c r="AD640" s="103">
        <f t="shared" si="292"/>
        <v>188648</v>
      </c>
      <c r="AE640" s="192">
        <f t="shared" si="302"/>
        <v>0.32493264411774525</v>
      </c>
      <c r="AF640" s="31">
        <f t="shared" si="303"/>
        <v>4.6104914973919685E-2</v>
      </c>
      <c r="AG640" s="20">
        <f t="shared" si="304"/>
        <v>636.13688402151581</v>
      </c>
      <c r="AH640" s="20">
        <f t="shared" si="305"/>
        <v>140.53546499300285</v>
      </c>
      <c r="AI640" s="3">
        <f t="shared" si="306"/>
        <v>137980</v>
      </c>
      <c r="AJ640" s="31">
        <f t="shared" si="307"/>
        <v>3.2393664390823119E-2</v>
      </c>
    </row>
    <row r="641" spans="1:36">
      <c r="A641" s="28">
        <v>46297</v>
      </c>
      <c r="B641" s="3">
        <v>247.5</v>
      </c>
      <c r="C641" s="3">
        <v>712.5</v>
      </c>
      <c r="D641" s="3">
        <v>82.5</v>
      </c>
      <c r="E641" s="3">
        <v>462.16666666666663</v>
      </c>
      <c r="F641" s="3">
        <v>261.75</v>
      </c>
      <c r="G641" s="3">
        <v>165.33333333333334</v>
      </c>
      <c r="H641" s="3">
        <v>79</v>
      </c>
      <c r="I641" s="3">
        <v>2948.75</v>
      </c>
      <c r="J641" s="3">
        <v>143.5</v>
      </c>
      <c r="K641" s="3">
        <v>1943.5833333333333</v>
      </c>
      <c r="L641" s="3">
        <v>84.75</v>
      </c>
      <c r="M641" s="3">
        <v>260.08333333333337</v>
      </c>
      <c r="N641" s="107">
        <f t="shared" si="294"/>
        <v>425.83713062666334</v>
      </c>
      <c r="O641" s="7">
        <f t="shared" si="295"/>
        <v>6340.083333333333</v>
      </c>
      <c r="P641" s="7">
        <f t="shared" si="296"/>
        <v>5914.2462027066704</v>
      </c>
      <c r="Q641" s="7">
        <f t="shared" si="297"/>
        <v>2948.75</v>
      </c>
      <c r="R641" s="7">
        <f t="shared" si="298"/>
        <v>1517.7462027066699</v>
      </c>
      <c r="V641" s="103">
        <v>164173</v>
      </c>
      <c r="W641" s="7">
        <f t="shared" si="299"/>
        <v>169036</v>
      </c>
      <c r="X641" s="103">
        <f t="shared" si="300"/>
        <v>169036</v>
      </c>
      <c r="Y641" s="103">
        <f t="shared" si="301"/>
        <v>169036</v>
      </c>
      <c r="Z641" s="2">
        <v>43993</v>
      </c>
      <c r="AA641" s="103">
        <v>4863</v>
      </c>
      <c r="AB641" s="103"/>
      <c r="AC641" s="78">
        <v>190751</v>
      </c>
      <c r="AD641" s="103">
        <f t="shared" si="292"/>
        <v>169036</v>
      </c>
      <c r="AE641" s="192">
        <f t="shared" si="302"/>
        <v>0.21909898244308024</v>
      </c>
      <c r="AF641" s="31">
        <f t="shared" si="303"/>
        <v>0</v>
      </c>
      <c r="AG641" s="20">
        <f t="shared" si="304"/>
        <v>425.83713062666334</v>
      </c>
      <c r="AH641" s="20">
        <f t="shared" si="305"/>
        <v>0</v>
      </c>
      <c r="AI641" s="3">
        <f t="shared" si="306"/>
        <v>146758</v>
      </c>
      <c r="AJ641" s="31">
        <f t="shared" si="307"/>
        <v>2.8769019617122981E-2</v>
      </c>
    </row>
    <row r="642" spans="1:36">
      <c r="A642" s="28">
        <v>46298</v>
      </c>
      <c r="B642" s="3">
        <v>352.25</v>
      </c>
      <c r="C642" s="3">
        <v>674.33333333333326</v>
      </c>
      <c r="D642" s="3">
        <v>80.25</v>
      </c>
      <c r="E642" s="3">
        <v>475.5</v>
      </c>
      <c r="F642" s="3">
        <v>269.08333333333337</v>
      </c>
      <c r="G642" s="3">
        <v>7.5</v>
      </c>
      <c r="H642" s="3">
        <v>45</v>
      </c>
      <c r="I642" s="3">
        <v>2903.8333333333335</v>
      </c>
      <c r="J642" s="3">
        <v>133.08333333333331</v>
      </c>
      <c r="K642" s="3">
        <v>1361.8333333333333</v>
      </c>
      <c r="L642" s="3">
        <v>67.5</v>
      </c>
      <c r="M642" s="3">
        <v>259.33333333333331</v>
      </c>
      <c r="N642" s="107">
        <f t="shared" si="294"/>
        <v>826.26144851900074</v>
      </c>
      <c r="O642" s="7">
        <f t="shared" si="295"/>
        <v>5774.6666666666661</v>
      </c>
      <c r="P642" s="7">
        <f t="shared" si="296"/>
        <v>4948.4052181476654</v>
      </c>
      <c r="Q642" s="7">
        <f t="shared" si="297"/>
        <v>2077.5718848143329</v>
      </c>
      <c r="R642" s="7">
        <f t="shared" si="298"/>
        <v>1361.8333333333333</v>
      </c>
      <c r="V642" s="103">
        <v>165723</v>
      </c>
      <c r="W642" s="7">
        <f t="shared" si="299"/>
        <v>167590</v>
      </c>
      <c r="X642" s="103">
        <f t="shared" si="300"/>
        <v>245071</v>
      </c>
      <c r="Y642" s="103">
        <f t="shared" si="301"/>
        <v>167590</v>
      </c>
      <c r="Z642" s="2"/>
      <c r="AA642" s="103">
        <v>1867</v>
      </c>
      <c r="AB642" s="103">
        <v>77481</v>
      </c>
      <c r="AC642" s="78">
        <v>118764</v>
      </c>
      <c r="AD642" s="103">
        <f t="shared" si="292"/>
        <v>245071</v>
      </c>
      <c r="AE642" s="192">
        <f t="shared" si="302"/>
        <v>0</v>
      </c>
      <c r="AF642" s="31">
        <f t="shared" si="303"/>
        <v>0.28454162263180877</v>
      </c>
      <c r="AG642" s="20">
        <f t="shared" si="304"/>
        <v>0</v>
      </c>
      <c r="AH642" s="20">
        <f t="shared" si="305"/>
        <v>826.26144851900074</v>
      </c>
      <c r="AI642" s="3">
        <f t="shared" si="306"/>
        <v>118764</v>
      </c>
      <c r="AJ642" s="31">
        <f t="shared" si="307"/>
        <v>7.6182004398725267E-3</v>
      </c>
    </row>
    <row r="643" spans="1:36">
      <c r="A643" s="28">
        <v>46299</v>
      </c>
      <c r="B643"/>
      <c r="C643"/>
      <c r="D643"/>
      <c r="E643"/>
      <c r="F643"/>
      <c r="G643"/>
      <c r="H643"/>
      <c r="I643"/>
      <c r="J643"/>
      <c r="K643"/>
      <c r="V643" s="103"/>
      <c r="W643"/>
      <c r="X643"/>
      <c r="Y643"/>
      <c r="Z643" s="2"/>
      <c r="AA643" s="103"/>
      <c r="AB643" s="103"/>
      <c r="AC643"/>
      <c r="AD643" s="103"/>
      <c r="AE643" s="192"/>
      <c r="AF643" s="31"/>
      <c r="AG643" s="20"/>
      <c r="AH643" s="20"/>
      <c r="AI643" s="3"/>
      <c r="AJ643" s="31"/>
    </row>
    <row r="644" spans="1:36">
      <c r="A644"/>
      <c r="B644"/>
      <c r="C644"/>
      <c r="D644"/>
      <c r="E644"/>
      <c r="F644"/>
      <c r="G644"/>
      <c r="H644"/>
      <c r="I644"/>
      <c r="J644"/>
      <c r="K644"/>
      <c r="V644" s="103"/>
      <c r="W644"/>
      <c r="X644"/>
      <c r="Y644"/>
      <c r="Z644"/>
      <c r="AA644" s="103"/>
      <c r="AB644" s="103"/>
      <c r="AC644"/>
      <c r="AD644" s="103"/>
    </row>
    <row r="645" spans="1:36">
      <c r="A645"/>
      <c r="B645" s="3"/>
      <c r="C645" s="3"/>
      <c r="D645" s="3"/>
      <c r="E645" s="3"/>
      <c r="F645" s="3"/>
      <c r="G645" s="3"/>
      <c r="H645"/>
      <c r="I645"/>
      <c r="J645"/>
      <c r="K645"/>
      <c r="V645" s="103"/>
      <c r="W645"/>
      <c r="X645"/>
      <c r="Z645"/>
      <c r="AA645" s="103"/>
      <c r="AB645" s="103"/>
      <c r="AC645"/>
      <c r="AD645" s="103"/>
    </row>
    <row r="646" spans="1:36">
      <c r="A646"/>
      <c r="B646"/>
      <c r="C646"/>
      <c r="D646"/>
      <c r="E646"/>
      <c r="F646"/>
      <c r="G646"/>
      <c r="H646"/>
      <c r="V646" s="103"/>
      <c r="X646"/>
      <c r="Y646"/>
      <c r="AA646" s="103"/>
      <c r="AD646" s="103"/>
    </row>
    <row r="647" spans="1:36">
      <c r="A647" s="236" t="s">
        <v>3202</v>
      </c>
      <c r="B647" s="236" t="s">
        <v>3199</v>
      </c>
      <c r="C647" s="236" t="s">
        <v>3200</v>
      </c>
      <c r="D647" s="236" t="s">
        <v>3201</v>
      </c>
      <c r="E647" s="236" t="s">
        <v>3195</v>
      </c>
      <c r="F647" s="236" t="s">
        <v>3196</v>
      </c>
      <c r="G647" s="236" t="s">
        <v>3197</v>
      </c>
      <c r="H647" s="236" t="s">
        <v>3198</v>
      </c>
      <c r="X647"/>
      <c r="AA647"/>
      <c r="AD647" s="103"/>
    </row>
    <row r="648" spans="1:36">
      <c r="A648" s="48" t="s">
        <v>58</v>
      </c>
      <c r="B648" s="3">
        <v>328.25</v>
      </c>
      <c r="C648" s="3">
        <v>304</v>
      </c>
      <c r="D648" s="3">
        <v>307.5</v>
      </c>
      <c r="E648" s="3">
        <v>287.91666666666663</v>
      </c>
      <c r="F648" s="3">
        <v>247.5</v>
      </c>
      <c r="G648" s="3">
        <v>352.25</v>
      </c>
      <c r="H648" s="3">
        <v>0</v>
      </c>
      <c r="X648"/>
      <c r="AA648"/>
      <c r="AD648" s="103"/>
    </row>
    <row r="649" spans="1:36">
      <c r="A649" s="48" t="s">
        <v>59</v>
      </c>
      <c r="B649" s="3">
        <v>523.25</v>
      </c>
      <c r="C649" s="3">
        <v>636.91666666666663</v>
      </c>
      <c r="D649" s="3">
        <v>622.5</v>
      </c>
      <c r="E649" s="3">
        <v>604.25</v>
      </c>
      <c r="F649" s="3">
        <v>712.5</v>
      </c>
      <c r="G649" s="3">
        <v>674.33333333333326</v>
      </c>
      <c r="H649" s="3">
        <v>0</v>
      </c>
      <c r="X649"/>
      <c r="AA649"/>
    </row>
    <row r="650" spans="1:36">
      <c r="A650" s="48" t="s">
        <v>60</v>
      </c>
      <c r="B650" s="3">
        <v>82.5</v>
      </c>
      <c r="C650" s="3">
        <v>82.5</v>
      </c>
      <c r="D650" s="3">
        <v>90</v>
      </c>
      <c r="E650" s="3">
        <v>89.583333333333343</v>
      </c>
      <c r="F650" s="3">
        <v>82.5</v>
      </c>
      <c r="G650" s="3">
        <v>80.25</v>
      </c>
      <c r="H650" s="3">
        <v>0</v>
      </c>
      <c r="X650"/>
      <c r="AA650"/>
    </row>
    <row r="651" spans="1:36">
      <c r="A651" s="48" t="s">
        <v>61</v>
      </c>
      <c r="B651" s="3">
        <v>536.41666666666674</v>
      </c>
      <c r="C651" s="3">
        <v>519.45833333333326</v>
      </c>
      <c r="D651" s="3">
        <v>541.66666666666674</v>
      </c>
      <c r="E651" s="3">
        <v>489.83333333333331</v>
      </c>
      <c r="F651" s="3">
        <v>462.16666666666663</v>
      </c>
      <c r="G651" s="3">
        <v>475.5</v>
      </c>
      <c r="H651" s="3">
        <v>0</v>
      </c>
      <c r="X651"/>
    </row>
    <row r="652" spans="1:36">
      <c r="A652" s="48" t="s">
        <v>62</v>
      </c>
      <c r="B652" s="3">
        <v>236.91666666666669</v>
      </c>
      <c r="C652" s="3">
        <v>269.33333333333331</v>
      </c>
      <c r="D652" s="3">
        <v>315</v>
      </c>
      <c r="E652" s="3">
        <v>351.66666666666663</v>
      </c>
      <c r="F652" s="3">
        <v>261.75</v>
      </c>
      <c r="G652" s="3">
        <v>269.08333333333337</v>
      </c>
      <c r="H652" s="3">
        <v>0</v>
      </c>
      <c r="X652"/>
    </row>
    <row r="653" spans="1:36">
      <c r="A653" s="48" t="s">
        <v>63</v>
      </c>
      <c r="B653" s="3">
        <v>159.91666666666669</v>
      </c>
      <c r="C653" s="3">
        <v>142</v>
      </c>
      <c r="D653" s="3">
        <v>171</v>
      </c>
      <c r="E653" s="3">
        <v>168.75</v>
      </c>
      <c r="F653" s="3">
        <v>165.33333333333334</v>
      </c>
      <c r="G653" s="3">
        <v>7.5</v>
      </c>
      <c r="H653" s="3">
        <v>0</v>
      </c>
      <c r="X653"/>
    </row>
    <row r="654" spans="1:36">
      <c r="A654" s="48" t="s">
        <v>64</v>
      </c>
      <c r="B654" s="3">
        <v>70.5</v>
      </c>
      <c r="C654" s="3">
        <v>70.5</v>
      </c>
      <c r="D654" s="3">
        <v>79</v>
      </c>
      <c r="E654" s="3">
        <v>79</v>
      </c>
      <c r="F654" s="3">
        <v>79</v>
      </c>
      <c r="G654" s="3">
        <v>45</v>
      </c>
      <c r="H654" s="3">
        <v>0</v>
      </c>
    </row>
    <row r="655" spans="1:36">
      <c r="A655" s="48" t="s">
        <v>65</v>
      </c>
      <c r="B655" s="3">
        <v>2886.166666666667</v>
      </c>
      <c r="C655" s="3">
        <v>2892.8333333333335</v>
      </c>
      <c r="D655" s="3">
        <v>3141.2499999999995</v>
      </c>
      <c r="E655" s="3">
        <v>3048.1666666666665</v>
      </c>
      <c r="F655" s="3">
        <v>2948.75</v>
      </c>
      <c r="G655" s="3">
        <v>2903.8333333333335</v>
      </c>
      <c r="H655" s="3">
        <v>0</v>
      </c>
    </row>
    <row r="656" spans="1:36">
      <c r="A656" s="48" t="s">
        <v>66</v>
      </c>
      <c r="B656" s="3">
        <v>135.66666666666669</v>
      </c>
      <c r="C656" s="3">
        <v>143.16666666666666</v>
      </c>
      <c r="D656" s="3">
        <v>135.66666666666669</v>
      </c>
      <c r="E656" s="3">
        <v>128.5</v>
      </c>
      <c r="F656" s="3">
        <v>143.5</v>
      </c>
      <c r="G656" s="3">
        <v>133.08333333333331</v>
      </c>
      <c r="H656" s="3">
        <v>0</v>
      </c>
      <c r="I656" s="190"/>
      <c r="J656" s="190"/>
    </row>
    <row r="657" spans="1:10">
      <c r="A657" s="48" t="s">
        <v>67</v>
      </c>
      <c r="B657" s="3">
        <v>2057.166666666667</v>
      </c>
      <c r="C657" s="3">
        <v>1984.25</v>
      </c>
      <c r="D657" s="3">
        <v>1834.5833333333335</v>
      </c>
      <c r="E657" s="3">
        <v>1957.7500000000002</v>
      </c>
      <c r="F657" s="3">
        <v>1943.5833333333333</v>
      </c>
      <c r="G657" s="3">
        <v>1361.8333333333333</v>
      </c>
      <c r="H657" s="3">
        <v>0</v>
      </c>
      <c r="I657" s="222"/>
      <c r="J657" s="190"/>
    </row>
    <row r="658" spans="1:10">
      <c r="A658" s="48" t="s">
        <v>68</v>
      </c>
      <c r="B658" s="3">
        <v>100.5</v>
      </c>
      <c r="C658" s="3">
        <v>65.958333333333343</v>
      </c>
      <c r="D658" s="3">
        <v>32.916666666666671</v>
      </c>
      <c r="E658" s="3">
        <v>73.5</v>
      </c>
      <c r="F658" s="3">
        <v>84.75</v>
      </c>
      <c r="G658" s="3">
        <v>67.5</v>
      </c>
      <c r="H658" s="3">
        <v>0</v>
      </c>
      <c r="I658" s="222"/>
      <c r="J658" s="190"/>
    </row>
    <row r="659" spans="1:10">
      <c r="A659" s="48" t="s">
        <v>1845</v>
      </c>
      <c r="B659" s="3">
        <v>262.83333333333337</v>
      </c>
      <c r="C659" s="3">
        <v>291.66666666666669</v>
      </c>
      <c r="D659" s="3">
        <v>307.58333333333331</v>
      </c>
      <c r="E659" s="3">
        <v>268.25</v>
      </c>
      <c r="F659" s="3">
        <v>260.08333333333337</v>
      </c>
      <c r="G659" s="3">
        <v>259.33333333333331</v>
      </c>
      <c r="H659" s="3">
        <v>0</v>
      </c>
      <c r="I659" s="222"/>
      <c r="J659" s="190"/>
    </row>
    <row r="660" spans="1:10">
      <c r="A660"/>
      <c r="B660"/>
      <c r="C660"/>
      <c r="D660"/>
      <c r="E660"/>
      <c r="F660"/>
      <c r="G660"/>
      <c r="H660"/>
    </row>
    <row r="661" spans="1:10">
      <c r="A661" s="236" t="s">
        <v>3211</v>
      </c>
      <c r="B661" s="239" t="s">
        <v>3203</v>
      </c>
      <c r="C661" s="239" t="s">
        <v>3204</v>
      </c>
      <c r="D661" s="239" t="s">
        <v>3205</v>
      </c>
      <c r="E661" s="239" t="s">
        <v>3206</v>
      </c>
      <c r="F661" s="239" t="s">
        <v>3207</v>
      </c>
      <c r="G661" s="239" t="s">
        <v>3208</v>
      </c>
      <c r="H661"/>
    </row>
    <row r="662" spans="1:10">
      <c r="A662" s="48" t="s">
        <v>59</v>
      </c>
      <c r="B662" s="3">
        <v>295.5</v>
      </c>
      <c r="C662" s="3">
        <v>198</v>
      </c>
      <c r="D662" s="3">
        <v>198</v>
      </c>
      <c r="E662" s="3">
        <v>217.5</v>
      </c>
      <c r="F662" s="3">
        <v>105</v>
      </c>
      <c r="G662" s="3">
        <v>97.5</v>
      </c>
      <c r="H662"/>
    </row>
    <row r="663" spans="1:10">
      <c r="A663" s="48" t="s">
        <v>3209</v>
      </c>
      <c r="B663" s="3">
        <v>24.5</v>
      </c>
      <c r="C663" s="3">
        <v>24.5</v>
      </c>
      <c r="D663" s="3">
        <v>137</v>
      </c>
      <c r="E663" s="3">
        <v>122</v>
      </c>
      <c r="F663" s="3">
        <v>24.5</v>
      </c>
      <c r="G663" s="3">
        <v>7.5</v>
      </c>
      <c r="H663"/>
    </row>
    <row r="664" spans="1:10">
      <c r="A664" s="48" t="s">
        <v>61</v>
      </c>
      <c r="B664" s="3"/>
      <c r="C664" s="3">
        <v>15.01666666666666</v>
      </c>
      <c r="D664" s="3">
        <v>30</v>
      </c>
      <c r="E664" s="3">
        <v>30</v>
      </c>
      <c r="F664" s="3"/>
      <c r="G664" s="3"/>
      <c r="H664"/>
    </row>
    <row r="665" spans="1:10">
      <c r="A665" s="48" t="s">
        <v>3210</v>
      </c>
      <c r="B665" s="3">
        <v>45</v>
      </c>
      <c r="C665" s="3">
        <v>37.5</v>
      </c>
      <c r="D665" s="3">
        <v>52.5</v>
      </c>
      <c r="E665" s="3">
        <v>45</v>
      </c>
      <c r="F665" s="3">
        <v>60</v>
      </c>
      <c r="G665" s="3">
        <v>90</v>
      </c>
      <c r="H665"/>
    </row>
    <row r="666" spans="1:10">
      <c r="A666" s="48" t="s">
        <v>65</v>
      </c>
      <c r="B666" s="3"/>
      <c r="C666" s="3"/>
      <c r="D666" s="3">
        <v>7.5</v>
      </c>
      <c r="E666" s="3"/>
      <c r="F666" s="3"/>
      <c r="G666" s="3"/>
      <c r="H666"/>
    </row>
    <row r="667" spans="1:10">
      <c r="A667" s="48" t="s">
        <v>67</v>
      </c>
      <c r="B667" s="3"/>
      <c r="C667" s="3"/>
      <c r="D667" s="3">
        <v>180</v>
      </c>
      <c r="E667" s="3">
        <v>60</v>
      </c>
      <c r="F667" s="3">
        <v>75</v>
      </c>
      <c r="G667" s="3">
        <v>562.5</v>
      </c>
      <c r="H667"/>
    </row>
    <row r="668" spans="1:10">
      <c r="A668" s="48" t="s">
        <v>68</v>
      </c>
      <c r="B668" s="3">
        <v>7.5</v>
      </c>
      <c r="C668" s="3">
        <v>37.54166666666665</v>
      </c>
      <c r="D668" s="3">
        <v>67.5</v>
      </c>
      <c r="E668" s="3">
        <v>37.5</v>
      </c>
      <c r="F668" s="3">
        <v>7.5</v>
      </c>
      <c r="G668" s="3">
        <v>7.5</v>
      </c>
      <c r="H668"/>
    </row>
    <row r="669" spans="1:10">
      <c r="A669"/>
      <c r="B669"/>
      <c r="C669"/>
      <c r="D669"/>
      <c r="E669"/>
      <c r="F669"/>
      <c r="G669"/>
      <c r="H669"/>
    </row>
    <row r="670" spans="1:10">
      <c r="A670"/>
      <c r="B670"/>
      <c r="C670"/>
      <c r="D670"/>
      <c r="E670"/>
      <c r="F670"/>
      <c r="G670"/>
      <c r="H670"/>
    </row>
    <row r="671" spans="1:10">
      <c r="A671" s="236" t="s">
        <v>3219</v>
      </c>
      <c r="B671" s="239" t="s">
        <v>3203</v>
      </c>
      <c r="C671" s="239" t="s">
        <v>3204</v>
      </c>
      <c r="D671" s="239" t="s">
        <v>3205</v>
      </c>
      <c r="E671" s="239" t="s">
        <v>3206</v>
      </c>
      <c r="F671" s="239" t="s">
        <v>3207</v>
      </c>
      <c r="G671" s="239" t="s">
        <v>3208</v>
      </c>
      <c r="H671"/>
    </row>
    <row r="672" spans="1:10">
      <c r="A672" s="48" t="s">
        <v>3212</v>
      </c>
      <c r="B672" s="3">
        <v>112.5</v>
      </c>
      <c r="C672" s="3">
        <v>82.5</v>
      </c>
      <c r="D672" s="3">
        <v>97.5</v>
      </c>
      <c r="E672" s="3">
        <v>105</v>
      </c>
      <c r="F672" s="3">
        <v>97.5</v>
      </c>
      <c r="G672" s="3">
        <v>187.5</v>
      </c>
    </row>
    <row r="673" spans="1:7">
      <c r="A673" s="48" t="s">
        <v>3213</v>
      </c>
      <c r="B673" s="3">
        <v>30</v>
      </c>
      <c r="C673" s="3">
        <v>60</v>
      </c>
      <c r="D673" s="3">
        <v>82.5</v>
      </c>
      <c r="E673" s="3">
        <v>112.5</v>
      </c>
      <c r="F673" s="3">
        <v>7.5</v>
      </c>
      <c r="G673" s="3">
        <v>75</v>
      </c>
    </row>
    <row r="674" spans="1:7">
      <c r="A674" s="48" t="s">
        <v>3214</v>
      </c>
      <c r="B674" s="3">
        <v>100.5</v>
      </c>
      <c r="C674" s="3">
        <v>100.55833333333329</v>
      </c>
      <c r="D674" s="3">
        <v>138</v>
      </c>
      <c r="E674" s="3">
        <v>75</v>
      </c>
      <c r="F674" s="3">
        <v>37.5</v>
      </c>
      <c r="G674" s="3">
        <v>180</v>
      </c>
    </row>
    <row r="675" spans="1:7">
      <c r="A675" s="48" t="s">
        <v>3215</v>
      </c>
      <c r="B675" s="3">
        <v>45</v>
      </c>
      <c r="C675" s="3">
        <v>37.5</v>
      </c>
      <c r="D675" s="3">
        <v>60</v>
      </c>
      <c r="E675" s="3">
        <v>45</v>
      </c>
      <c r="F675" s="3">
        <v>60</v>
      </c>
      <c r="G675" s="3">
        <v>90</v>
      </c>
    </row>
    <row r="676" spans="1:7">
      <c r="A676" s="48" t="s">
        <v>3216</v>
      </c>
      <c r="B676" s="3">
        <v>24.5</v>
      </c>
      <c r="C676" s="3">
        <v>24.5</v>
      </c>
      <c r="D676" s="3">
        <v>294.5</v>
      </c>
      <c r="E676" s="3">
        <v>167</v>
      </c>
      <c r="F676" s="3">
        <v>62</v>
      </c>
      <c r="G676" s="3">
        <v>225</v>
      </c>
    </row>
    <row r="677" spans="1:7">
      <c r="A677" s="48" t="s">
        <v>3217</v>
      </c>
      <c r="B677" s="3">
        <v>52.5</v>
      </c>
      <c r="C677" s="3"/>
      <c r="D677" s="3"/>
      <c r="E677" s="3"/>
      <c r="F677" s="3"/>
      <c r="G677" s="3"/>
    </row>
    <row r="678" spans="1:7">
      <c r="A678" s="48" t="s">
        <v>3218</v>
      </c>
      <c r="B678" s="3">
        <v>7.5</v>
      </c>
      <c r="C678" s="3">
        <v>7.5</v>
      </c>
      <c r="D678" s="3"/>
      <c r="E678" s="3">
        <v>7.5</v>
      </c>
      <c r="F678" s="3">
        <v>7.5</v>
      </c>
      <c r="G678" s="3">
        <v>7.5</v>
      </c>
    </row>
    <row r="679" spans="1:7">
      <c r="A679"/>
      <c r="B679"/>
      <c r="C679"/>
      <c r="D679"/>
      <c r="E679"/>
      <c r="F679"/>
      <c r="G679"/>
    </row>
    <row r="680" spans="1:7">
      <c r="A680"/>
      <c r="B680"/>
      <c r="C680"/>
      <c r="D680"/>
      <c r="E680"/>
      <c r="F680"/>
      <c r="G680"/>
    </row>
    <row r="681" spans="1:7">
      <c r="A681"/>
      <c r="B681"/>
      <c r="C681"/>
      <c r="D681"/>
      <c r="E681"/>
      <c r="F681"/>
      <c r="G681"/>
    </row>
    <row r="682" spans="1:7">
      <c r="A682"/>
      <c r="B682"/>
      <c r="C682"/>
      <c r="D682"/>
      <c r="E682"/>
      <c r="F682"/>
      <c r="G682"/>
    </row>
    <row r="683" spans="1:7">
      <c r="A683"/>
      <c r="B683"/>
      <c r="C683"/>
      <c r="D683"/>
      <c r="E683"/>
      <c r="F683"/>
      <c r="G683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6D53-012B-4F9B-A645-692E98A60E3C}">
  <dimension ref="G1:M12"/>
  <sheetViews>
    <sheetView workbookViewId="0">
      <selection activeCell="K20" sqref="K20"/>
    </sheetView>
  </sheetViews>
  <sheetFormatPr defaultRowHeight="14.4"/>
  <cols>
    <col min="7" max="7" width="19.21875" bestFit="1" customWidth="1"/>
    <col min="8" max="8" width="12.88671875" bestFit="1" customWidth="1"/>
    <col min="11" max="11" width="39.21875" style="226" bestFit="1" customWidth="1"/>
    <col min="12" max="12" width="30.6640625" style="226" bestFit="1" customWidth="1"/>
  </cols>
  <sheetData>
    <row r="1" spans="7:13">
      <c r="K1" s="139" t="s">
        <v>2594</v>
      </c>
      <c r="L1" s="139" t="s">
        <v>2595</v>
      </c>
    </row>
    <row r="2" spans="7:13">
      <c r="K2" s="233">
        <v>48.58982934239237</v>
      </c>
      <c r="L2" s="233">
        <v>39.730186999109527</v>
      </c>
      <c r="M2" s="65"/>
    </row>
    <row r="8" spans="7:13">
      <c r="G8" t="s">
        <v>2592</v>
      </c>
      <c r="H8" s="232">
        <f>31.63*1.1</f>
        <v>34.792999999999999</v>
      </c>
    </row>
    <row r="9" spans="7:13">
      <c r="G9" t="s">
        <v>2591</v>
      </c>
      <c r="H9" s="232">
        <f>41.4128997661852*1.1</f>
        <v>45.554189742803722</v>
      </c>
    </row>
    <row r="10" spans="7:13">
      <c r="G10" t="s">
        <v>2593</v>
      </c>
      <c r="H10">
        <v>44617</v>
      </c>
    </row>
    <row r="11" spans="7:13">
      <c r="H11" s="29">
        <f>+H8*H10+H9*H10*1.1</f>
        <v>3788099.6931301411</v>
      </c>
    </row>
    <row r="12" spans="7:13">
      <c r="H12">
        <f>+H11/3600</f>
        <v>1052.2499147583726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topLeftCell="U1" workbookViewId="0">
      <selection activeCell="A12" sqref="A12:XFD12"/>
    </sheetView>
  </sheetViews>
  <sheetFormatPr defaultRowHeight="14.4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8" bestFit="1" customWidth="1"/>
    <col min="11" max="11" width="18.44140625" style="138" bestFit="1" customWidth="1"/>
    <col min="12" max="12" width="5.109375" style="138" bestFit="1" customWidth="1"/>
    <col min="13" max="13" width="2.109375" customWidth="1"/>
    <col min="14" max="14" width="13.88671875" style="138" bestFit="1" customWidth="1"/>
    <col min="15" max="15" width="18.44140625" style="138" bestFit="1" customWidth="1"/>
    <col min="16" max="16" width="6.109375" style="138" bestFit="1" customWidth="1"/>
    <col min="17" max="17" width="2.5546875" customWidth="1"/>
    <col min="18" max="18" width="12.88671875" style="138" bestFit="1" customWidth="1"/>
    <col min="19" max="19" width="18.44140625" style="138" bestFit="1" customWidth="1"/>
    <col min="20" max="20" width="6.109375" style="138" bestFit="1" customWidth="1"/>
    <col min="21" max="21" width="2.5546875" customWidth="1"/>
    <col min="22" max="22" width="15" style="138" bestFit="1" customWidth="1"/>
    <col min="23" max="23" width="18.44140625" style="138" bestFit="1" customWidth="1"/>
    <col min="24" max="24" width="6.109375" style="138" bestFit="1" customWidth="1"/>
    <col min="25" max="25" width="7" bestFit="1" customWidth="1"/>
    <col min="26" max="26" width="12.88671875" style="138" bestFit="1" customWidth="1"/>
    <col min="27" max="27" width="18.44140625" style="138" bestFit="1" customWidth="1"/>
    <col min="28" max="28" width="6.109375" style="138" bestFit="1" customWidth="1"/>
    <col min="29" max="29" width="2.5546875" customWidth="1"/>
    <col min="30" max="30" width="13.33203125" style="138" bestFit="1" customWidth="1"/>
    <col min="31" max="31" width="28.6640625" style="138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>
      <c r="A1" s="143" t="s">
        <v>2247</v>
      </c>
      <c r="B1" s="152">
        <v>38</v>
      </c>
      <c r="C1" s="150">
        <v>0.1</v>
      </c>
      <c r="F1" s="143" t="s">
        <v>2247</v>
      </c>
      <c r="G1" s="152">
        <v>38</v>
      </c>
      <c r="J1" s="143" t="s">
        <v>2247</v>
      </c>
      <c r="K1" s="152">
        <v>345</v>
      </c>
      <c r="L1" s="139"/>
      <c r="M1"/>
      <c r="N1" s="144" t="s">
        <v>2247</v>
      </c>
      <c r="O1" s="160">
        <v>113</v>
      </c>
      <c r="P1" s="139"/>
      <c r="Q1"/>
      <c r="R1" s="144" t="s">
        <v>2247</v>
      </c>
      <c r="S1" s="160">
        <v>79</v>
      </c>
      <c r="T1" s="139"/>
      <c r="U1"/>
      <c r="V1" s="144" t="s">
        <v>2247</v>
      </c>
      <c r="W1" s="160">
        <v>72</v>
      </c>
      <c r="X1" s="139"/>
      <c r="Y1"/>
      <c r="Z1" s="144" t="s">
        <v>2247</v>
      </c>
      <c r="AA1" s="160">
        <v>134</v>
      </c>
      <c r="AB1" s="139"/>
      <c r="AC1"/>
      <c r="AD1" s="144" t="s">
        <v>2247</v>
      </c>
      <c r="AE1" s="160">
        <v>677</v>
      </c>
      <c r="AG1"/>
      <c r="AH1" s="144" t="s">
        <v>2247</v>
      </c>
      <c r="AI1" s="160">
        <v>18</v>
      </c>
    </row>
    <row r="2" spans="1:36" ht="15" thickBot="1">
      <c r="A2" s="141" t="s">
        <v>428</v>
      </c>
      <c r="B2" s="153">
        <f>+B16/B1-1</f>
        <v>-3.5521865506178973E-2</v>
      </c>
      <c r="C2" s="154"/>
      <c r="F2" s="141" t="s">
        <v>2249</v>
      </c>
      <c r="G2" s="153">
        <f>+F16/G1-1</f>
        <v>-5.0309360629929745E-2</v>
      </c>
      <c r="H2" s="142"/>
      <c r="J2" s="141" t="s">
        <v>59</v>
      </c>
      <c r="K2" s="146">
        <f>+J16/K1-1</f>
        <v>6.7435333091500294E-2</v>
      </c>
      <c r="N2" s="141" t="s">
        <v>67</v>
      </c>
      <c r="O2" s="147">
        <f>+N16/O1-1</f>
        <v>-7.0033847675006089E-2</v>
      </c>
      <c r="R2" s="141" t="s">
        <v>65</v>
      </c>
      <c r="S2" s="149">
        <f>+R16/S1-1</f>
        <v>1.649621716042815E-2</v>
      </c>
      <c r="V2" s="141" t="s">
        <v>66</v>
      </c>
      <c r="W2" s="151">
        <f>+V16/W1-1</f>
        <v>0.15190059608282769</v>
      </c>
      <c r="Z2" s="141" t="s">
        <v>62</v>
      </c>
      <c r="AA2" s="147">
        <f>+Z16/AA1-1</f>
        <v>-0.13251948504096367</v>
      </c>
      <c r="AD2" s="141" t="s">
        <v>2246</v>
      </c>
      <c r="AE2" s="149">
        <f>+AD16/AE1-1</f>
        <v>8.1436958750869204E-2</v>
      </c>
      <c r="AH2" s="141" t="s">
        <v>61</v>
      </c>
      <c r="AI2" s="148">
        <f>+AH16/AI1-1</f>
        <v>0.25123257393208065</v>
      </c>
    </row>
    <row r="3" spans="1:36" ht="15" thickBot="1">
      <c r="A3" s="152" t="s">
        <v>2243</v>
      </c>
      <c r="B3" s="152" t="s">
        <v>2245</v>
      </c>
      <c r="C3" s="152" t="s">
        <v>2244</v>
      </c>
      <c r="D3" s="152" t="s">
        <v>2248</v>
      </c>
      <c r="E3" s="140"/>
      <c r="F3" s="152" t="s">
        <v>2245</v>
      </c>
      <c r="G3" s="152" t="s">
        <v>2244</v>
      </c>
      <c r="H3" s="152" t="s">
        <v>2248</v>
      </c>
      <c r="J3" s="152" t="s">
        <v>2245</v>
      </c>
      <c r="K3" s="145" t="s">
        <v>2244</v>
      </c>
      <c r="L3" s="152" t="s">
        <v>2248</v>
      </c>
      <c r="N3" s="152" t="s">
        <v>2245</v>
      </c>
      <c r="O3" s="152" t="s">
        <v>2244</v>
      </c>
      <c r="P3" s="152" t="s">
        <v>2248</v>
      </c>
      <c r="R3" s="152" t="s">
        <v>2245</v>
      </c>
      <c r="S3" s="152" t="s">
        <v>2244</v>
      </c>
      <c r="T3" s="152" t="s">
        <v>2248</v>
      </c>
      <c r="V3" s="152" t="s">
        <v>2245</v>
      </c>
      <c r="W3" s="152" t="s">
        <v>2244</v>
      </c>
      <c r="X3" s="152" t="s">
        <v>2248</v>
      </c>
      <c r="Z3" s="152" t="s">
        <v>2245</v>
      </c>
      <c r="AA3" s="152" t="s">
        <v>2244</v>
      </c>
      <c r="AB3" s="152" t="s">
        <v>2248</v>
      </c>
      <c r="AD3" s="152" t="s">
        <v>2245</v>
      </c>
      <c r="AE3" s="152" t="s">
        <v>2244</v>
      </c>
      <c r="AF3" s="152" t="s">
        <v>2248</v>
      </c>
      <c r="AH3" s="152" t="s">
        <v>2245</v>
      </c>
      <c r="AI3" s="152" t="s">
        <v>2244</v>
      </c>
      <c r="AJ3" s="152" t="s">
        <v>2248</v>
      </c>
    </row>
    <row r="4" spans="1:36" ht="15" thickBot="1">
      <c r="A4" s="178" t="s">
        <v>441</v>
      </c>
      <c r="B4" s="155">
        <v>30.664808924847936</v>
      </c>
      <c r="C4" s="155">
        <v>32</v>
      </c>
      <c r="D4" s="176">
        <f>+C4/B4-1</f>
        <v>4.3541477086137981E-2</v>
      </c>
      <c r="E4" s="159"/>
      <c r="F4" s="155">
        <v>28.895295708164401</v>
      </c>
      <c r="G4" s="155">
        <f>+F4*1.1</f>
        <v>31.784825278980843</v>
      </c>
      <c r="H4" s="189">
        <f>(F4*(1+D4))</f>
        <v>30.153439564138623</v>
      </c>
      <c r="J4" s="155">
        <v>229.8502410136345</v>
      </c>
      <c r="K4" s="155">
        <f>+J4*1.1</f>
        <v>252.83526511499798</v>
      </c>
      <c r="L4" s="155"/>
      <c r="N4" s="155">
        <v>120.70205996423432</v>
      </c>
      <c r="O4" s="155">
        <f>+N4*1.1</f>
        <v>132.77226596065776</v>
      </c>
      <c r="P4" s="155"/>
      <c r="R4" s="155">
        <v>77.397194055408576</v>
      </c>
      <c r="S4" s="155">
        <f>+R4*1.1</f>
        <v>85.136913460949444</v>
      </c>
      <c r="T4" s="155"/>
      <c r="V4" s="155">
        <v>55.08817441700014</v>
      </c>
      <c r="W4" s="155">
        <f>+V4*1.1</f>
        <v>60.596991858700157</v>
      </c>
      <c r="X4" s="155"/>
      <c r="Z4" s="155">
        <v>99.268879017507174</v>
      </c>
      <c r="AA4" s="155">
        <f>+Z4*1.1</f>
        <v>109.19576691925791</v>
      </c>
      <c r="AB4" s="155"/>
      <c r="AD4" s="155">
        <v>688.18488641631893</v>
      </c>
      <c r="AE4" s="155">
        <f>+AD4*1.1</f>
        <v>757.00337505795085</v>
      </c>
      <c r="AF4" s="155">
        <v>616.42572982849549</v>
      </c>
      <c r="AG4">
        <f>+AF4*1.1</f>
        <v>678.06830281134512</v>
      </c>
      <c r="AH4" s="155">
        <v>14.116222225726585</v>
      </c>
      <c r="AI4" s="155">
        <f>+AH4*1.1</f>
        <v>15.527844448299245</v>
      </c>
      <c r="AJ4" s="155"/>
    </row>
    <row r="5" spans="1:36" ht="15" thickBot="1">
      <c r="A5" s="179" t="s">
        <v>442</v>
      </c>
      <c r="B5" s="156">
        <v>38.745240101095192</v>
      </c>
      <c r="C5" s="156">
        <v>34</v>
      </c>
      <c r="D5" s="158">
        <f t="shared" ref="D5:D16" si="0">+C5/B5-1</f>
        <v>-0.12247285314825185</v>
      </c>
      <c r="E5" s="159"/>
      <c r="F5" s="156">
        <v>37.721744406298143</v>
      </c>
      <c r="G5" s="155">
        <f t="shared" ref="G5:G16" si="1">+F5*1.1</f>
        <v>41.493918846927961</v>
      </c>
      <c r="H5" s="189">
        <f t="shared" ref="H5:H16" si="2">(F5*(1+D5))</f>
        <v>33.101854743129699</v>
      </c>
      <c r="J5" s="156">
        <v>327.09184218967169</v>
      </c>
      <c r="K5" s="155">
        <f t="shared" ref="K5:K16" si="3">+J5*1.1</f>
        <v>359.8010264086389</v>
      </c>
      <c r="L5" s="156"/>
      <c r="N5" s="156">
        <v>144.39305636630687</v>
      </c>
      <c r="O5" s="155">
        <f t="shared" ref="O5:O16" si="4">+N5*1.1</f>
        <v>158.83236200293757</v>
      </c>
      <c r="P5" s="156"/>
      <c r="R5" s="156">
        <v>86.905479246845445</v>
      </c>
      <c r="S5" s="155">
        <f t="shared" ref="S5:S16" si="5">+R5*1.1</f>
        <v>95.596027171529997</v>
      </c>
      <c r="T5" s="156"/>
      <c r="V5" s="156">
        <v>69.0680608365019</v>
      </c>
      <c r="W5" s="155">
        <f t="shared" ref="W5:W16" si="6">+V5*1.1</f>
        <v>75.974866920152095</v>
      </c>
      <c r="X5" s="156"/>
      <c r="Z5" s="156">
        <v>106.08713480266532</v>
      </c>
      <c r="AA5" s="155">
        <f t="shared" ref="AA5:AA16" si="7">+Z5*1.1</f>
        <v>116.69584828293186</v>
      </c>
      <c r="AB5" s="156"/>
      <c r="AD5" s="156">
        <v>726.52673123360933</v>
      </c>
      <c r="AE5" s="155">
        <f t="shared" ref="AE5:AE16" si="8">+AD5*1.1</f>
        <v>799.17940435697028</v>
      </c>
      <c r="AF5" s="156">
        <v>722.02730111217193</v>
      </c>
      <c r="AG5">
        <f t="shared" ref="AG5:AG16" si="9">+AF5*1.1</f>
        <v>794.23003122338923</v>
      </c>
      <c r="AH5" s="156">
        <v>17.237654723127033</v>
      </c>
      <c r="AI5" s="155">
        <f t="shared" ref="AI5:AI16" si="10">+AH5*1.1</f>
        <v>18.961420195439739</v>
      </c>
      <c r="AJ5" s="156"/>
    </row>
    <row r="6" spans="1:36" ht="15" thickBot="1">
      <c r="A6" s="179" t="s">
        <v>443</v>
      </c>
      <c r="B6" s="156">
        <v>41.618182335120935</v>
      </c>
      <c r="C6" s="156">
        <v>38</v>
      </c>
      <c r="D6" s="158">
        <f t="shared" si="0"/>
        <v>-8.6937538645641577E-2</v>
      </c>
      <c r="E6" s="159"/>
      <c r="F6" s="156">
        <v>41.113687864035207</v>
      </c>
      <c r="G6" s="155">
        <f t="shared" si="1"/>
        <v>45.225056650438731</v>
      </c>
      <c r="H6" s="205">
        <f t="shared" si="2"/>
        <v>37.5393650364908</v>
      </c>
      <c r="J6" s="156">
        <v>435.39431907784837</v>
      </c>
      <c r="K6" s="155">
        <f t="shared" si="3"/>
        <v>478.93375098563325</v>
      </c>
      <c r="L6" s="156"/>
      <c r="N6" s="156">
        <v>121.84209540246373</v>
      </c>
      <c r="O6" s="155">
        <f t="shared" si="4"/>
        <v>134.02630494271011</v>
      </c>
      <c r="P6" s="156"/>
      <c r="R6" s="156">
        <v>85.000003166390499</v>
      </c>
      <c r="S6" s="155">
        <f t="shared" si="5"/>
        <v>93.500003483029559</v>
      </c>
      <c r="T6" s="156"/>
      <c r="V6" s="156">
        <v>76.240255408367489</v>
      </c>
      <c r="W6" s="155">
        <f t="shared" si="6"/>
        <v>83.864280949204243</v>
      </c>
      <c r="X6" s="156"/>
      <c r="Z6" s="156">
        <v>125.8040808219027</v>
      </c>
      <c r="AA6" s="155">
        <f t="shared" si="7"/>
        <v>138.38448890409299</v>
      </c>
      <c r="AB6" s="156"/>
      <c r="AD6" s="156">
        <v>877.14690721649481</v>
      </c>
      <c r="AE6" s="155">
        <f t="shared" si="8"/>
        <v>964.86159793814431</v>
      </c>
      <c r="AF6" s="156">
        <v>749.01348005502064</v>
      </c>
      <c r="AG6">
        <f t="shared" si="9"/>
        <v>823.91482806052272</v>
      </c>
      <c r="AH6" s="156">
        <v>27.353615758229903</v>
      </c>
      <c r="AI6" s="155">
        <f t="shared" si="10"/>
        <v>30.088977334052895</v>
      </c>
      <c r="AJ6" s="156"/>
    </row>
    <row r="7" spans="1:36" ht="15" thickBot="1">
      <c r="A7" s="179" t="s">
        <v>444</v>
      </c>
      <c r="B7" s="156">
        <v>40.339406138061058</v>
      </c>
      <c r="C7" s="156">
        <v>38</v>
      </c>
      <c r="D7" s="158">
        <f t="shared" si="0"/>
        <v>-5.7993073325236177E-2</v>
      </c>
      <c r="E7" s="159"/>
      <c r="F7" s="156">
        <v>39.355365134854246</v>
      </c>
      <c r="G7" s="155">
        <f t="shared" si="1"/>
        <v>43.290901648339677</v>
      </c>
      <c r="H7" s="189">
        <f t="shared" si="2"/>
        <v>37.073026558847204</v>
      </c>
      <c r="J7" s="156">
        <v>322.43095654788107</v>
      </c>
      <c r="K7" s="155">
        <f t="shared" si="3"/>
        <v>354.6740522026692</v>
      </c>
      <c r="L7" s="156"/>
      <c r="N7" s="156">
        <v>138.30348425831883</v>
      </c>
      <c r="O7" s="155">
        <f t="shared" si="4"/>
        <v>152.13383268415072</v>
      </c>
      <c r="P7" s="156"/>
      <c r="R7" s="156">
        <v>87.272632241353747</v>
      </c>
      <c r="S7" s="155">
        <f t="shared" si="5"/>
        <v>95.999895465489132</v>
      </c>
      <c r="T7" s="156"/>
      <c r="V7" s="156">
        <v>76.593049588351093</v>
      </c>
      <c r="W7" s="155">
        <f t="shared" si="6"/>
        <v>84.252354547186215</v>
      </c>
      <c r="X7" s="156"/>
      <c r="Z7" s="156">
        <v>116.51290238157547</v>
      </c>
      <c r="AA7" s="155">
        <f t="shared" si="7"/>
        <v>128.16419261973303</v>
      </c>
      <c r="AB7" s="156"/>
      <c r="AD7" s="156">
        <v>670.07571822806824</v>
      </c>
      <c r="AE7" s="155">
        <f t="shared" si="8"/>
        <v>737.08329005087512</v>
      </c>
      <c r="AF7" s="156">
        <v>670.07571822806824</v>
      </c>
      <c r="AG7">
        <f t="shared" si="9"/>
        <v>737.08329005087512</v>
      </c>
      <c r="AH7" s="156">
        <v>23.938046613580205</v>
      </c>
      <c r="AI7" s="155">
        <f t="shared" si="10"/>
        <v>26.331851274938227</v>
      </c>
      <c r="AJ7" s="156"/>
    </row>
    <row r="8" spans="1:36" ht="15" thickBot="1">
      <c r="A8" s="179" t="s">
        <v>445</v>
      </c>
      <c r="B8" s="156">
        <v>39.29286603159423</v>
      </c>
      <c r="C8" s="156">
        <v>37</v>
      </c>
      <c r="D8" s="158">
        <f t="shared" si="0"/>
        <v>-5.8353239739514118E-2</v>
      </c>
      <c r="E8" s="159"/>
      <c r="F8" s="156">
        <v>38.900798195075211</v>
      </c>
      <c r="G8" s="155">
        <f t="shared" si="1"/>
        <v>42.790878014582738</v>
      </c>
      <c r="H8" s="189">
        <f t="shared" si="2"/>
        <v>36.630810591939529</v>
      </c>
      <c r="J8" s="156">
        <v>566.13052410143473</v>
      </c>
      <c r="K8" s="155">
        <f t="shared" si="3"/>
        <v>622.74357651157823</v>
      </c>
      <c r="L8" s="156"/>
      <c r="N8" s="156">
        <v>98.5872360915928</v>
      </c>
      <c r="O8" s="155">
        <f t="shared" si="4"/>
        <v>108.44595970075208</v>
      </c>
      <c r="P8" s="156"/>
      <c r="R8" s="156">
        <v>87.108620938285327</v>
      </c>
      <c r="S8" s="155">
        <f t="shared" si="5"/>
        <v>95.819483032113865</v>
      </c>
      <c r="T8" s="156"/>
      <c r="V8" s="156">
        <v>95.435107419609309</v>
      </c>
      <c r="W8" s="155">
        <f t="shared" si="6"/>
        <v>104.97861816157025</v>
      </c>
      <c r="X8" s="156"/>
      <c r="Z8" s="156">
        <v>123.67212042553625</v>
      </c>
      <c r="AA8" s="155">
        <f t="shared" si="7"/>
        <v>136.0393324680899</v>
      </c>
      <c r="AB8" s="156"/>
      <c r="AD8" s="156">
        <v>626.53987608097816</v>
      </c>
      <c r="AE8" s="155">
        <f t="shared" si="8"/>
        <v>689.19386368907601</v>
      </c>
      <c r="AF8" s="156">
        <v>611.9809702579372</v>
      </c>
      <c r="AG8">
        <f t="shared" si="9"/>
        <v>673.179067283731</v>
      </c>
      <c r="AH8" s="156">
        <v>23.654137974208087</v>
      </c>
      <c r="AI8" s="155">
        <f t="shared" si="10"/>
        <v>26.019551771628898</v>
      </c>
      <c r="AJ8" s="156"/>
    </row>
    <row r="9" spans="1:36" ht="15" thickBot="1">
      <c r="A9" s="179" t="s">
        <v>446</v>
      </c>
      <c r="B9" s="156">
        <v>37.035708872723781</v>
      </c>
      <c r="C9" s="156">
        <v>42</v>
      </c>
      <c r="D9" s="158">
        <f t="shared" si="0"/>
        <v>0.13404066719328656</v>
      </c>
      <c r="E9" s="159"/>
      <c r="F9" s="156">
        <v>36.622494074925349</v>
      </c>
      <c r="G9" s="155">
        <f t="shared" si="1"/>
        <v>40.284743482417888</v>
      </c>
      <c r="H9" s="189">
        <f t="shared" si="2"/>
        <v>41.531397615010526</v>
      </c>
      <c r="J9" s="156">
        <v>550.45879384484169</v>
      </c>
      <c r="K9" s="155">
        <f t="shared" si="3"/>
        <v>605.50467322932593</v>
      </c>
      <c r="L9" s="156"/>
      <c r="N9" s="156">
        <v>91.134169662033131</v>
      </c>
      <c r="O9" s="155">
        <f t="shared" si="4"/>
        <v>100.24758662823645</v>
      </c>
      <c r="P9" s="156"/>
      <c r="R9" s="156">
        <v>84.900105774681506</v>
      </c>
      <c r="S9" s="155">
        <f t="shared" si="5"/>
        <v>93.390116352149661</v>
      </c>
      <c r="T9" s="156"/>
      <c r="V9" s="156">
        <v>90.252129184585556</v>
      </c>
      <c r="W9" s="155">
        <f t="shared" si="6"/>
        <v>99.27734210304412</v>
      </c>
      <c r="X9" s="156"/>
      <c r="Z9" s="156">
        <v>121.23270378345126</v>
      </c>
      <c r="AA9" s="155">
        <f t="shared" si="7"/>
        <v>133.35597416179638</v>
      </c>
      <c r="AB9" s="156"/>
      <c r="AD9" s="156">
        <v>777.93989499255554</v>
      </c>
      <c r="AE9" s="155">
        <f t="shared" si="8"/>
        <v>855.73388449181118</v>
      </c>
      <c r="AF9" s="156">
        <v>766.67498165810719</v>
      </c>
      <c r="AG9">
        <f t="shared" si="9"/>
        <v>843.34247982391798</v>
      </c>
      <c r="AH9" s="156">
        <v>26.652761916210856</v>
      </c>
      <c r="AI9" s="155">
        <f t="shared" si="10"/>
        <v>29.318038107831946</v>
      </c>
      <c r="AJ9" s="156"/>
    </row>
    <row r="10" spans="1:36" ht="15" thickBot="1">
      <c r="A10" s="179" t="s">
        <v>447</v>
      </c>
      <c r="B10" s="156">
        <v>36.946857376542617</v>
      </c>
      <c r="C10" s="156">
        <v>42</v>
      </c>
      <c r="D10" s="158">
        <f>+C10/B10-1</f>
        <v>0.13676786017166376</v>
      </c>
      <c r="E10" s="159"/>
      <c r="F10" s="156">
        <v>35.718934290608189</v>
      </c>
      <c r="G10" s="155">
        <f t="shared" si="1"/>
        <v>39.290827719669011</v>
      </c>
      <c r="H10" s="189">
        <f>(F10*(1+D10))</f>
        <v>40.604136501146932</v>
      </c>
      <c r="J10" s="156">
        <v>438.98562818729721</v>
      </c>
      <c r="K10" s="155">
        <f t="shared" si="3"/>
        <v>482.88419100602698</v>
      </c>
      <c r="L10" s="156"/>
      <c r="N10" s="156">
        <v>101.48718901411716</v>
      </c>
      <c r="O10" s="155">
        <f t="shared" si="4"/>
        <v>111.63590791552889</v>
      </c>
      <c r="P10" s="156"/>
      <c r="R10" s="156">
        <v>87.535067235951118</v>
      </c>
      <c r="S10" s="155">
        <f t="shared" si="5"/>
        <v>96.288573959546241</v>
      </c>
      <c r="T10" s="156"/>
      <c r="V10" s="156">
        <v>75.95424340807719</v>
      </c>
      <c r="W10" s="155">
        <f t="shared" si="6"/>
        <v>83.549667748884914</v>
      </c>
      <c r="X10" s="156"/>
      <c r="Z10" s="156">
        <v>117.18498286057661</v>
      </c>
      <c r="AA10" s="155">
        <f t="shared" si="7"/>
        <v>128.90348114663428</v>
      </c>
      <c r="AB10" s="156"/>
      <c r="AD10" s="156">
        <v>876.63705286373977</v>
      </c>
      <c r="AE10" s="155">
        <f t="shared" si="8"/>
        <v>964.30075815011378</v>
      </c>
      <c r="AF10" s="156">
        <v>833.74042148733258</v>
      </c>
      <c r="AG10">
        <f t="shared" si="9"/>
        <v>917.11446363606592</v>
      </c>
      <c r="AH10" s="156">
        <v>20.191324663188226</v>
      </c>
      <c r="AI10" s="155">
        <f t="shared" si="10"/>
        <v>22.210457129507052</v>
      </c>
      <c r="AJ10" s="156"/>
    </row>
    <row r="11" spans="1:36" ht="15" thickBot="1">
      <c r="A11" s="179" t="s">
        <v>448</v>
      </c>
      <c r="B11" s="156">
        <v>39.383754991228145</v>
      </c>
      <c r="C11" s="156">
        <v>44</v>
      </c>
      <c r="D11" s="158">
        <f t="shared" ref="D11:D13" si="11">+C11/B11-1</f>
        <v>0.11721190652846647</v>
      </c>
      <c r="E11" s="159"/>
      <c r="F11" s="156">
        <v>38.252457668627351</v>
      </c>
      <c r="G11" s="155">
        <f>+F11*1.1</f>
        <v>42.077703435490086</v>
      </c>
      <c r="H11" s="205">
        <f>(F11*(1+D11))</f>
        <v>42.736101161366619</v>
      </c>
      <c r="J11" s="156">
        <v>405.81632941842366</v>
      </c>
      <c r="K11" s="155">
        <f t="shared" si="3"/>
        <v>446.39796236026609</v>
      </c>
      <c r="L11" s="156"/>
      <c r="N11" s="156">
        <v>117.29499401387329</v>
      </c>
      <c r="O11" s="155">
        <f t="shared" si="4"/>
        <v>129.02449341526062</v>
      </c>
      <c r="P11" s="156"/>
      <c r="R11" s="156">
        <v>86.212753516494416</v>
      </c>
      <c r="S11" s="155">
        <f t="shared" si="5"/>
        <v>94.834028868143861</v>
      </c>
      <c r="T11" s="156"/>
      <c r="V11" s="156">
        <v>64.250489884911545</v>
      </c>
      <c r="W11" s="155">
        <f t="shared" si="6"/>
        <v>70.675538873402701</v>
      </c>
      <c r="X11" s="156"/>
      <c r="Z11" s="156">
        <v>122.79765119638259</v>
      </c>
      <c r="AA11" s="155">
        <f t="shared" si="7"/>
        <v>135.07741631602084</v>
      </c>
      <c r="AB11" s="156"/>
      <c r="AD11" s="156">
        <v>754.52401524777633</v>
      </c>
      <c r="AE11" s="155">
        <f t="shared" si="8"/>
        <v>829.97641677255399</v>
      </c>
      <c r="AF11" s="156">
        <v>723.453216374269</v>
      </c>
      <c r="AG11">
        <f t="shared" si="9"/>
        <v>795.798538011696</v>
      </c>
      <c r="AH11" s="156">
        <v>22.194499281661173</v>
      </c>
      <c r="AI11" s="155">
        <f t="shared" si="10"/>
        <v>24.413949209827294</v>
      </c>
      <c r="AJ11" s="156"/>
    </row>
    <row r="12" spans="1:36" ht="15" thickBot="1">
      <c r="A12" s="179" t="s">
        <v>449</v>
      </c>
      <c r="B12" s="156">
        <v>38.73760827776826</v>
      </c>
      <c r="C12" s="156">
        <v>44</v>
      </c>
      <c r="D12" s="158">
        <f t="shared" si="11"/>
        <v>0.13584709940009021</v>
      </c>
      <c r="E12" s="159"/>
      <c r="F12" s="156">
        <v>38.117509559822125</v>
      </c>
      <c r="G12" s="155">
        <f t="shared" si="1"/>
        <v>41.929260515804337</v>
      </c>
      <c r="H12" s="189">
        <f t="shared" si="2"/>
        <v>43.295662669879171</v>
      </c>
      <c r="J12" s="156">
        <v>395.3196453569762</v>
      </c>
      <c r="K12" s="155">
        <f t="shared" si="3"/>
        <v>434.85160989267388</v>
      </c>
      <c r="L12" s="156"/>
      <c r="N12" s="156">
        <v>104.00988850695798</v>
      </c>
      <c r="O12" s="155">
        <f t="shared" si="4"/>
        <v>114.41087735765379</v>
      </c>
      <c r="P12" s="156"/>
      <c r="R12" s="156">
        <v>82.453843116702515</v>
      </c>
      <c r="S12" s="155">
        <f t="shared" si="5"/>
        <v>90.69922742837278</v>
      </c>
      <c r="T12" s="156"/>
      <c r="V12" s="156">
        <v>84.686892744052614</v>
      </c>
      <c r="W12" s="155">
        <f t="shared" si="6"/>
        <v>93.155582018457878</v>
      </c>
      <c r="X12" s="156"/>
      <c r="Z12" s="156">
        <v>118.24923424149604</v>
      </c>
      <c r="AA12" s="155">
        <f t="shared" si="7"/>
        <v>130.07415766564566</v>
      </c>
      <c r="AB12" s="156"/>
      <c r="AD12" s="156">
        <v>617.54628137830673</v>
      </c>
      <c r="AE12" s="155">
        <f t="shared" si="8"/>
        <v>679.30090951613749</v>
      </c>
      <c r="AF12" s="156">
        <v>596.16717675982136</v>
      </c>
      <c r="AG12">
        <f t="shared" si="9"/>
        <v>655.78389443580352</v>
      </c>
      <c r="AH12" s="156">
        <v>23.144613770797523</v>
      </c>
      <c r="AI12" s="155">
        <f t="shared" si="10"/>
        <v>25.459075147877279</v>
      </c>
      <c r="AJ12" s="156"/>
    </row>
    <row r="13" spans="1:36" ht="15" thickBot="1">
      <c r="A13" s="179" t="s">
        <v>450</v>
      </c>
      <c r="B13" s="156">
        <v>35.172920548338467</v>
      </c>
      <c r="C13" s="156">
        <v>42</v>
      </c>
      <c r="D13" s="158">
        <f t="shared" si="11"/>
        <v>0.19410044276189731</v>
      </c>
      <c r="E13" s="159"/>
      <c r="F13" s="156">
        <v>35.641013468368619</v>
      </c>
      <c r="G13" s="155">
        <f t="shared" si="1"/>
        <v>39.205114815205484</v>
      </c>
      <c r="H13" s="189">
        <f t="shared" si="2"/>
        <v>42.558949963061714</v>
      </c>
      <c r="J13" s="156">
        <v>361.93962886914471</v>
      </c>
      <c r="K13" s="155">
        <f t="shared" si="3"/>
        <v>398.13359175605922</v>
      </c>
      <c r="L13" s="156"/>
      <c r="N13" s="156">
        <v>87.336217639335388</v>
      </c>
      <c r="O13" s="155">
        <f t="shared" si="4"/>
        <v>96.069839403268929</v>
      </c>
      <c r="P13" s="156"/>
      <c r="R13" s="156">
        <v>74.171093985647914</v>
      </c>
      <c r="S13" s="155">
        <f t="shared" si="5"/>
        <v>81.588203384212719</v>
      </c>
      <c r="T13" s="156"/>
      <c r="V13" s="156">
        <v>101.35218256290227</v>
      </c>
      <c r="W13" s="155">
        <f t="shared" si="6"/>
        <v>111.4874008191925</v>
      </c>
      <c r="X13" s="156"/>
      <c r="Z13" s="156">
        <v>124.67748941905683</v>
      </c>
      <c r="AA13" s="155">
        <f t="shared" si="7"/>
        <v>137.14523836096251</v>
      </c>
      <c r="AB13" s="156"/>
      <c r="AD13" s="156">
        <v>812.53199831956283</v>
      </c>
      <c r="AE13" s="155">
        <f t="shared" si="8"/>
        <v>893.78519815151924</v>
      </c>
      <c r="AF13" s="156">
        <v>698.69239568908438</v>
      </c>
      <c r="AG13">
        <f t="shared" si="9"/>
        <v>768.56163525799286</v>
      </c>
      <c r="AH13" s="156">
        <v>23.54463693738834</v>
      </c>
      <c r="AI13" s="155">
        <f t="shared" si="10"/>
        <v>25.899100631127176</v>
      </c>
      <c r="AJ13" s="156"/>
    </row>
    <row r="14" spans="1:36" ht="15" thickBot="1">
      <c r="A14" s="179" t="s">
        <v>451</v>
      </c>
      <c r="B14" s="156">
        <v>30.194445410527212</v>
      </c>
      <c r="C14" s="156">
        <v>39</v>
      </c>
      <c r="D14" s="158">
        <f t="shared" si="0"/>
        <v>0.29162829354046549</v>
      </c>
      <c r="E14" s="159"/>
      <c r="F14" s="156">
        <v>30.102897127413055</v>
      </c>
      <c r="G14" s="155">
        <f t="shared" si="1"/>
        <v>33.113186840154363</v>
      </c>
      <c r="H14" s="189">
        <f t="shared" si="2"/>
        <v>38.881753647304706</v>
      </c>
      <c r="J14" s="156">
        <v>229.43831535101674</v>
      </c>
      <c r="K14" s="155">
        <f t="shared" si="3"/>
        <v>252.38214688611845</v>
      </c>
      <c r="L14" s="156"/>
      <c r="N14" s="156">
        <v>92.745998300405759</v>
      </c>
      <c r="O14" s="155">
        <f t="shared" si="4"/>
        <v>102.02059813044634</v>
      </c>
      <c r="P14" s="156"/>
      <c r="R14" s="156">
        <v>65.008226468099949</v>
      </c>
      <c r="S14" s="155">
        <f t="shared" si="5"/>
        <v>71.509049114909956</v>
      </c>
      <c r="T14" s="156"/>
      <c r="V14" s="156">
        <v>93.056781658452962</v>
      </c>
      <c r="W14" s="155">
        <f t="shared" si="6"/>
        <v>102.36245982429827</v>
      </c>
      <c r="X14" s="156"/>
      <c r="Z14" s="156">
        <v>108.79171027407905</v>
      </c>
      <c r="AA14" s="155">
        <f t="shared" si="7"/>
        <v>119.67088130148697</v>
      </c>
      <c r="AB14" s="156"/>
      <c r="AD14" s="156">
        <v>684.07822892881973</v>
      </c>
      <c r="AE14" s="155">
        <f t="shared" si="8"/>
        <v>752.48605182170172</v>
      </c>
      <c r="AF14" s="156">
        <v>619.03815056597</v>
      </c>
      <c r="AG14">
        <f t="shared" si="9"/>
        <v>680.94196562256707</v>
      </c>
      <c r="AH14" s="156">
        <v>27.125893766525031</v>
      </c>
      <c r="AI14" s="155">
        <f t="shared" si="10"/>
        <v>29.838483143177537</v>
      </c>
      <c r="AJ14" s="156"/>
    </row>
    <row r="15" spans="1:36" ht="15" thickBot="1">
      <c r="A15" s="180" t="s">
        <v>452</v>
      </c>
      <c r="B15" s="181">
        <v>34.898624696814188</v>
      </c>
      <c r="C15" s="181">
        <v>41</v>
      </c>
      <c r="D15" s="177">
        <f t="shared" si="0"/>
        <v>0.17483139682988114</v>
      </c>
      <c r="E15" s="159"/>
      <c r="F15" s="181">
        <v>34.330922052084418</v>
      </c>
      <c r="G15" s="182">
        <f t="shared" si="1"/>
        <v>37.764014257292864</v>
      </c>
      <c r="H15" s="189">
        <f t="shared" si="2"/>
        <v>40.333045108908109</v>
      </c>
      <c r="J15" s="181">
        <v>354.30098939736695</v>
      </c>
      <c r="K15" s="182">
        <f t="shared" si="3"/>
        <v>389.7310883371037</v>
      </c>
      <c r="L15" s="181"/>
      <c r="N15" s="181">
        <v>101.53319599706782</v>
      </c>
      <c r="O15" s="182">
        <f t="shared" si="4"/>
        <v>111.68651559677461</v>
      </c>
      <c r="P15" s="181"/>
      <c r="R15" s="181">
        <v>72.480476052398203</v>
      </c>
      <c r="S15" s="182">
        <f t="shared" si="5"/>
        <v>79.728523657638036</v>
      </c>
      <c r="T15" s="181"/>
      <c r="V15" s="181">
        <v>105.42870622065465</v>
      </c>
      <c r="W15" s="182">
        <f t="shared" si="6"/>
        <v>115.97157684272013</v>
      </c>
      <c r="X15" s="181"/>
      <c r="Z15" s="181">
        <v>108.27279111504149</v>
      </c>
      <c r="AA15" s="182">
        <f t="shared" si="7"/>
        <v>119.10007022654564</v>
      </c>
      <c r="AB15" s="181"/>
      <c r="AD15" s="181">
        <v>676.70633164893002</v>
      </c>
      <c r="AE15" s="182">
        <f t="shared" si="8"/>
        <v>744.37696481382307</v>
      </c>
      <c r="AF15" s="181">
        <v>662.45241297558539</v>
      </c>
      <c r="AG15">
        <f t="shared" si="9"/>
        <v>728.69765427314394</v>
      </c>
      <c r="AH15" s="181">
        <v>23.894564315352696</v>
      </c>
      <c r="AI15" s="182">
        <f t="shared" si="10"/>
        <v>26.284020746887968</v>
      </c>
      <c r="AJ15" s="181"/>
    </row>
    <row r="16" spans="1:36" ht="15" thickBot="1">
      <c r="A16" s="152" t="s">
        <v>57</v>
      </c>
      <c r="B16" s="157">
        <v>36.650169110765198</v>
      </c>
      <c r="C16" s="157">
        <v>39.303678241917801</v>
      </c>
      <c r="D16" s="150">
        <f t="shared" si="0"/>
        <v>7.2401006476480179E-2</v>
      </c>
      <c r="E16" s="159"/>
      <c r="F16" s="157">
        <v>36.088244296062669</v>
      </c>
      <c r="G16" s="157">
        <f t="shared" si="1"/>
        <v>39.697068725668942</v>
      </c>
      <c r="H16" s="189">
        <f t="shared" si="2"/>
        <v>38.701069505066698</v>
      </c>
      <c r="J16" s="157">
        <v>368.26518991656758</v>
      </c>
      <c r="K16" s="157">
        <f t="shared" si="3"/>
        <v>405.09170890822435</v>
      </c>
      <c r="L16" s="157"/>
      <c r="N16" s="157">
        <v>105.08617521272431</v>
      </c>
      <c r="O16" s="157">
        <f t="shared" si="4"/>
        <v>115.59479273399675</v>
      </c>
      <c r="P16" s="157"/>
      <c r="R16" s="157">
        <v>80.303201155673818</v>
      </c>
      <c r="S16" s="157">
        <f t="shared" si="5"/>
        <v>88.33352127124121</v>
      </c>
      <c r="T16" s="157"/>
      <c r="V16" s="157">
        <v>82.936842917963588</v>
      </c>
      <c r="W16" s="157">
        <f t="shared" si="6"/>
        <v>91.230527209759956</v>
      </c>
      <c r="X16" s="157"/>
      <c r="Z16" s="157">
        <v>116.24238900451087</v>
      </c>
      <c r="AA16" s="157">
        <f t="shared" si="7"/>
        <v>127.86662790496197</v>
      </c>
      <c r="AB16" s="157"/>
      <c r="AD16" s="157">
        <v>732.13282107433838</v>
      </c>
      <c r="AE16" s="157">
        <f t="shared" si="8"/>
        <v>805.34610318177226</v>
      </c>
      <c r="AF16" s="157">
        <v>693.90641165004479</v>
      </c>
      <c r="AG16">
        <f t="shared" si="9"/>
        <v>763.29705281504937</v>
      </c>
      <c r="AH16" s="157">
        <v>22.522186330777451</v>
      </c>
      <c r="AI16" s="157">
        <f t="shared" si="10"/>
        <v>24.774404963855197</v>
      </c>
      <c r="AJ16" s="157"/>
    </row>
    <row r="18" spans="3:35">
      <c r="G18" s="188"/>
      <c r="J18"/>
      <c r="K18"/>
      <c r="AD18" s="138" t="s">
        <v>1433</v>
      </c>
      <c r="AE18" s="138" t="s">
        <v>1877</v>
      </c>
      <c r="AF18" t="s">
        <v>1898</v>
      </c>
      <c r="AI18" s="183"/>
    </row>
    <row r="19" spans="3:35">
      <c r="C19" s="65"/>
      <c r="D19" s="67"/>
      <c r="J19"/>
      <c r="K19"/>
      <c r="AD19" s="138" t="s">
        <v>1878</v>
      </c>
      <c r="AE19" s="66">
        <v>6020.25</v>
      </c>
      <c r="AF19">
        <v>3711037</v>
      </c>
      <c r="AG19">
        <v>616.42572982849549</v>
      </c>
    </row>
    <row r="20" spans="3:35">
      <c r="D20" s="67"/>
      <c r="H20" s="29"/>
      <c r="J20"/>
      <c r="K20"/>
      <c r="AD20" s="138" t="s">
        <v>1879</v>
      </c>
      <c r="AE20" s="138">
        <v>3229.416666666667</v>
      </c>
      <c r="AF20">
        <v>2331727</v>
      </c>
      <c r="AG20">
        <v>722.02730111217193</v>
      </c>
    </row>
    <row r="21" spans="3:35">
      <c r="D21" s="161"/>
      <c r="J21"/>
      <c r="K21"/>
      <c r="AD21" s="138" t="s">
        <v>1880</v>
      </c>
      <c r="AE21" s="138">
        <v>1817.5</v>
      </c>
      <c r="AF21">
        <v>1361332</v>
      </c>
      <c r="AG21">
        <v>749.01348005502064</v>
      </c>
    </row>
    <row r="22" spans="3:35">
      <c r="J22"/>
      <c r="K22"/>
      <c r="AD22" s="138" t="s">
        <v>1881</v>
      </c>
      <c r="AE22" s="138">
        <v>5326.7666666666673</v>
      </c>
      <c r="AF22">
        <v>3569337</v>
      </c>
      <c r="AG22">
        <v>670.07571822806824</v>
      </c>
    </row>
    <row r="23" spans="3:35">
      <c r="J23"/>
      <c r="K23"/>
      <c r="AD23" s="138" t="s">
        <v>1882</v>
      </c>
      <c r="AE23" s="138">
        <v>2574.9166666666665</v>
      </c>
      <c r="AF23">
        <v>1575800</v>
      </c>
      <c r="AG23">
        <v>611.9809702579372</v>
      </c>
    </row>
    <row r="24" spans="3:35">
      <c r="J24"/>
      <c r="K24"/>
      <c r="AA24" s="138">
        <f>43-27</f>
        <v>16</v>
      </c>
      <c r="AD24" s="138" t="s">
        <v>1883</v>
      </c>
      <c r="AE24" s="138">
        <v>4316.1666666666661</v>
      </c>
      <c r="AF24">
        <v>3309097</v>
      </c>
      <c r="AG24">
        <v>766.67498165810719</v>
      </c>
    </row>
    <row r="25" spans="3:35">
      <c r="J25"/>
      <c r="K25"/>
      <c r="AD25" s="138" t="s">
        <v>1884</v>
      </c>
      <c r="AE25" s="138">
        <v>5085.1666666666661</v>
      </c>
      <c r="AF25">
        <v>4239709</v>
      </c>
      <c r="AG25">
        <v>833.74042148733258</v>
      </c>
    </row>
    <row r="26" spans="3:35">
      <c r="J26"/>
      <c r="K26"/>
      <c r="AD26" s="138" t="s">
        <v>1885</v>
      </c>
      <c r="AE26" s="138">
        <v>2052</v>
      </c>
      <c r="AF26">
        <v>1484526</v>
      </c>
      <c r="AG26">
        <v>723.453216374269</v>
      </c>
    </row>
    <row r="27" spans="3:35">
      <c r="J27"/>
      <c r="K27"/>
      <c r="AD27" s="138" t="s">
        <v>1886</v>
      </c>
      <c r="AE27" s="138">
        <v>1660.9166666666667</v>
      </c>
      <c r="AF27">
        <v>990184</v>
      </c>
      <c r="AG27">
        <v>596.16717675982136</v>
      </c>
    </row>
    <row r="28" spans="3:35">
      <c r="J28"/>
      <c r="K28"/>
      <c r="AD28" s="138" t="s">
        <v>1887</v>
      </c>
      <c r="AE28" s="138">
        <v>2768.1666666666661</v>
      </c>
      <c r="AF28">
        <v>1934097</v>
      </c>
      <c r="AG28">
        <v>698.69239568908438</v>
      </c>
    </row>
    <row r="29" spans="3:35">
      <c r="J29"/>
      <c r="K29"/>
      <c r="AD29" s="138" t="s">
        <v>1888</v>
      </c>
      <c r="AE29" s="138">
        <v>2782.833333333333</v>
      </c>
      <c r="AF29">
        <v>1722680</v>
      </c>
      <c r="AG29">
        <v>619.03815056597</v>
      </c>
    </row>
    <row r="30" spans="3:35">
      <c r="J30"/>
      <c r="K30"/>
      <c r="AD30" s="138" t="s">
        <v>1889</v>
      </c>
      <c r="AE30" s="138">
        <v>3655.583333333333</v>
      </c>
      <c r="AF30">
        <v>2421650</v>
      </c>
      <c r="AG30">
        <v>662.45241297558539</v>
      </c>
    </row>
    <row r="31" spans="3:35">
      <c r="J31"/>
      <c r="K31"/>
      <c r="AD31" s="138" t="s">
        <v>1434</v>
      </c>
      <c r="AE31" s="138">
        <v>41289.683333333342</v>
      </c>
      <c r="AF31">
        <v>28651176</v>
      </c>
      <c r="AG31">
        <v>693.90641165004479</v>
      </c>
    </row>
    <row r="32" spans="3:35">
      <c r="J32"/>
      <c r="K32"/>
    </row>
    <row r="33" spans="10:11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A54"/>
  <sheetViews>
    <sheetView workbookViewId="0">
      <pane ySplit="1" topLeftCell="A29" activePane="bottomLeft" state="frozen"/>
      <selection pane="bottomLeft" activeCell="R42" sqref="R42"/>
    </sheetView>
  </sheetViews>
  <sheetFormatPr defaultRowHeight="14.4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>
      <c r="A1" s="215" t="s">
        <v>2253</v>
      </c>
      <c r="B1" s="215"/>
      <c r="C1" s="215"/>
      <c r="D1" s="215" t="s">
        <v>1536</v>
      </c>
      <c r="E1" s="215"/>
      <c r="F1" s="215"/>
      <c r="G1" s="215" t="s">
        <v>2254</v>
      </c>
      <c r="H1" s="215"/>
      <c r="I1" s="215"/>
      <c r="J1" s="215" t="s">
        <v>2255</v>
      </c>
      <c r="K1" s="215"/>
      <c r="L1" s="215"/>
      <c r="M1" s="215" t="s">
        <v>2256</v>
      </c>
      <c r="N1" s="215"/>
      <c r="O1" s="215"/>
      <c r="P1" s="215" t="s">
        <v>2257</v>
      </c>
      <c r="Q1" s="215"/>
      <c r="R1" s="215"/>
      <c r="S1" s="215" t="s">
        <v>2258</v>
      </c>
      <c r="T1" s="215"/>
      <c r="U1" s="215"/>
      <c r="V1" s="215" t="s">
        <v>2259</v>
      </c>
      <c r="W1" s="215"/>
      <c r="X1" s="215"/>
      <c r="Y1" s="215" t="s">
        <v>2260</v>
      </c>
      <c r="Z1" s="215"/>
      <c r="AA1" s="215"/>
    </row>
    <row r="2" spans="1:27" ht="15" thickBot="1">
      <c r="A2" s="215" t="s">
        <v>10</v>
      </c>
      <c r="B2" s="215">
        <v>2025</v>
      </c>
      <c r="C2" s="215">
        <v>2026</v>
      </c>
      <c r="D2" s="215" t="s">
        <v>10</v>
      </c>
      <c r="E2" s="215">
        <v>2025</v>
      </c>
      <c r="F2" s="215">
        <v>2026</v>
      </c>
      <c r="G2" s="215" t="s">
        <v>10</v>
      </c>
      <c r="H2" s="215">
        <v>2025</v>
      </c>
      <c r="I2" s="215">
        <v>2026</v>
      </c>
      <c r="J2" s="215" t="s">
        <v>10</v>
      </c>
      <c r="K2" s="215">
        <v>2025</v>
      </c>
      <c r="L2" s="215">
        <v>2026</v>
      </c>
      <c r="M2" s="215" t="s">
        <v>10</v>
      </c>
      <c r="N2" s="215">
        <v>2025</v>
      </c>
      <c r="O2" s="215">
        <v>2026</v>
      </c>
      <c r="P2" s="215" t="s">
        <v>10</v>
      </c>
      <c r="Q2" s="215">
        <v>2025</v>
      </c>
      <c r="R2" s="215">
        <v>2026</v>
      </c>
      <c r="S2" s="215" t="s">
        <v>10</v>
      </c>
      <c r="T2" s="215">
        <v>2025</v>
      </c>
      <c r="U2" s="215">
        <v>2026</v>
      </c>
      <c r="V2" s="215" t="s">
        <v>10</v>
      </c>
      <c r="W2" s="215">
        <v>2025</v>
      </c>
      <c r="X2" s="215">
        <v>2026</v>
      </c>
      <c r="Y2" s="215" t="s">
        <v>10</v>
      </c>
      <c r="Z2" s="215">
        <v>2025</v>
      </c>
      <c r="AA2" s="215">
        <v>2026</v>
      </c>
    </row>
    <row r="3" spans="1:27">
      <c r="A3" s="209" t="s">
        <v>54</v>
      </c>
      <c r="B3" s="7">
        <v>299.76049278338064</v>
      </c>
      <c r="C3" s="211">
        <v>356.29303458353633</v>
      </c>
      <c r="D3" s="209" t="s">
        <v>54</v>
      </c>
      <c r="E3" s="7">
        <v>117.94654844659004</v>
      </c>
      <c r="F3" s="211">
        <v>125.76457489878543</v>
      </c>
      <c r="G3" s="209" t="s">
        <v>54</v>
      </c>
      <c r="H3" s="7">
        <v>74.927313052581511</v>
      </c>
      <c r="I3" s="211">
        <v>78.470694280875861</v>
      </c>
      <c r="J3" s="209" t="s">
        <v>54</v>
      </c>
      <c r="K3" s="7">
        <v>96.464289203712752</v>
      </c>
      <c r="L3" s="211">
        <v>121.26574500768049</v>
      </c>
      <c r="M3" s="209" t="s">
        <v>54</v>
      </c>
      <c r="N3" s="7">
        <v>107.75626920849849</v>
      </c>
      <c r="O3" s="211">
        <v>114.77515837573993</v>
      </c>
      <c r="P3" s="209" t="s">
        <v>54</v>
      </c>
      <c r="Q3" s="7">
        <v>634.14450577019568</v>
      </c>
      <c r="R3" s="211">
        <v>700.59078913765211</v>
      </c>
      <c r="S3" s="209" t="s">
        <v>54</v>
      </c>
      <c r="T3" s="7">
        <v>18.117364910439928</v>
      </c>
      <c r="U3" s="211">
        <v>16.459504747719233</v>
      </c>
      <c r="V3" s="209" t="s">
        <v>54</v>
      </c>
      <c r="W3" s="7">
        <v>34.009338376056405</v>
      </c>
      <c r="X3" s="211">
        <v>40.546212375517513</v>
      </c>
      <c r="Y3" s="209" t="s">
        <v>54</v>
      </c>
      <c r="Z3" s="7">
        <v>28.993011068816983</v>
      </c>
      <c r="AA3" s="211">
        <v>37.49929568662921</v>
      </c>
    </row>
    <row r="4" spans="1:27">
      <c r="A4" s="209" t="s">
        <v>425</v>
      </c>
      <c r="B4" s="7">
        <v>182.66181216383944</v>
      </c>
      <c r="C4" s="211">
        <v>340.90501224489799</v>
      </c>
      <c r="D4" s="209" t="s">
        <v>425</v>
      </c>
      <c r="E4" s="7">
        <v>122.84445800633615</v>
      </c>
      <c r="F4" s="211">
        <v>111.2946182715238</v>
      </c>
      <c r="G4" s="209" t="s">
        <v>425</v>
      </c>
      <c r="H4" s="7">
        <v>73.782496222304559</v>
      </c>
      <c r="I4" s="211">
        <v>73.21110395555543</v>
      </c>
      <c r="J4" s="209" t="s">
        <v>425</v>
      </c>
      <c r="K4" s="7">
        <v>79.248086823431194</v>
      </c>
      <c r="L4" s="211">
        <v>81.042384468143283</v>
      </c>
      <c r="M4" s="209" t="s">
        <v>425</v>
      </c>
      <c r="N4" s="7">
        <v>89.948204761642941</v>
      </c>
      <c r="O4" s="211">
        <v>141.07037879208031</v>
      </c>
      <c r="P4" s="209" t="s">
        <v>425</v>
      </c>
      <c r="Q4" s="7">
        <v>708.49488175079421</v>
      </c>
      <c r="R4" s="211">
        <v>569.41945155849839</v>
      </c>
      <c r="S4" s="209" t="s">
        <v>425</v>
      </c>
      <c r="T4" s="7">
        <v>11.043071017274473</v>
      </c>
      <c r="U4" s="211">
        <v>20.234860695371864</v>
      </c>
      <c r="V4" s="209" t="s">
        <v>425</v>
      </c>
      <c r="W4" s="7">
        <v>29.69161844933047</v>
      </c>
      <c r="X4" s="211">
        <v>37.968524817771602</v>
      </c>
      <c r="Y4" s="209" t="s">
        <v>425</v>
      </c>
      <c r="Z4" s="7">
        <v>26.143243438761591</v>
      </c>
      <c r="AA4" s="211">
        <v>36.734042154841582</v>
      </c>
    </row>
    <row r="5" spans="1:27">
      <c r="A5" s="209" t="s">
        <v>2</v>
      </c>
      <c r="B5" s="7">
        <v>252.96991413697521</v>
      </c>
      <c r="C5" s="211">
        <v>291.31284253062256</v>
      </c>
      <c r="D5" s="209" t="s">
        <v>2</v>
      </c>
      <c r="E5" s="7">
        <v>138.88258991536512</v>
      </c>
      <c r="F5" s="211">
        <v>97.063400040412844</v>
      </c>
      <c r="G5" s="209" t="s">
        <v>2</v>
      </c>
      <c r="H5" s="7">
        <v>82.457814863314809</v>
      </c>
      <c r="I5" s="211">
        <v>74.636964260230343</v>
      </c>
      <c r="J5" s="209" t="s">
        <v>2</v>
      </c>
      <c r="K5" s="7">
        <v>51.537631887456037</v>
      </c>
      <c r="L5" s="211">
        <v>80.794765020820947</v>
      </c>
      <c r="M5" s="209" t="s">
        <v>2</v>
      </c>
      <c r="N5" s="7">
        <v>124.26149460899741</v>
      </c>
      <c r="O5" s="211">
        <v>148.76938320535052</v>
      </c>
      <c r="P5" s="209" t="s">
        <v>2</v>
      </c>
      <c r="Q5" s="7">
        <v>528.06905328390417</v>
      </c>
      <c r="R5" s="211">
        <v>497.84745269286753</v>
      </c>
      <c r="S5" s="209" t="s">
        <v>2</v>
      </c>
      <c r="T5" s="7">
        <v>12.918870967741933</v>
      </c>
      <c r="U5" s="211">
        <v>21.824467063568271</v>
      </c>
      <c r="V5" s="209" t="s">
        <v>2</v>
      </c>
      <c r="W5" s="7">
        <v>33.400132508658686</v>
      </c>
      <c r="X5" s="211">
        <v>34.622807258080826</v>
      </c>
      <c r="Y5" s="209" t="s">
        <v>2</v>
      </c>
      <c r="Z5" s="7">
        <v>31.765963775738442</v>
      </c>
      <c r="AA5" s="211">
        <v>32.396544180969499</v>
      </c>
    </row>
    <row r="6" spans="1:27">
      <c r="A6" s="209" t="s">
        <v>3</v>
      </c>
      <c r="B6" s="7">
        <v>243.24331390598618</v>
      </c>
      <c r="C6" s="211">
        <v>327.20281662844405</v>
      </c>
      <c r="D6" s="209" t="s">
        <v>3</v>
      </c>
      <c r="E6" s="7">
        <v>108.11228070235332</v>
      </c>
      <c r="F6" s="211">
        <v>111.41916382097043</v>
      </c>
      <c r="G6" s="209" t="s">
        <v>3</v>
      </c>
      <c r="H6" s="7">
        <v>78.483692473350885</v>
      </c>
      <c r="I6" s="211">
        <v>82.705391977185144</v>
      </c>
      <c r="J6" s="209" t="s">
        <v>3</v>
      </c>
      <c r="K6" s="7">
        <v>38.371875768253709</v>
      </c>
      <c r="L6" s="211">
        <v>82.592487997740747</v>
      </c>
      <c r="M6" s="209" t="s">
        <v>3</v>
      </c>
      <c r="N6" s="7">
        <v>111.75807398708162</v>
      </c>
      <c r="O6" s="211">
        <v>129.64474235441975</v>
      </c>
      <c r="P6" s="209" t="s">
        <v>3</v>
      </c>
      <c r="Q6" s="7">
        <v>628.8201236305772</v>
      </c>
      <c r="R6" s="211">
        <v>530.44415835210816</v>
      </c>
      <c r="S6" s="209" t="s">
        <v>3</v>
      </c>
      <c r="T6" s="7">
        <v>16.182729007633586</v>
      </c>
      <c r="U6" s="211">
        <v>18.736230588761032</v>
      </c>
      <c r="V6" s="209" t="s">
        <v>3</v>
      </c>
      <c r="W6" s="7">
        <v>30.104089280839197</v>
      </c>
      <c r="X6" s="211">
        <v>35.510257621811462</v>
      </c>
      <c r="Y6" s="209" t="s">
        <v>3</v>
      </c>
      <c r="Z6" s="7">
        <v>28.931447701291599</v>
      </c>
      <c r="AA6" s="211">
        <v>34.166518634006813</v>
      </c>
    </row>
    <row r="7" spans="1:27">
      <c r="A7" s="209" t="s">
        <v>4</v>
      </c>
      <c r="B7" s="7">
        <v>209.28638843828344</v>
      </c>
      <c r="C7" s="211">
        <v>277</v>
      </c>
      <c r="D7" s="209" t="s">
        <v>4</v>
      </c>
      <c r="E7" s="7">
        <v>122.43479551578015</v>
      </c>
      <c r="F7" s="211">
        <v>94</v>
      </c>
      <c r="G7" s="209" t="s">
        <v>4</v>
      </c>
      <c r="H7" s="7">
        <v>81.195171572580549</v>
      </c>
      <c r="I7" s="211">
        <v>69</v>
      </c>
      <c r="J7" s="209" t="s">
        <v>4</v>
      </c>
      <c r="K7" s="7">
        <v>49.320063694267517</v>
      </c>
      <c r="L7" s="211">
        <v>77</v>
      </c>
      <c r="M7" s="209" t="s">
        <v>4</v>
      </c>
      <c r="N7" s="7">
        <v>78.449505358615014</v>
      </c>
      <c r="O7" s="211">
        <v>143</v>
      </c>
      <c r="P7" s="209" t="s">
        <v>4</v>
      </c>
      <c r="Q7" s="7">
        <v>627.63514868025391</v>
      </c>
      <c r="R7" s="211">
        <v>637</v>
      </c>
      <c r="S7" s="209" t="s">
        <v>4</v>
      </c>
      <c r="T7" s="7">
        <v>14.832346241457859</v>
      </c>
      <c r="U7" s="211">
        <v>17.337258962081016</v>
      </c>
      <c r="V7" s="209" t="s">
        <v>4</v>
      </c>
      <c r="W7" s="7">
        <v>31.635602173256871</v>
      </c>
      <c r="X7" s="211">
        <v>34.889095880532437</v>
      </c>
      <c r="Y7" s="209" t="s">
        <v>4</v>
      </c>
      <c r="Z7" s="7">
        <v>30.320736161506119</v>
      </c>
      <c r="AA7" s="211">
        <v>32.507187544727849</v>
      </c>
    </row>
    <row r="8" spans="1:27">
      <c r="A8" s="209" t="s">
        <v>5</v>
      </c>
      <c r="B8" s="7">
        <v>273.31853755402409</v>
      </c>
      <c r="C8" s="211">
        <v>260.9949994443827</v>
      </c>
      <c r="D8" s="209" t="s">
        <v>5</v>
      </c>
      <c r="E8" s="7">
        <v>156.01796783026322</v>
      </c>
      <c r="F8" s="211">
        <v>96.330871175901819</v>
      </c>
      <c r="G8" s="209" t="s">
        <v>5</v>
      </c>
      <c r="H8" s="7">
        <v>86.861965980888797</v>
      </c>
      <c r="I8" s="211">
        <v>66.919752077837103</v>
      </c>
      <c r="J8" s="209" t="s">
        <v>5</v>
      </c>
      <c r="K8" s="7">
        <v>63.514738696418085</v>
      </c>
      <c r="L8" s="211">
        <v>71.17976544722562</v>
      </c>
      <c r="M8" s="209" t="s">
        <v>5</v>
      </c>
      <c r="N8" s="7">
        <v>95.704083266613296</v>
      </c>
      <c r="O8" s="211">
        <v>116.51314708299095</v>
      </c>
      <c r="P8" s="209" t="s">
        <v>5</v>
      </c>
      <c r="Q8" s="7">
        <v>548.15288999378492</v>
      </c>
      <c r="R8" s="211">
        <v>638.34687994048181</v>
      </c>
      <c r="S8" s="209" t="s">
        <v>5</v>
      </c>
      <c r="T8" s="7">
        <v>15.328034265475061</v>
      </c>
      <c r="U8" s="211">
        <v>17.638605828519502</v>
      </c>
      <c r="V8" s="209" t="s">
        <v>5</v>
      </c>
      <c r="W8" s="7">
        <v>38.272267234466156</v>
      </c>
      <c r="X8" s="211">
        <v>31.143019472134704</v>
      </c>
      <c r="Y8" s="209" t="s">
        <v>5</v>
      </c>
      <c r="Z8" s="7">
        <v>36.878864001968495</v>
      </c>
      <c r="AA8" s="211">
        <v>28.668587940893438</v>
      </c>
    </row>
    <row r="9" spans="1:27">
      <c r="A9" s="209" t="s">
        <v>6</v>
      </c>
      <c r="B9" s="7">
        <v>378.23260822743913</v>
      </c>
      <c r="C9" s="211">
        <v>295</v>
      </c>
      <c r="D9" s="209" t="s">
        <v>6</v>
      </c>
      <c r="E9" s="7">
        <v>139.29209696428163</v>
      </c>
      <c r="F9" s="211">
        <v>94</v>
      </c>
      <c r="G9" s="209" t="s">
        <v>6</v>
      </c>
      <c r="H9" s="7">
        <v>83.650181487266352</v>
      </c>
      <c r="I9" s="211">
        <v>68</v>
      </c>
      <c r="J9" s="209" t="s">
        <v>6</v>
      </c>
      <c r="K9" s="7">
        <v>69.194823529411764</v>
      </c>
      <c r="L9" s="211">
        <v>76</v>
      </c>
      <c r="M9" s="209" t="s">
        <v>6</v>
      </c>
      <c r="N9" s="7">
        <v>119.93927569808561</v>
      </c>
      <c r="O9" s="211">
        <v>124</v>
      </c>
      <c r="P9" s="209" t="s">
        <v>6</v>
      </c>
      <c r="Q9" s="7">
        <v>733.76285260715588</v>
      </c>
      <c r="R9" s="211">
        <v>682</v>
      </c>
      <c r="S9" s="209" t="s">
        <v>6</v>
      </c>
      <c r="T9" s="7">
        <v>17.661772417409544</v>
      </c>
      <c r="U9" s="211">
        <v>17</v>
      </c>
      <c r="V9" s="209" t="s">
        <v>6</v>
      </c>
      <c r="W9" s="7">
        <v>39.314554984422962</v>
      </c>
      <c r="X9" s="211">
        <v>30</v>
      </c>
      <c r="Y9" s="209" t="s">
        <v>6</v>
      </c>
      <c r="Z9" s="7">
        <v>38.739869991016718</v>
      </c>
      <c r="AA9" s="211">
        <v>28.660185858043942</v>
      </c>
    </row>
    <row r="10" spans="1:27">
      <c r="A10" s="209" t="s">
        <v>7</v>
      </c>
      <c r="B10" s="7">
        <v>351.32777235669994</v>
      </c>
      <c r="C10" s="211">
        <v>344</v>
      </c>
      <c r="D10" s="209" t="s">
        <v>7</v>
      </c>
      <c r="E10" s="7">
        <v>148.06776041523466</v>
      </c>
      <c r="F10" s="211">
        <v>101</v>
      </c>
      <c r="G10" s="209" t="s">
        <v>7</v>
      </c>
      <c r="H10" s="7">
        <v>87.171021450782177</v>
      </c>
      <c r="I10" s="211">
        <v>72</v>
      </c>
      <c r="J10" s="209" t="s">
        <v>7</v>
      </c>
      <c r="K10" s="7">
        <v>72.685468861846829</v>
      </c>
      <c r="L10" s="211">
        <v>84</v>
      </c>
      <c r="M10" s="209" t="s">
        <v>7</v>
      </c>
      <c r="N10" s="7">
        <v>111.32741757885871</v>
      </c>
      <c r="O10" s="211">
        <v>122</v>
      </c>
      <c r="P10" s="209" t="s">
        <v>7</v>
      </c>
      <c r="Q10" s="7">
        <v>806.83894631543853</v>
      </c>
      <c r="R10" s="211">
        <v>688</v>
      </c>
      <c r="S10" s="209" t="s">
        <v>7</v>
      </c>
      <c r="T10" s="7">
        <v>20.283620689655173</v>
      </c>
      <c r="U10" s="211">
        <v>15</v>
      </c>
      <c r="V10" s="209" t="s">
        <v>7</v>
      </c>
      <c r="W10" s="7">
        <v>37.820536540240518</v>
      </c>
      <c r="X10" s="211">
        <v>33</v>
      </c>
      <c r="Y10" s="209" t="s">
        <v>7</v>
      </c>
      <c r="Z10" s="7">
        <v>36.446232429710683</v>
      </c>
      <c r="AA10" s="211">
        <v>31.921753133101252</v>
      </c>
    </row>
    <row r="11" spans="1:27">
      <c r="A11" s="209" t="s">
        <v>8</v>
      </c>
      <c r="B11" s="7">
        <v>329.41632155907428</v>
      </c>
      <c r="C11" s="211">
        <v>326</v>
      </c>
      <c r="D11" s="209" t="s">
        <v>8</v>
      </c>
      <c r="E11" s="7">
        <v>137.375508193077</v>
      </c>
      <c r="F11" s="211">
        <v>116</v>
      </c>
      <c r="G11" s="209" t="s">
        <v>8</v>
      </c>
      <c r="H11" s="7">
        <v>89.634664293609177</v>
      </c>
      <c r="I11" s="211">
        <v>81</v>
      </c>
      <c r="J11" s="209" t="s">
        <v>8</v>
      </c>
      <c r="K11" s="7">
        <v>77.345897361554066</v>
      </c>
      <c r="L11" s="211">
        <v>80</v>
      </c>
      <c r="M11" s="209" t="s">
        <v>8</v>
      </c>
      <c r="N11" s="7">
        <v>99.561170212765944</v>
      </c>
      <c r="O11" s="211">
        <v>133</v>
      </c>
      <c r="P11" s="209" t="s">
        <v>8</v>
      </c>
      <c r="Q11" s="7">
        <v>819.50220571163231</v>
      </c>
      <c r="R11" s="211">
        <v>677</v>
      </c>
      <c r="S11" s="209" t="s">
        <v>8</v>
      </c>
      <c r="T11" s="7">
        <v>17.13665532538008</v>
      </c>
      <c r="U11" s="211">
        <v>20</v>
      </c>
      <c r="V11" s="209" t="s">
        <v>8</v>
      </c>
      <c r="W11" s="7">
        <v>40.027574065740602</v>
      </c>
      <c r="X11" s="211">
        <v>38</v>
      </c>
      <c r="Y11" s="209" t="s">
        <v>8</v>
      </c>
      <c r="Z11" s="7">
        <v>39.204935191163415</v>
      </c>
      <c r="AA11" s="211">
        <v>36.99653220709375</v>
      </c>
    </row>
    <row r="12" spans="1:27">
      <c r="A12" s="209" t="s">
        <v>11</v>
      </c>
      <c r="B12" s="7">
        <v>263.58706661411117</v>
      </c>
      <c r="C12" s="211">
        <v>344</v>
      </c>
      <c r="D12" s="209" t="s">
        <v>11</v>
      </c>
      <c r="E12" s="7">
        <v>150.77092531390954</v>
      </c>
      <c r="F12" s="211">
        <v>116</v>
      </c>
      <c r="G12" s="209" t="s">
        <v>11</v>
      </c>
      <c r="H12" s="7">
        <v>90.465991140980321</v>
      </c>
      <c r="I12" s="211">
        <v>72</v>
      </c>
      <c r="J12" s="209" t="s">
        <v>11</v>
      </c>
      <c r="K12" s="7">
        <v>75.510773446257318</v>
      </c>
      <c r="L12" s="211">
        <v>97</v>
      </c>
      <c r="M12" s="209" t="s">
        <v>11</v>
      </c>
      <c r="N12" s="7">
        <v>119.87275149900067</v>
      </c>
      <c r="O12" s="211">
        <v>133</v>
      </c>
      <c r="P12" s="209" t="s">
        <v>11</v>
      </c>
      <c r="Q12" s="7">
        <v>623.58212229229503</v>
      </c>
      <c r="R12" s="211">
        <v>633</v>
      </c>
      <c r="S12" s="209" t="s">
        <v>11</v>
      </c>
      <c r="T12" s="7">
        <v>19.548313370296697</v>
      </c>
      <c r="U12" s="211">
        <v>23</v>
      </c>
      <c r="V12" s="209" t="s">
        <v>11</v>
      </c>
      <c r="W12" s="7">
        <v>44.061970670781079</v>
      </c>
      <c r="X12" s="211">
        <v>35</v>
      </c>
      <c r="Y12" s="209" t="s">
        <v>11</v>
      </c>
      <c r="Z12" s="7">
        <v>43.121963107434844</v>
      </c>
      <c r="AA12" s="211">
        <v>35.448354475868626</v>
      </c>
    </row>
    <row r="13" spans="1:27">
      <c r="A13" s="209" t="s">
        <v>12</v>
      </c>
      <c r="B13" s="7">
        <v>421.11723313860853</v>
      </c>
      <c r="C13" s="211">
        <v>371</v>
      </c>
      <c r="D13" s="209" t="s">
        <v>12</v>
      </c>
      <c r="E13" s="7">
        <v>125.34725420463998</v>
      </c>
      <c r="F13" s="211">
        <v>112</v>
      </c>
      <c r="G13" s="209" t="s">
        <v>12</v>
      </c>
      <c r="H13" s="7">
        <v>85.592458741375978</v>
      </c>
      <c r="I13" s="211">
        <v>79</v>
      </c>
      <c r="J13" s="209" t="s">
        <v>12</v>
      </c>
      <c r="K13" s="7">
        <v>85.266433788504287</v>
      </c>
      <c r="L13" s="211">
        <v>79</v>
      </c>
      <c r="M13" s="209" t="s">
        <v>12</v>
      </c>
      <c r="N13" s="7">
        <v>125.32919780064853</v>
      </c>
      <c r="O13" s="211">
        <v>167</v>
      </c>
      <c r="P13" s="209" t="s">
        <v>12</v>
      </c>
      <c r="Q13" s="7">
        <v>796.1302325581396</v>
      </c>
      <c r="R13" s="211">
        <v>572</v>
      </c>
      <c r="S13" s="209" t="s">
        <v>12</v>
      </c>
      <c r="T13" s="7">
        <v>41.469047067006741</v>
      </c>
      <c r="U13" s="211">
        <v>28</v>
      </c>
      <c r="V13" s="209" t="s">
        <v>12</v>
      </c>
      <c r="W13" s="7">
        <v>42.388798382698774</v>
      </c>
      <c r="X13" s="211">
        <v>39</v>
      </c>
      <c r="Y13" s="209" t="s">
        <v>12</v>
      </c>
      <c r="Z13" s="7">
        <v>41.909480862921441</v>
      </c>
      <c r="AA13" s="211">
        <v>38.525968117856266</v>
      </c>
    </row>
    <row r="14" spans="1:27">
      <c r="A14" s="209" t="s">
        <v>13</v>
      </c>
      <c r="B14" s="7">
        <v>547.20282129090469</v>
      </c>
      <c r="C14" s="211">
        <v>343</v>
      </c>
      <c r="D14" s="209" t="s">
        <v>13</v>
      </c>
      <c r="E14" s="7">
        <v>110.25926946563069</v>
      </c>
      <c r="F14" s="211">
        <v>97</v>
      </c>
      <c r="G14" s="209" t="s">
        <v>13</v>
      </c>
      <c r="H14" s="7">
        <v>84.46418656674112</v>
      </c>
      <c r="I14" s="211">
        <v>73</v>
      </c>
      <c r="J14" s="209" t="s">
        <v>13</v>
      </c>
      <c r="K14" s="7">
        <v>64.034735928001894</v>
      </c>
      <c r="L14" s="211">
        <v>84</v>
      </c>
      <c r="M14" s="209" t="s">
        <v>13</v>
      </c>
      <c r="N14" s="7">
        <v>127.2263340830096</v>
      </c>
      <c r="O14" s="211">
        <v>153</v>
      </c>
      <c r="P14" s="209" t="s">
        <v>13</v>
      </c>
      <c r="Q14" s="7">
        <v>644.76994219653182</v>
      </c>
      <c r="R14" s="211">
        <v>610</v>
      </c>
      <c r="S14" s="209" t="s">
        <v>13</v>
      </c>
      <c r="T14" s="7">
        <v>26.150266911003104</v>
      </c>
      <c r="U14" s="211">
        <v>29</v>
      </c>
      <c r="V14" s="209" t="s">
        <v>13</v>
      </c>
      <c r="W14" s="7">
        <v>40.271948170702053</v>
      </c>
      <c r="X14" s="211">
        <v>35</v>
      </c>
      <c r="Y14" s="209" t="s">
        <v>13</v>
      </c>
      <c r="Z14" s="7">
        <v>39.894814542277011</v>
      </c>
      <c r="AA14" s="211">
        <v>35.484983961840818</v>
      </c>
    </row>
    <row r="15" spans="1:27">
      <c r="A15" s="209" t="s">
        <v>14</v>
      </c>
      <c r="B15" s="7">
        <v>475.44991343062082</v>
      </c>
      <c r="C15" s="211">
        <v>368</v>
      </c>
      <c r="D15" s="209" t="s">
        <v>14</v>
      </c>
      <c r="E15" s="7">
        <v>112.29520216070708</v>
      </c>
      <c r="F15" s="211">
        <v>115</v>
      </c>
      <c r="G15" s="209" t="s">
        <v>14</v>
      </c>
      <c r="H15" s="7">
        <v>79.387395281362345</v>
      </c>
      <c r="I15" s="211">
        <v>75</v>
      </c>
      <c r="J15" s="209" t="s">
        <v>14</v>
      </c>
      <c r="K15" s="7">
        <v>84.161212935418874</v>
      </c>
      <c r="L15" s="211">
        <v>79</v>
      </c>
      <c r="M15" s="209" t="s">
        <v>14</v>
      </c>
      <c r="N15" s="7">
        <v>130.55304979567126</v>
      </c>
      <c r="O15" s="211">
        <v>149</v>
      </c>
      <c r="P15" s="209" t="s">
        <v>14</v>
      </c>
      <c r="Q15" s="7">
        <v>824.38572806171646</v>
      </c>
      <c r="R15" s="211">
        <v>607</v>
      </c>
      <c r="S15" s="209" t="s">
        <v>14</v>
      </c>
      <c r="T15" s="7">
        <v>29.975059952038375</v>
      </c>
      <c r="U15" s="211">
        <v>34</v>
      </c>
      <c r="V15" s="209" t="s">
        <v>14</v>
      </c>
      <c r="W15" s="7">
        <v>40.743800464089816</v>
      </c>
      <c r="X15" s="211">
        <v>39</v>
      </c>
      <c r="Y15" s="209" t="s">
        <v>14</v>
      </c>
      <c r="Z15" s="7">
        <v>40.403991377128136</v>
      </c>
      <c r="AA15" s="211">
        <v>37.678956591405225</v>
      </c>
    </row>
    <row r="16" spans="1:27">
      <c r="A16" s="209" t="s">
        <v>15</v>
      </c>
      <c r="B16" s="7">
        <v>135.935535375711</v>
      </c>
      <c r="C16" s="211">
        <v>365</v>
      </c>
      <c r="D16" s="209" t="s">
        <v>15</v>
      </c>
      <c r="E16" s="7">
        <v>151.09552668484181</v>
      </c>
      <c r="F16" s="211">
        <v>124</v>
      </c>
      <c r="G16" s="209" t="s">
        <v>15</v>
      </c>
      <c r="H16" s="7">
        <v>107.00543970190544</v>
      </c>
      <c r="I16" s="211">
        <v>80</v>
      </c>
      <c r="J16" s="209" t="s">
        <v>15</v>
      </c>
      <c r="K16" s="7">
        <v>80.26850623507562</v>
      </c>
      <c r="L16" s="211">
        <v>103</v>
      </c>
      <c r="M16" s="209" t="s">
        <v>15</v>
      </c>
      <c r="N16" s="7">
        <v>121.9551100457616</v>
      </c>
      <c r="O16" s="211">
        <v>123</v>
      </c>
      <c r="P16" s="209" t="s">
        <v>15</v>
      </c>
      <c r="Q16" s="7">
        <v>398.53999812435529</v>
      </c>
      <c r="R16" s="211">
        <v>672</v>
      </c>
      <c r="S16" s="209" t="s">
        <v>15</v>
      </c>
      <c r="T16" s="7">
        <v>25.14867495134002</v>
      </c>
      <c r="U16" s="211">
        <v>27</v>
      </c>
      <c r="V16" s="209" t="s">
        <v>15</v>
      </c>
      <c r="W16" s="7">
        <v>46.610584253784076</v>
      </c>
      <c r="X16" s="211">
        <v>37</v>
      </c>
      <c r="Y16" s="209" t="s">
        <v>15</v>
      </c>
      <c r="Z16" s="7">
        <v>45.80203077884125</v>
      </c>
      <c r="AA16" s="211">
        <v>37.008269979420305</v>
      </c>
    </row>
    <row r="17" spans="1:27">
      <c r="A17" s="209" t="s">
        <v>16</v>
      </c>
      <c r="B17" s="7">
        <v>300.68415841584158</v>
      </c>
      <c r="C17" s="211">
        <v>377</v>
      </c>
      <c r="D17" s="209" t="s">
        <v>16</v>
      </c>
      <c r="E17" s="7">
        <v>152.98399677648379</v>
      </c>
      <c r="F17" s="211">
        <v>117</v>
      </c>
      <c r="G17" s="209" t="s">
        <v>16</v>
      </c>
      <c r="H17" s="7">
        <v>90.875870142338542</v>
      </c>
      <c r="I17" s="211">
        <v>76</v>
      </c>
      <c r="J17" s="209" t="s">
        <v>16</v>
      </c>
      <c r="K17" s="7">
        <v>66.25375170532061</v>
      </c>
      <c r="L17" s="211">
        <v>70</v>
      </c>
      <c r="M17" s="209" t="s">
        <v>16</v>
      </c>
      <c r="N17" s="7">
        <v>103.61171902576774</v>
      </c>
      <c r="O17" s="211">
        <v>130</v>
      </c>
      <c r="P17" s="209" t="s">
        <v>16</v>
      </c>
      <c r="Q17" s="7">
        <v>620.35499527261265</v>
      </c>
      <c r="R17" s="211">
        <v>637</v>
      </c>
      <c r="S17" s="209" t="s">
        <v>16</v>
      </c>
      <c r="T17" s="7">
        <v>23.794653949424919</v>
      </c>
      <c r="U17" s="211">
        <v>26</v>
      </c>
      <c r="V17" s="209" t="s">
        <v>16</v>
      </c>
      <c r="W17" s="7">
        <v>39.277510443657128</v>
      </c>
      <c r="X17" s="211">
        <v>37</v>
      </c>
      <c r="Y17" s="209" t="s">
        <v>16</v>
      </c>
      <c r="Z17" s="7">
        <v>38.621856034026024</v>
      </c>
      <c r="AA17" s="211">
        <v>36.633440021925566</v>
      </c>
    </row>
    <row r="18" spans="1:27">
      <c r="A18" s="209" t="s">
        <v>17</v>
      </c>
      <c r="B18" s="7">
        <v>431.76772912760561</v>
      </c>
      <c r="C18" s="211">
        <v>368</v>
      </c>
      <c r="D18" s="209" t="s">
        <v>17</v>
      </c>
      <c r="E18" s="7">
        <v>138.1115585369657</v>
      </c>
      <c r="F18" s="211">
        <v>115</v>
      </c>
      <c r="G18" s="209" t="s">
        <v>17</v>
      </c>
      <c r="H18" s="7">
        <v>87.830683431737583</v>
      </c>
      <c r="I18" s="211">
        <v>84</v>
      </c>
      <c r="J18" s="209" t="s">
        <v>17</v>
      </c>
      <c r="K18" s="7">
        <v>89.892763731473408</v>
      </c>
      <c r="L18" s="211">
        <v>72</v>
      </c>
      <c r="M18" s="209" t="s">
        <v>17</v>
      </c>
      <c r="N18" s="7">
        <v>126.48148340518358</v>
      </c>
      <c r="O18" s="211">
        <v>142</v>
      </c>
      <c r="P18" s="209" t="s">
        <v>17</v>
      </c>
      <c r="Q18" s="7">
        <v>809.22419756082752</v>
      </c>
      <c r="R18" s="211">
        <v>600</v>
      </c>
      <c r="S18" s="209" t="s">
        <v>17</v>
      </c>
      <c r="T18" s="7">
        <v>20.410984848484848</v>
      </c>
      <c r="U18" s="211">
        <v>28</v>
      </c>
      <c r="V18" s="209" t="s">
        <v>17</v>
      </c>
      <c r="W18" s="7">
        <v>42.621307032242825</v>
      </c>
      <c r="X18" s="211">
        <v>38</v>
      </c>
      <c r="Y18" s="209" t="s">
        <v>17</v>
      </c>
      <c r="Z18" s="7">
        <v>40.636919386454458</v>
      </c>
      <c r="AA18" s="211">
        <v>38.089846784319938</v>
      </c>
    </row>
    <row r="19" spans="1:27">
      <c r="A19" s="209" t="s">
        <v>18</v>
      </c>
      <c r="B19" s="7">
        <v>394.12331802215618</v>
      </c>
      <c r="C19" s="211">
        <v>348</v>
      </c>
      <c r="D19" s="209" t="s">
        <v>18</v>
      </c>
      <c r="E19" s="7">
        <v>116.15128268244349</v>
      </c>
      <c r="F19" s="211">
        <v>114</v>
      </c>
      <c r="G19" s="209" t="s">
        <v>18</v>
      </c>
      <c r="H19" s="7">
        <v>76.60913822315166</v>
      </c>
      <c r="I19" s="211">
        <v>82</v>
      </c>
      <c r="J19" s="209" t="s">
        <v>18</v>
      </c>
      <c r="K19" s="7">
        <v>77.508977840063068</v>
      </c>
      <c r="L19" s="211">
        <v>65</v>
      </c>
      <c r="M19" s="209" t="s">
        <v>18</v>
      </c>
      <c r="N19" s="7">
        <v>125.67289965762446</v>
      </c>
      <c r="O19" s="211">
        <v>127</v>
      </c>
      <c r="P19" s="209" t="s">
        <v>18</v>
      </c>
      <c r="Q19" s="7">
        <v>732.04024971513854</v>
      </c>
      <c r="R19" s="211">
        <v>507</v>
      </c>
      <c r="S19" s="209" t="s">
        <v>18</v>
      </c>
      <c r="T19" s="7">
        <v>30.2183552246298</v>
      </c>
      <c r="U19" s="211">
        <v>28</v>
      </c>
      <c r="V19" s="209" t="s">
        <v>18</v>
      </c>
      <c r="W19" s="7">
        <v>36.75532147116914</v>
      </c>
      <c r="X19" s="211">
        <v>39</v>
      </c>
      <c r="Y19" s="209" t="s">
        <v>18</v>
      </c>
      <c r="Z19" s="7">
        <v>36.926556270700679</v>
      </c>
      <c r="AA19" s="211">
        <v>37.434679961679926</v>
      </c>
    </row>
    <row r="20" spans="1:27">
      <c r="A20" s="209" t="s">
        <v>19</v>
      </c>
      <c r="B20" s="7">
        <v>390.44385026737967</v>
      </c>
      <c r="C20" s="211">
        <v>352</v>
      </c>
      <c r="D20" s="209" t="s">
        <v>19</v>
      </c>
      <c r="E20" s="7">
        <v>138.21227545398111</v>
      </c>
      <c r="F20" s="211">
        <v>118</v>
      </c>
      <c r="G20" s="209" t="s">
        <v>19</v>
      </c>
      <c r="H20" s="7">
        <v>82.278127034348813</v>
      </c>
      <c r="I20" s="211">
        <v>88</v>
      </c>
      <c r="J20" s="209" t="s">
        <v>19</v>
      </c>
      <c r="K20" s="7">
        <v>71.327600554785022</v>
      </c>
      <c r="L20" s="211">
        <v>80</v>
      </c>
      <c r="M20" s="209" t="s">
        <v>19</v>
      </c>
      <c r="N20" s="7">
        <v>107.77438219203924</v>
      </c>
      <c r="O20" s="211">
        <v>131</v>
      </c>
      <c r="P20" s="209" t="s">
        <v>19</v>
      </c>
      <c r="Q20" s="7">
        <v>639.07642585551332</v>
      </c>
      <c r="R20" s="211">
        <v>563</v>
      </c>
      <c r="S20" s="209" t="s">
        <v>19</v>
      </c>
      <c r="T20" s="7">
        <v>23.911452542201555</v>
      </c>
      <c r="U20" s="211">
        <v>31</v>
      </c>
      <c r="V20" s="209" t="s">
        <v>19</v>
      </c>
      <c r="W20" s="7">
        <v>39.480867974633007</v>
      </c>
      <c r="X20" s="211">
        <v>41</v>
      </c>
      <c r="Y20" s="209" t="s">
        <v>19</v>
      </c>
      <c r="Z20" s="7">
        <v>37.921867005216178</v>
      </c>
      <c r="AA20" s="211">
        <v>40.711869454107791</v>
      </c>
    </row>
    <row r="21" spans="1:27">
      <c r="A21" s="209" t="s">
        <v>20</v>
      </c>
      <c r="B21" s="7">
        <v>579.60721726482961</v>
      </c>
      <c r="C21" s="210">
        <v>396</v>
      </c>
      <c r="D21" s="209" t="s">
        <v>20</v>
      </c>
      <c r="E21" s="7">
        <v>113.26219194974468</v>
      </c>
      <c r="F21" s="210">
        <v>130</v>
      </c>
      <c r="G21" s="209" t="s">
        <v>20</v>
      </c>
      <c r="H21" s="7">
        <v>84.616964661231989</v>
      </c>
      <c r="I21" s="210">
        <v>82</v>
      </c>
      <c r="J21" s="209" t="s">
        <v>20</v>
      </c>
      <c r="K21" s="7">
        <v>109.70568561872911</v>
      </c>
      <c r="L21" s="210">
        <v>62</v>
      </c>
      <c r="M21" s="209" t="s">
        <v>20</v>
      </c>
      <c r="N21" s="7">
        <v>120.61520297883933</v>
      </c>
      <c r="O21" s="210">
        <v>139</v>
      </c>
      <c r="P21" s="209" t="s">
        <v>20</v>
      </c>
      <c r="Q21" s="7">
        <v>509.37521079258022</v>
      </c>
      <c r="R21" s="210">
        <v>556</v>
      </c>
      <c r="S21" s="209" t="s">
        <v>20</v>
      </c>
      <c r="T21" s="7">
        <v>23.483591777857917</v>
      </c>
      <c r="U21" s="210">
        <v>27</v>
      </c>
      <c r="V21" s="209" t="s">
        <v>20</v>
      </c>
      <c r="W21" s="7">
        <v>41.829013306552852</v>
      </c>
      <c r="X21" s="210">
        <v>41</v>
      </c>
      <c r="Y21" s="209" t="s">
        <v>20</v>
      </c>
      <c r="Z21" s="7">
        <v>41.502363000957139</v>
      </c>
      <c r="AA21" s="210">
        <v>41</v>
      </c>
    </row>
    <row r="22" spans="1:27">
      <c r="A22" s="209" t="s">
        <v>21</v>
      </c>
      <c r="B22" s="7">
        <v>571.4918205955405</v>
      </c>
      <c r="C22" s="210">
        <v>387</v>
      </c>
      <c r="D22" s="209" t="s">
        <v>21</v>
      </c>
      <c r="E22" s="7">
        <v>101.25490071666297</v>
      </c>
      <c r="F22" s="210">
        <v>104</v>
      </c>
      <c r="G22" s="209" t="s">
        <v>21</v>
      </c>
      <c r="H22" s="7">
        <v>83.990431921404564</v>
      </c>
      <c r="I22" s="210">
        <v>84</v>
      </c>
      <c r="J22" s="209" t="s">
        <v>21</v>
      </c>
      <c r="K22" s="7">
        <v>103.44945240101094</v>
      </c>
      <c r="L22" s="210">
        <v>54</v>
      </c>
      <c r="M22" s="209" t="s">
        <v>21</v>
      </c>
      <c r="N22" s="7">
        <v>122.96433007985803</v>
      </c>
      <c r="O22" s="210">
        <v>141</v>
      </c>
      <c r="P22" s="209" t="s">
        <v>21</v>
      </c>
      <c r="Q22" s="7">
        <v>591.9567567567567</v>
      </c>
      <c r="R22" s="210">
        <v>547</v>
      </c>
      <c r="S22" s="209" t="s">
        <v>21</v>
      </c>
      <c r="T22" s="7">
        <v>27.184037257106148</v>
      </c>
      <c r="U22" s="210">
        <v>26</v>
      </c>
      <c r="V22" s="209" t="s">
        <v>21</v>
      </c>
      <c r="W22" s="7">
        <v>38.87837045993583</v>
      </c>
      <c r="X22" s="210">
        <v>40</v>
      </c>
      <c r="Y22" s="209" t="s">
        <v>21</v>
      </c>
      <c r="Z22" s="7">
        <v>38.339017420455662</v>
      </c>
      <c r="AA22" s="210">
        <v>40</v>
      </c>
    </row>
    <row r="23" spans="1:27">
      <c r="A23" s="209" t="s">
        <v>22</v>
      </c>
      <c r="B23" s="7">
        <v>567.30998077487038</v>
      </c>
      <c r="C23" s="210">
        <v>421</v>
      </c>
      <c r="D23" s="209" t="s">
        <v>22</v>
      </c>
      <c r="E23" s="7">
        <v>90.880172045544938</v>
      </c>
      <c r="F23" s="210">
        <v>106</v>
      </c>
      <c r="G23" s="209" t="s">
        <v>22</v>
      </c>
      <c r="H23" s="7">
        <v>86.552252400883646</v>
      </c>
      <c r="I23" s="210">
        <v>85</v>
      </c>
      <c r="J23" s="209" t="s">
        <v>22</v>
      </c>
      <c r="K23" s="7">
        <v>86.459243473628135</v>
      </c>
      <c r="L23" s="210">
        <v>46</v>
      </c>
      <c r="M23" s="209" t="s">
        <v>22</v>
      </c>
      <c r="N23" s="7">
        <v>115.85564456189611</v>
      </c>
      <c r="O23" s="210">
        <v>138</v>
      </c>
      <c r="P23" s="209" t="s">
        <v>22</v>
      </c>
      <c r="Q23" s="7">
        <v>714.32407536636435</v>
      </c>
      <c r="R23" s="210">
        <v>530</v>
      </c>
      <c r="S23" s="209" t="s">
        <v>22</v>
      </c>
      <c r="T23" s="7">
        <v>25.675269066080315</v>
      </c>
      <c r="U23" s="210">
        <v>35</v>
      </c>
      <c r="V23" s="209" t="s">
        <v>22</v>
      </c>
      <c r="W23" s="7">
        <v>36.912226018280244</v>
      </c>
      <c r="X23" s="210">
        <v>42</v>
      </c>
      <c r="Y23" s="209" t="s">
        <v>22</v>
      </c>
      <c r="Z23" s="7">
        <v>36.639134663262062</v>
      </c>
      <c r="AA23" s="210">
        <v>42</v>
      </c>
    </row>
    <row r="24" spans="1:27">
      <c r="A24" s="209" t="s">
        <v>23</v>
      </c>
      <c r="B24" s="7">
        <v>577.51851107448647</v>
      </c>
      <c r="C24" s="210">
        <v>347</v>
      </c>
      <c r="D24" s="209" t="s">
        <v>23</v>
      </c>
      <c r="E24" s="7">
        <v>90.667717621557728</v>
      </c>
      <c r="F24" s="210">
        <v>99</v>
      </c>
      <c r="G24" s="209" t="s">
        <v>23</v>
      </c>
      <c r="H24" s="7">
        <v>91.411369890973589</v>
      </c>
      <c r="I24" s="210">
        <v>80</v>
      </c>
      <c r="J24" s="209" t="s">
        <v>23</v>
      </c>
      <c r="K24" s="7">
        <v>92.814741490900772</v>
      </c>
      <c r="L24" s="210">
        <v>48</v>
      </c>
      <c r="M24" s="209" t="s">
        <v>23</v>
      </c>
      <c r="N24" s="7">
        <v>139.61635497176727</v>
      </c>
      <c r="O24" s="210">
        <v>141</v>
      </c>
      <c r="P24" s="209" t="s">
        <v>23</v>
      </c>
      <c r="Q24" s="7">
        <v>622.68245067497401</v>
      </c>
      <c r="R24" s="210">
        <v>557</v>
      </c>
      <c r="S24" s="209" t="s">
        <v>23</v>
      </c>
      <c r="T24" s="7">
        <v>18.926601266338757</v>
      </c>
      <c r="U24" s="210">
        <v>38</v>
      </c>
      <c r="V24" s="209" t="s">
        <v>23</v>
      </c>
      <c r="W24" s="7">
        <v>38.961174697113513</v>
      </c>
      <c r="X24" s="210">
        <v>37</v>
      </c>
      <c r="Y24" s="209" t="s">
        <v>23</v>
      </c>
      <c r="Z24" s="7">
        <v>38.79639626711473</v>
      </c>
      <c r="AA24" s="210">
        <v>37</v>
      </c>
    </row>
    <row r="25" spans="1:27">
      <c r="A25" s="209" t="s">
        <v>24</v>
      </c>
      <c r="B25" s="7">
        <v>603.43655497762177</v>
      </c>
      <c r="C25" s="210">
        <v>411</v>
      </c>
      <c r="D25" s="209" t="s">
        <v>24</v>
      </c>
      <c r="E25" s="7">
        <v>88.782257530619006</v>
      </c>
      <c r="F25" s="210">
        <v>109</v>
      </c>
      <c r="G25" s="209" t="s">
        <v>24</v>
      </c>
      <c r="H25" s="7">
        <v>83.38828104803018</v>
      </c>
      <c r="I25" s="210">
        <v>84</v>
      </c>
      <c r="J25" s="209" t="s">
        <v>24</v>
      </c>
      <c r="K25" s="7">
        <v>87.796724322669533</v>
      </c>
      <c r="L25" s="210">
        <v>58</v>
      </c>
      <c r="M25" s="209" t="s">
        <v>24</v>
      </c>
      <c r="N25" s="7">
        <v>107.28831936914736</v>
      </c>
      <c r="O25" s="210">
        <v>149</v>
      </c>
      <c r="P25" s="209" t="s">
        <v>24</v>
      </c>
      <c r="Q25" s="7">
        <v>758.63563636363631</v>
      </c>
      <c r="R25" s="210">
        <v>523</v>
      </c>
      <c r="S25" s="209" t="s">
        <v>24</v>
      </c>
      <c r="T25" s="7">
        <v>27.348920009494424</v>
      </c>
      <c r="U25" s="210">
        <v>37</v>
      </c>
      <c r="V25" s="209" t="s">
        <v>24</v>
      </c>
      <c r="W25" s="7">
        <v>37.500732963301722</v>
      </c>
      <c r="X25" s="210">
        <v>40</v>
      </c>
      <c r="Y25" s="209" t="s">
        <v>24</v>
      </c>
      <c r="Z25" s="7">
        <v>37.296118446020806</v>
      </c>
      <c r="AA25" s="210">
        <v>40</v>
      </c>
    </row>
    <row r="26" spans="1:27">
      <c r="A26" s="209" t="s">
        <v>25</v>
      </c>
      <c r="B26" s="7">
        <v>477.77525437067857</v>
      </c>
      <c r="C26" s="210">
        <v>380</v>
      </c>
      <c r="D26" s="209" t="s">
        <v>25</v>
      </c>
      <c r="E26" s="7">
        <v>82.774031963107277</v>
      </c>
      <c r="F26" s="210">
        <v>92</v>
      </c>
      <c r="G26" s="209" t="s">
        <v>25</v>
      </c>
      <c r="H26" s="7">
        <v>84.778228177147298</v>
      </c>
      <c r="I26" s="210">
        <v>91</v>
      </c>
      <c r="J26" s="209" t="s">
        <v>25</v>
      </c>
      <c r="K26" s="7">
        <v>96.480771807584077</v>
      </c>
      <c r="L26" s="210">
        <v>64</v>
      </c>
      <c r="M26" s="209" t="s">
        <v>25</v>
      </c>
      <c r="N26" s="7">
        <v>118.88539240385985</v>
      </c>
      <c r="O26" s="210">
        <v>144</v>
      </c>
      <c r="P26" s="209" t="s">
        <v>25</v>
      </c>
      <c r="Q26" s="7">
        <v>744.57835744854299</v>
      </c>
      <c r="R26" s="210">
        <v>499</v>
      </c>
      <c r="S26" s="209" t="s">
        <v>25</v>
      </c>
      <c r="T26" s="7">
        <v>33.822148159369796</v>
      </c>
      <c r="U26" s="210">
        <v>32</v>
      </c>
      <c r="V26" s="209" t="s">
        <v>25</v>
      </c>
      <c r="W26" s="7">
        <v>36.108085546855435</v>
      </c>
      <c r="X26" s="210">
        <v>40</v>
      </c>
      <c r="Y26" s="209" t="s">
        <v>25</v>
      </c>
      <c r="Z26" s="7">
        <v>35.861142166097345</v>
      </c>
      <c r="AA26" s="210">
        <v>40</v>
      </c>
    </row>
    <row r="27" spans="1:27">
      <c r="A27" s="209" t="s">
        <v>26</v>
      </c>
      <c r="B27" s="7">
        <v>598.58403071773159</v>
      </c>
      <c r="C27" s="210">
        <v>393</v>
      </c>
      <c r="D27" s="209" t="s">
        <v>26</v>
      </c>
      <c r="E27" s="7">
        <v>98.52477901827406</v>
      </c>
      <c r="F27" s="210">
        <v>102</v>
      </c>
      <c r="G27" s="209" t="s">
        <v>26</v>
      </c>
      <c r="H27" s="7">
        <v>86.217787332147623</v>
      </c>
      <c r="I27" s="210">
        <v>94</v>
      </c>
      <c r="J27" s="209" t="s">
        <v>26</v>
      </c>
      <c r="K27" s="7">
        <v>92.171261758027896</v>
      </c>
      <c r="L27" s="210">
        <v>67</v>
      </c>
      <c r="M27" s="209" t="s">
        <v>26</v>
      </c>
      <c r="N27" s="7">
        <v>124.41787428358417</v>
      </c>
      <c r="O27" s="210">
        <v>140</v>
      </c>
      <c r="P27" s="209" t="s">
        <v>26</v>
      </c>
      <c r="Q27" s="7">
        <v>813.64762320104671</v>
      </c>
      <c r="R27" s="210">
        <v>431</v>
      </c>
      <c r="S27" s="209" t="s">
        <v>26</v>
      </c>
      <c r="T27" s="7">
        <v>24.620775623268699</v>
      </c>
      <c r="U27" s="210">
        <v>34</v>
      </c>
      <c r="V27" s="209" t="s">
        <v>26</v>
      </c>
      <c r="W27" s="7">
        <v>39.15169976849031</v>
      </c>
      <c r="X27" s="221">
        <v>40</v>
      </c>
      <c r="Y27" s="209" t="s">
        <v>26</v>
      </c>
      <c r="Z27" s="7">
        <v>38.498161449398921</v>
      </c>
      <c r="AA27" s="210">
        <v>40</v>
      </c>
    </row>
    <row r="28" spans="1:27">
      <c r="A28" s="209" t="s">
        <v>27</v>
      </c>
      <c r="B28" s="7">
        <v>557.33253387696368</v>
      </c>
      <c r="C28" s="210">
        <v>344</v>
      </c>
      <c r="D28" s="209" t="s">
        <v>27</v>
      </c>
      <c r="E28" s="7">
        <v>92.542765769942662</v>
      </c>
      <c r="F28" s="210">
        <v>97</v>
      </c>
      <c r="G28" s="209" t="s">
        <v>27</v>
      </c>
      <c r="H28" s="7">
        <v>83.594664940074225</v>
      </c>
      <c r="I28" s="210">
        <v>95</v>
      </c>
      <c r="J28" s="209" t="s">
        <v>27</v>
      </c>
      <c r="K28" s="7">
        <v>85.564866681604315</v>
      </c>
      <c r="L28" s="210">
        <v>72</v>
      </c>
      <c r="M28" s="209" t="s">
        <v>27</v>
      </c>
      <c r="N28" s="7">
        <v>121.73143029450195</v>
      </c>
      <c r="O28" s="210">
        <v>138</v>
      </c>
      <c r="P28" s="209" t="s">
        <v>27</v>
      </c>
      <c r="Q28" s="7">
        <v>800.99959111353417</v>
      </c>
      <c r="R28" s="210">
        <v>452</v>
      </c>
      <c r="S28" s="209" t="s">
        <v>27</v>
      </c>
      <c r="T28" s="7">
        <v>24.80210304942166</v>
      </c>
      <c r="U28" s="210">
        <v>29</v>
      </c>
      <c r="V28" s="209" t="s">
        <v>27</v>
      </c>
      <c r="W28" s="7">
        <v>35.2568424197162</v>
      </c>
      <c r="X28" s="210">
        <v>39</v>
      </c>
      <c r="Y28" s="209" t="s">
        <v>27</v>
      </c>
      <c r="Z28" s="7">
        <v>34.679641017358485</v>
      </c>
      <c r="AA28" s="210">
        <v>39</v>
      </c>
    </row>
    <row r="29" spans="1:27">
      <c r="A29" s="209" t="s">
        <v>28</v>
      </c>
      <c r="B29" s="7">
        <v>491.13978954115703</v>
      </c>
      <c r="C29" s="210">
        <v>315.57278471353129</v>
      </c>
      <c r="D29" s="209" t="s">
        <v>28</v>
      </c>
      <c r="E29" s="7">
        <v>101.28627030619111</v>
      </c>
      <c r="F29" s="221">
        <v>95.111699010446131</v>
      </c>
      <c r="G29" s="209" t="s">
        <v>28</v>
      </c>
      <c r="H29" s="7">
        <v>84.817354657887819</v>
      </c>
      <c r="I29" s="210">
        <v>84.968682000874423</v>
      </c>
      <c r="J29" s="209" t="s">
        <v>28</v>
      </c>
      <c r="K29" s="7">
        <v>70.761433014629645</v>
      </c>
      <c r="L29" s="210">
        <v>42.972089402868903</v>
      </c>
      <c r="M29" s="209" t="s">
        <v>28</v>
      </c>
      <c r="N29" s="7">
        <v>107.06052788251637</v>
      </c>
      <c r="O29" s="210">
        <v>133.83390729972336</v>
      </c>
      <c r="P29" s="209" t="s">
        <v>28</v>
      </c>
      <c r="Q29" s="7">
        <v>835.55481383437882</v>
      </c>
      <c r="R29" s="210">
        <v>436.264800861141</v>
      </c>
      <c r="S29" s="209" t="s">
        <v>28</v>
      </c>
      <c r="T29" s="7">
        <v>21.577136911922487</v>
      </c>
      <c r="U29" s="221">
        <v>28.377116355897201</v>
      </c>
      <c r="V29" s="209" t="s">
        <v>28</v>
      </c>
      <c r="W29" s="7">
        <v>36.559598876642639</v>
      </c>
      <c r="X29" s="221">
        <v>37.237702782254551</v>
      </c>
      <c r="Y29" s="209" t="s">
        <v>28</v>
      </c>
      <c r="Z29" s="7">
        <v>35.436875249447823</v>
      </c>
      <c r="AA29" s="221">
        <v>36.246684815169168</v>
      </c>
    </row>
    <row r="30" spans="1:27">
      <c r="A30" s="209" t="s">
        <v>29</v>
      </c>
      <c r="B30" s="7">
        <v>414.33429651033572</v>
      </c>
      <c r="C30" s="210">
        <v>330.00856804302254</v>
      </c>
      <c r="D30" s="209" t="s">
        <v>29</v>
      </c>
      <c r="E30" s="7">
        <v>86.810580104548052</v>
      </c>
      <c r="F30" s="221">
        <v>81.929788934347528</v>
      </c>
      <c r="G30" s="209" t="s">
        <v>29</v>
      </c>
      <c r="H30" s="7">
        <v>84.524966114735264</v>
      </c>
      <c r="I30" s="210">
        <v>79.015391335683219</v>
      </c>
      <c r="J30" s="209" t="s">
        <v>29</v>
      </c>
      <c r="K30" s="7">
        <v>86.318463810930567</v>
      </c>
      <c r="L30" s="221">
        <v>56.837106792226002</v>
      </c>
      <c r="M30" s="209" t="s">
        <v>29</v>
      </c>
      <c r="N30" s="7">
        <v>121.47036135999527</v>
      </c>
      <c r="O30" s="210">
        <v>129.60719826248837</v>
      </c>
      <c r="P30" s="209" t="s">
        <v>29</v>
      </c>
      <c r="Q30" s="7">
        <v>910.12346000912578</v>
      </c>
      <c r="R30" s="210">
        <v>500.55560218212338</v>
      </c>
      <c r="S30" s="209" t="s">
        <v>29</v>
      </c>
      <c r="T30" s="7">
        <v>20.271988767425533</v>
      </c>
      <c r="U30" s="221">
        <v>28.682012772826166</v>
      </c>
      <c r="V30" s="209" t="s">
        <v>29</v>
      </c>
      <c r="W30" s="7">
        <v>35.079841700337639</v>
      </c>
      <c r="X30" s="210">
        <v>34</v>
      </c>
      <c r="Y30" s="209" t="s">
        <v>29</v>
      </c>
      <c r="Z30" s="7">
        <v>34.889850930824025</v>
      </c>
      <c r="AA30" s="221">
        <v>32.775259394824374</v>
      </c>
    </row>
    <row r="31" spans="1:27">
      <c r="A31" s="209" t="s">
        <v>30</v>
      </c>
      <c r="B31" s="7">
        <v>396.48229493500673</v>
      </c>
      <c r="C31" s="210">
        <v>333.76698014629045</v>
      </c>
      <c r="D31" s="209" t="s">
        <v>30</v>
      </c>
      <c r="E31" s="7">
        <v>104.49409381180764</v>
      </c>
      <c r="F31" s="210">
        <v>101.04244581720845</v>
      </c>
      <c r="G31" s="209" t="s">
        <v>30</v>
      </c>
      <c r="H31" s="7">
        <v>90.162911452064193</v>
      </c>
      <c r="I31" s="210">
        <v>81.000975227608706</v>
      </c>
      <c r="J31" s="209" t="s">
        <v>30</v>
      </c>
      <c r="K31" s="7">
        <v>81.195652173913047</v>
      </c>
      <c r="L31" s="221">
        <v>67.80879723447373</v>
      </c>
      <c r="M31" s="209" t="s">
        <v>30</v>
      </c>
      <c r="N31" s="7">
        <v>122.04229758478289</v>
      </c>
      <c r="O31" s="210">
        <v>116</v>
      </c>
      <c r="P31" s="209" t="s">
        <v>30</v>
      </c>
      <c r="Q31" s="7">
        <v>745.38175543179852</v>
      </c>
      <c r="R31" s="210">
        <v>491.60145500553529</v>
      </c>
      <c r="S31" s="209" t="s">
        <v>30</v>
      </c>
      <c r="T31" s="7">
        <v>22.612023798952137</v>
      </c>
      <c r="U31" s="221">
        <v>33.49978525411597</v>
      </c>
      <c r="V31" s="209" t="s">
        <v>30</v>
      </c>
      <c r="W31" s="7">
        <v>38.135557205222334</v>
      </c>
      <c r="X31" s="221">
        <v>36.754240236583456</v>
      </c>
      <c r="Y31" s="209" t="s">
        <v>30</v>
      </c>
      <c r="Z31" s="7">
        <v>34.845882361643326</v>
      </c>
      <c r="AA31" s="221">
        <v>35.510458123908016</v>
      </c>
    </row>
    <row r="32" spans="1:27">
      <c r="A32" s="209" t="s">
        <v>31</v>
      </c>
      <c r="B32" s="7">
        <v>435.05695871799338</v>
      </c>
      <c r="C32" s="210">
        <v>437.55713830126501</v>
      </c>
      <c r="D32" s="209" t="s">
        <v>31</v>
      </c>
      <c r="E32" s="7">
        <v>110.57793348825888</v>
      </c>
      <c r="F32" s="221">
        <v>96.47941766638192</v>
      </c>
      <c r="G32" s="209" t="s">
        <v>31</v>
      </c>
      <c r="H32" s="7">
        <v>93.28373069504201</v>
      </c>
      <c r="I32" s="221">
        <v>79.581505517120391</v>
      </c>
      <c r="J32" s="209" t="s">
        <v>31</v>
      </c>
      <c r="K32" s="7">
        <v>87.789247311827964</v>
      </c>
      <c r="L32" s="221">
        <v>51.682145192936559</v>
      </c>
      <c r="M32" s="209" t="s">
        <v>31</v>
      </c>
      <c r="N32" s="7">
        <v>119.08009538504699</v>
      </c>
      <c r="O32" s="210">
        <v>115.30762687836688</v>
      </c>
      <c r="P32" s="209" t="s">
        <v>31</v>
      </c>
      <c r="Q32" s="7">
        <v>840.97790655559584</v>
      </c>
      <c r="R32" s="210">
        <v>558.81739566361694</v>
      </c>
      <c r="S32" s="209" t="s">
        <v>31</v>
      </c>
      <c r="T32" s="7">
        <v>16.637306894166475</v>
      </c>
      <c r="U32" s="221">
        <v>25.377364037236649</v>
      </c>
      <c r="V32" s="209" t="s">
        <v>31</v>
      </c>
      <c r="W32" s="7">
        <v>38.675318555037975</v>
      </c>
      <c r="X32" s="221">
        <v>35.202278755254085</v>
      </c>
      <c r="Y32" s="209" t="s">
        <v>31</v>
      </c>
      <c r="Z32" s="7">
        <v>37.835577855996853</v>
      </c>
      <c r="AA32" s="221">
        <v>34.736173849188454</v>
      </c>
    </row>
    <row r="33" spans="1:27">
      <c r="A33" s="209" t="s">
        <v>32</v>
      </c>
      <c r="B33" s="7">
        <v>506.06184556977536</v>
      </c>
      <c r="C33" s="210">
        <v>432.77864880273665</v>
      </c>
      <c r="D33" s="209" t="s">
        <v>32</v>
      </c>
      <c r="E33" s="7">
        <v>114.03877495418321</v>
      </c>
      <c r="F33" s="210">
        <v>100.90138171078999</v>
      </c>
      <c r="G33" s="209" t="s">
        <v>32</v>
      </c>
      <c r="H33" s="7">
        <v>90.630432672845629</v>
      </c>
      <c r="I33" s="221">
        <v>72.450799168713388</v>
      </c>
      <c r="J33" s="209" t="s">
        <v>32</v>
      </c>
      <c r="K33" s="7">
        <v>54.457452041318241</v>
      </c>
      <c r="L33" s="221">
        <v>33.770074283692963</v>
      </c>
      <c r="M33" s="209" t="s">
        <v>32</v>
      </c>
      <c r="N33" s="7">
        <v>128.33128745757818</v>
      </c>
      <c r="O33" s="210">
        <v>123.49198988195614</v>
      </c>
      <c r="P33" s="209" t="s">
        <v>32</v>
      </c>
      <c r="Q33" s="7">
        <v>810.08236208236212</v>
      </c>
      <c r="R33" s="210">
        <v>622.72162333544713</v>
      </c>
      <c r="S33" s="209" t="s">
        <v>32</v>
      </c>
      <c r="T33" s="7">
        <v>22.41268743788082</v>
      </c>
      <c r="U33" s="210">
        <v>27.006839211479143</v>
      </c>
      <c r="V33" s="209" t="s">
        <v>32</v>
      </c>
      <c r="W33" s="7">
        <v>38.3251422219316</v>
      </c>
      <c r="X33" s="221">
        <v>32.378857933214782</v>
      </c>
      <c r="Y33" s="209" t="s">
        <v>32</v>
      </c>
      <c r="Z33" s="7">
        <v>37.747422403862004</v>
      </c>
      <c r="AA33" s="221">
        <v>32.378857933214782</v>
      </c>
    </row>
    <row r="34" spans="1:27">
      <c r="A34" s="209" t="s">
        <v>33</v>
      </c>
      <c r="B34" s="7">
        <v>448.19576719576719</v>
      </c>
      <c r="C34" s="210">
        <v>434.62338963641571</v>
      </c>
      <c r="D34" s="209" t="s">
        <v>33</v>
      </c>
      <c r="E34" s="7">
        <v>120.66995493693757</v>
      </c>
      <c r="F34" s="221">
        <v>93.668569513640051</v>
      </c>
      <c r="G34" s="209" t="s">
        <v>33</v>
      </c>
      <c r="H34" s="7">
        <v>85.496925339697682</v>
      </c>
      <c r="I34" s="221">
        <v>75.556905350933036</v>
      </c>
      <c r="J34" s="209" t="s">
        <v>33</v>
      </c>
      <c r="K34" s="7">
        <v>54.783333333333331</v>
      </c>
      <c r="L34" s="221">
        <v>31.732723112128149</v>
      </c>
      <c r="M34" s="209" t="s">
        <v>33</v>
      </c>
      <c r="N34" s="7">
        <v>124.38624543972681</v>
      </c>
      <c r="O34" s="210">
        <v>121.01768419023756</v>
      </c>
      <c r="P34" s="209" t="s">
        <v>33</v>
      </c>
      <c r="Q34" s="7">
        <v>763.68158640226625</v>
      </c>
      <c r="R34" s="210">
        <v>632.19877983770664</v>
      </c>
      <c r="S34" s="209" t="s">
        <v>33</v>
      </c>
      <c r="T34" s="7">
        <v>20.453011634396599</v>
      </c>
      <c r="U34" s="221">
        <v>28.822292946488044</v>
      </c>
      <c r="V34" s="209" t="s">
        <v>33</v>
      </c>
      <c r="W34" s="7">
        <v>38.505019231682418</v>
      </c>
      <c r="X34" s="221">
        <v>34.691707506944326</v>
      </c>
      <c r="Y34" s="209" t="s">
        <v>33</v>
      </c>
      <c r="Z34" s="7">
        <v>36.708317542450757</v>
      </c>
      <c r="AA34" s="221">
        <v>34.416134255004927</v>
      </c>
    </row>
    <row r="35" spans="1:27">
      <c r="A35" s="209" t="s">
        <v>34</v>
      </c>
      <c r="B35" s="7">
        <v>411.9782011357392</v>
      </c>
      <c r="C35" s="210">
        <v>315</v>
      </c>
      <c r="D35" s="209" t="s">
        <v>34</v>
      </c>
      <c r="E35" s="7">
        <v>117.24004973304739</v>
      </c>
      <c r="F35" s="221">
        <v>86</v>
      </c>
      <c r="G35" s="209" t="s">
        <v>34</v>
      </c>
      <c r="H35" s="7">
        <v>90.880133356490958</v>
      </c>
      <c r="I35" s="221">
        <v>72.643699704259063</v>
      </c>
      <c r="J35" s="209" t="s">
        <v>34</v>
      </c>
      <c r="K35" s="7">
        <v>75.421754385964917</v>
      </c>
      <c r="L35" s="221">
        <v>54.341712824882826</v>
      </c>
      <c r="M35" s="209" t="s">
        <v>34</v>
      </c>
      <c r="N35" s="7">
        <v>131.03180161509326</v>
      </c>
      <c r="O35" s="210">
        <v>104.84800205576256</v>
      </c>
      <c r="P35" s="209" t="s">
        <v>34</v>
      </c>
      <c r="Q35" s="7">
        <v>585.7883597883598</v>
      </c>
      <c r="R35" s="210">
        <v>596.56507317073169</v>
      </c>
      <c r="S35" s="209" t="s">
        <v>34</v>
      </c>
      <c r="T35" s="7">
        <v>22.984310018903589</v>
      </c>
      <c r="U35" s="221">
        <v>26.504642712959228</v>
      </c>
      <c r="V35" s="209" t="s">
        <v>34</v>
      </c>
      <c r="W35" s="7">
        <v>39.850123002698901</v>
      </c>
      <c r="X35" s="221">
        <v>31.569402707904246</v>
      </c>
      <c r="Y35" s="209" t="s">
        <v>34</v>
      </c>
      <c r="Z35" s="7">
        <v>38.831031310537995</v>
      </c>
      <c r="AA35" s="221">
        <v>31.458365595953399</v>
      </c>
    </row>
    <row r="36" spans="1:27">
      <c r="A36" s="209" t="s">
        <v>35</v>
      </c>
      <c r="B36" s="7">
        <v>388.26756391032444</v>
      </c>
      <c r="C36" s="210">
        <v>354.03966256396075</v>
      </c>
      <c r="D36" s="209" t="s">
        <v>35</v>
      </c>
      <c r="E36" s="7">
        <v>117.23926155791359</v>
      </c>
      <c r="F36" s="221">
        <v>92.363983983387897</v>
      </c>
      <c r="G36" s="209" t="s">
        <v>35</v>
      </c>
      <c r="H36" s="7">
        <v>86.030254999455551</v>
      </c>
      <c r="I36" s="221">
        <v>75.644751534048822</v>
      </c>
      <c r="J36" s="209" t="s">
        <v>35</v>
      </c>
      <c r="K36" s="7">
        <v>62.43217665615142</v>
      </c>
      <c r="L36" s="221">
        <v>13.729008511617208</v>
      </c>
      <c r="M36" s="209" t="s">
        <v>35</v>
      </c>
      <c r="N36" s="7">
        <v>113.37381404174572</v>
      </c>
      <c r="O36" s="210">
        <v>126</v>
      </c>
      <c r="P36" s="209" t="s">
        <v>35</v>
      </c>
      <c r="Q36" s="7">
        <v>575.50196078431372</v>
      </c>
      <c r="R36" s="210">
        <v>599</v>
      </c>
      <c r="S36" s="209" t="s">
        <v>35</v>
      </c>
      <c r="T36" s="7">
        <v>21.414796121662906</v>
      </c>
      <c r="U36" s="210">
        <v>29</v>
      </c>
      <c r="V36" s="209" t="s">
        <v>35</v>
      </c>
      <c r="W36" s="7">
        <v>38.784236279701624</v>
      </c>
      <c r="X36" s="210">
        <v>35</v>
      </c>
      <c r="Y36" s="209" t="s">
        <v>35</v>
      </c>
      <c r="Z36" s="7">
        <v>38.425377571288799</v>
      </c>
      <c r="AA36" s="210">
        <v>33</v>
      </c>
    </row>
    <row r="37" spans="1:27">
      <c r="A37" s="209" t="s">
        <v>36</v>
      </c>
      <c r="B37" s="7">
        <v>376.07862156987881</v>
      </c>
      <c r="C37" s="210">
        <v>328.96351219512201</v>
      </c>
      <c r="D37" s="209" t="s">
        <v>36</v>
      </c>
      <c r="E37" s="7">
        <v>112.53006477417162</v>
      </c>
      <c r="F37" s="221">
        <v>75.435261391197727</v>
      </c>
      <c r="G37" s="209" t="s">
        <v>36</v>
      </c>
      <c r="H37" s="7">
        <v>80.329911693823519</v>
      </c>
      <c r="I37" s="210">
        <v>69.005443192513752</v>
      </c>
      <c r="J37" s="209" t="s">
        <v>36</v>
      </c>
      <c r="K37" s="7">
        <v>65.119520419632821</v>
      </c>
      <c r="L37" s="221">
        <v>0.59739167017248629</v>
      </c>
      <c r="M37" s="209" t="s">
        <v>36</v>
      </c>
      <c r="N37" s="7">
        <v>121.80601484181746</v>
      </c>
      <c r="O37" s="210">
        <v>123.45785009520512</v>
      </c>
      <c r="P37" s="209" t="s">
        <v>36</v>
      </c>
      <c r="Q37" s="7">
        <v>672.98913043478262</v>
      </c>
      <c r="R37" s="210">
        <v>436.15513126491646</v>
      </c>
      <c r="S37" s="209" t="s">
        <v>36</v>
      </c>
      <c r="T37" s="7">
        <v>23.180708127270343</v>
      </c>
      <c r="U37" s="221">
        <v>29.896041390927685</v>
      </c>
      <c r="V37" s="209" t="s">
        <v>36</v>
      </c>
      <c r="W37" s="7">
        <v>39.150789924774266</v>
      </c>
      <c r="X37" s="221">
        <v>31.603937365599542</v>
      </c>
      <c r="Y37" s="209" t="s">
        <v>36</v>
      </c>
      <c r="Z37" s="7">
        <v>38.200471087925735</v>
      </c>
      <c r="AA37" s="221">
        <v>31.294091055677246</v>
      </c>
    </row>
    <row r="38" spans="1:27">
      <c r="A38" s="209" t="s">
        <v>37</v>
      </c>
      <c r="B38" s="7">
        <v>370.87630995755546</v>
      </c>
      <c r="C38" s="210">
        <v>314.38405899074047</v>
      </c>
      <c r="D38" s="209" t="s">
        <v>37</v>
      </c>
      <c r="E38" s="7">
        <v>121.19701209864621</v>
      </c>
      <c r="F38" s="221">
        <v>85.564877428578541</v>
      </c>
      <c r="G38" s="209" t="s">
        <v>37</v>
      </c>
      <c r="H38" s="7">
        <v>93.069984528928572</v>
      </c>
      <c r="I38" s="221">
        <v>64.314737685129501</v>
      </c>
      <c r="J38" s="209" t="s">
        <v>37</v>
      </c>
      <c r="K38" s="7">
        <v>67.493898522800251</v>
      </c>
      <c r="L38" s="210"/>
      <c r="M38" s="209" t="s">
        <v>37</v>
      </c>
      <c r="N38" s="7">
        <v>114.49062679700978</v>
      </c>
      <c r="O38" s="210">
        <v>122.6014834794336</v>
      </c>
      <c r="P38" s="209" t="s">
        <v>37</v>
      </c>
      <c r="Q38" s="7">
        <v>607.29693741677761</v>
      </c>
      <c r="R38" s="210">
        <v>549.86602371953609</v>
      </c>
      <c r="S38" s="209" t="s">
        <v>37</v>
      </c>
      <c r="T38" s="7">
        <v>23.628300609343263</v>
      </c>
      <c r="U38" s="221">
        <v>26.157517358650981</v>
      </c>
      <c r="V38" s="209" t="s">
        <v>37</v>
      </c>
      <c r="W38" s="7">
        <v>40.430311770844327</v>
      </c>
      <c r="X38" s="221">
        <v>28.798265488319053</v>
      </c>
      <c r="Y38" s="209" t="s">
        <v>37</v>
      </c>
      <c r="Z38" s="7">
        <v>38.596018361735496</v>
      </c>
      <c r="AA38" s="221">
        <v>28.714515223672656</v>
      </c>
    </row>
    <row r="39" spans="1:27">
      <c r="A39" s="209" t="s">
        <v>38</v>
      </c>
      <c r="B39" s="7">
        <v>384.63000138766824</v>
      </c>
      <c r="C39" s="210">
        <v>361.54598227925453</v>
      </c>
      <c r="D39" s="209" t="s">
        <v>38</v>
      </c>
      <c r="E39" s="7">
        <v>99.128459383044117</v>
      </c>
      <c r="F39" s="221">
        <v>105.14449685197032</v>
      </c>
      <c r="G39" s="209" t="s">
        <v>38</v>
      </c>
      <c r="H39" s="7">
        <v>73.425508545983618</v>
      </c>
      <c r="I39" s="221">
        <v>65.225849834016785</v>
      </c>
      <c r="J39" s="209" t="s">
        <v>38</v>
      </c>
      <c r="K39" s="7">
        <v>92.110948905109495</v>
      </c>
      <c r="L39" s="210"/>
      <c r="M39" s="209" t="s">
        <v>38</v>
      </c>
      <c r="N39" s="7">
        <v>119.92099694333412</v>
      </c>
      <c r="O39" s="210">
        <v>102.40113340480933</v>
      </c>
      <c r="P39" s="209" t="s">
        <v>38</v>
      </c>
      <c r="Q39" s="7">
        <v>735.3054413542925</v>
      </c>
      <c r="R39" s="210">
        <v>544.76226734348563</v>
      </c>
      <c r="S39" s="209" t="s">
        <v>38</v>
      </c>
      <c r="T39" s="7">
        <v>22.821047641621238</v>
      </c>
      <c r="U39" s="221">
        <v>24.631401711800194</v>
      </c>
      <c r="V39" s="209" t="s">
        <v>38</v>
      </c>
      <c r="W39" s="7">
        <v>35.942543787853992</v>
      </c>
      <c r="X39" s="221">
        <v>32.163754219006435</v>
      </c>
      <c r="Y39" s="209" t="s">
        <v>38</v>
      </c>
      <c r="Z39" s="7">
        <v>35.769384859937958</v>
      </c>
      <c r="AA39" s="221">
        <v>32.408478118949844</v>
      </c>
    </row>
    <row r="40" spans="1:27">
      <c r="A40" s="209" t="s">
        <v>39</v>
      </c>
      <c r="B40" s="7">
        <v>390.68053148469085</v>
      </c>
      <c r="C40" s="210">
        <v>325.94090909090903</v>
      </c>
      <c r="D40" s="209" t="s">
        <v>39</v>
      </c>
      <c r="E40" s="7">
        <v>107.31026529651045</v>
      </c>
      <c r="F40" s="221">
        <v>97.614342686377952</v>
      </c>
      <c r="G40" s="209" t="s">
        <v>39</v>
      </c>
      <c r="H40" s="7">
        <v>81.699856051031404</v>
      </c>
      <c r="I40" s="221">
        <v>66.92144568191776</v>
      </c>
      <c r="J40" s="209" t="s">
        <v>39</v>
      </c>
      <c r="K40" s="7">
        <v>86.36515679442509</v>
      </c>
      <c r="L40" s="210"/>
      <c r="M40" s="209" t="s">
        <v>39</v>
      </c>
      <c r="N40" s="7">
        <v>111.41793280547827</v>
      </c>
      <c r="O40" s="210">
        <v>108.00085766358144</v>
      </c>
      <c r="P40" s="209" t="s">
        <v>39</v>
      </c>
      <c r="Q40" s="7">
        <v>480.56878891343649</v>
      </c>
      <c r="R40" s="210">
        <v>546.36960506582238</v>
      </c>
      <c r="S40" s="209" t="s">
        <v>39</v>
      </c>
      <c r="T40" s="7">
        <v>21.867793824116472</v>
      </c>
      <c r="U40" s="221">
        <v>27.603798855473027</v>
      </c>
      <c r="V40" s="209" t="s">
        <v>39</v>
      </c>
      <c r="W40" s="7">
        <v>39.413136388044997</v>
      </c>
      <c r="X40" s="221">
        <v>32.528689515842188</v>
      </c>
      <c r="Y40" s="209" t="s">
        <v>39</v>
      </c>
      <c r="Z40" s="7">
        <v>38.315720152614645</v>
      </c>
      <c r="AA40" s="221">
        <v>30.667368063364613</v>
      </c>
    </row>
    <row r="41" spans="1:27">
      <c r="A41" s="209" t="s">
        <v>40</v>
      </c>
      <c r="B41" s="7">
        <v>424.3765972720746</v>
      </c>
      <c r="C41" s="210">
        <v>321.65522454424183</v>
      </c>
      <c r="D41" s="209" t="s">
        <v>40</v>
      </c>
      <c r="E41" s="7">
        <v>96.805890714003269</v>
      </c>
      <c r="F41" s="221">
        <v>96.76720761187633</v>
      </c>
      <c r="G41" s="209" t="s">
        <v>40</v>
      </c>
      <c r="H41" s="7">
        <v>85.44841128651619</v>
      </c>
      <c r="I41" s="221">
        <v>65.801726401211965</v>
      </c>
      <c r="J41" s="209" t="s">
        <v>40</v>
      </c>
      <c r="K41" s="7">
        <v>94.762915129151295</v>
      </c>
      <c r="L41" s="210"/>
      <c r="M41" s="209" t="s">
        <v>40</v>
      </c>
      <c r="N41" s="7">
        <v>119.22686230248307</v>
      </c>
      <c r="O41" s="210">
        <v>134.53555465258026</v>
      </c>
      <c r="P41" s="209" t="s">
        <v>40</v>
      </c>
      <c r="Q41" s="7">
        <v>634.77028683500851</v>
      </c>
      <c r="R41" s="210">
        <v>570.85644216358605</v>
      </c>
      <c r="S41" s="209" t="s">
        <v>40</v>
      </c>
      <c r="T41" s="7">
        <v>24.164460980549148</v>
      </c>
      <c r="U41" s="221">
        <v>28.47743658210948</v>
      </c>
      <c r="V41" s="209" t="s">
        <v>40</v>
      </c>
      <c r="W41" s="7">
        <v>40.374145151703551</v>
      </c>
      <c r="X41" s="221">
        <v>32.170976096265889</v>
      </c>
      <c r="Y41" s="209" t="s">
        <v>40</v>
      </c>
      <c r="Z41" s="7">
        <v>40.373022871471569</v>
      </c>
      <c r="AA41" s="221">
        <v>29.906634085766989</v>
      </c>
    </row>
    <row r="42" spans="1:27">
      <c r="A42" s="209" t="s">
        <v>41</v>
      </c>
      <c r="B42" s="7">
        <v>409.74351786965661</v>
      </c>
      <c r="C42" s="210">
        <v>315.77528983106987</v>
      </c>
      <c r="D42" s="209" t="s">
        <v>41</v>
      </c>
      <c r="E42" s="7">
        <v>96.838528545687126</v>
      </c>
      <c r="F42" s="221">
        <v>97.594337790097597</v>
      </c>
      <c r="G42" s="209" t="s">
        <v>41</v>
      </c>
      <c r="H42" s="7">
        <v>79.268524753980842</v>
      </c>
      <c r="I42" s="221">
        <v>63.75160654273148</v>
      </c>
      <c r="J42" s="209" t="s">
        <v>41</v>
      </c>
      <c r="K42" s="7">
        <v>90.785971000123936</v>
      </c>
      <c r="L42" s="210"/>
      <c r="M42" s="209" t="s">
        <v>41</v>
      </c>
      <c r="N42" s="7">
        <v>126.67004767217773</v>
      </c>
      <c r="O42" s="210">
        <v>142.93176815847394</v>
      </c>
      <c r="P42" s="209" t="s">
        <v>41</v>
      </c>
      <c r="Q42" s="7">
        <v>608.90476190476193</v>
      </c>
      <c r="R42" s="210">
        <v>482.48328697159019</v>
      </c>
      <c r="S42" s="209" t="s">
        <v>41</v>
      </c>
      <c r="T42" s="7">
        <v>27.512652986104722</v>
      </c>
      <c r="U42" s="221">
        <v>23.672401206594952</v>
      </c>
      <c r="V42" s="209" t="s">
        <v>41</v>
      </c>
      <c r="W42" s="7">
        <v>37.767192441415077</v>
      </c>
      <c r="X42" s="221">
        <v>31.107469674398807</v>
      </c>
      <c r="Y42" s="209" t="s">
        <v>41</v>
      </c>
      <c r="Z42" s="7">
        <v>38.094298521317569</v>
      </c>
      <c r="AA42" s="221">
        <v>29.613395329690839</v>
      </c>
    </row>
    <row r="43" spans="1:27">
      <c r="A43" s="209" t="s">
        <v>42</v>
      </c>
      <c r="B43" s="7">
        <v>329.83949298582922</v>
      </c>
      <c r="C43" s="210"/>
      <c r="D43" s="209" t="s">
        <v>42</v>
      </c>
      <c r="E43" s="7">
        <v>94.680800331132104</v>
      </c>
      <c r="F43" s="210"/>
      <c r="G43" s="209" t="s">
        <v>42</v>
      </c>
      <c r="H43" s="7">
        <v>84.376960452448941</v>
      </c>
      <c r="I43" s="210"/>
      <c r="J43" s="209" t="s">
        <v>42</v>
      </c>
      <c r="K43" s="7">
        <v>96.985804049336735</v>
      </c>
      <c r="L43" s="210"/>
      <c r="M43" s="209" t="s">
        <v>42</v>
      </c>
      <c r="N43" s="7">
        <v>125.1719978066167</v>
      </c>
      <c r="O43" s="210"/>
      <c r="P43" s="209" t="s">
        <v>42</v>
      </c>
      <c r="Q43" s="7">
        <v>657.14978065594323</v>
      </c>
      <c r="R43" s="210"/>
      <c r="S43" s="209" t="s">
        <v>42</v>
      </c>
      <c r="T43" s="7">
        <v>25.296507777399896</v>
      </c>
      <c r="U43" s="210"/>
      <c r="V43" s="209" t="s">
        <v>42</v>
      </c>
      <c r="W43" s="7">
        <v>37.30964439535304</v>
      </c>
      <c r="X43" s="210"/>
      <c r="Y43" s="209" t="s">
        <v>42</v>
      </c>
      <c r="Z43" s="7">
        <v>37.296638633406758</v>
      </c>
      <c r="AA43" s="210"/>
    </row>
    <row r="44" spans="1:27">
      <c r="A44" s="209" t="s">
        <v>43</v>
      </c>
      <c r="B44" s="7">
        <v>333.8847361809045</v>
      </c>
      <c r="C44" s="210"/>
      <c r="D44" s="209" t="s">
        <v>43</v>
      </c>
      <c r="E44" s="7">
        <v>76.996455223372678</v>
      </c>
      <c r="F44" s="210"/>
      <c r="G44" s="209" t="s">
        <v>43</v>
      </c>
      <c r="H44" s="7">
        <v>77.717477956274919</v>
      </c>
      <c r="I44" s="210"/>
      <c r="J44" s="209" t="s">
        <v>43</v>
      </c>
      <c r="K44" s="7">
        <v>103.25831775700935</v>
      </c>
      <c r="L44" s="210"/>
      <c r="M44" s="209" t="s">
        <v>43</v>
      </c>
      <c r="N44" s="7">
        <v>117.64860859542235</v>
      </c>
      <c r="O44" s="210"/>
      <c r="P44" s="209" t="s">
        <v>43</v>
      </c>
      <c r="Q44" s="7">
        <v>696.9129698611581</v>
      </c>
      <c r="R44" s="210"/>
      <c r="S44" s="209" t="s">
        <v>43</v>
      </c>
      <c r="T44" s="7">
        <v>23.152957647882396</v>
      </c>
      <c r="U44" s="210"/>
      <c r="V44" s="209" t="s">
        <v>43</v>
      </c>
      <c r="W44" s="7">
        <v>35.276655197400103</v>
      </c>
      <c r="X44" s="210"/>
      <c r="Y44" s="209" t="s">
        <v>43</v>
      </c>
      <c r="Z44" s="7">
        <v>35.31613044261195</v>
      </c>
      <c r="AA44" s="210"/>
    </row>
    <row r="45" spans="1:27">
      <c r="A45" s="209" t="s">
        <v>44</v>
      </c>
      <c r="B45" s="7">
        <v>452.45297816239599</v>
      </c>
      <c r="C45" s="210"/>
      <c r="D45" s="209" t="s">
        <v>44</v>
      </c>
      <c r="E45" s="7">
        <v>80.98869663195515</v>
      </c>
      <c r="F45" s="210"/>
      <c r="G45" s="209" t="s">
        <v>44</v>
      </c>
      <c r="H45" s="7">
        <v>70.011449835408612</v>
      </c>
      <c r="I45" s="210"/>
      <c r="J45" s="209" t="s">
        <v>44</v>
      </c>
      <c r="K45" s="7">
        <v>110.15342141589429</v>
      </c>
      <c r="L45" s="210"/>
      <c r="M45" s="209" t="s">
        <v>44</v>
      </c>
      <c r="N45" s="7">
        <v>130.32926332926334</v>
      </c>
      <c r="O45" s="210"/>
      <c r="P45" s="209" t="s">
        <v>44</v>
      </c>
      <c r="Q45" s="7">
        <v>761.84422253922969</v>
      </c>
      <c r="R45" s="210"/>
      <c r="S45" s="209" t="s">
        <v>44</v>
      </c>
      <c r="T45" s="7">
        <v>20.589952743581257</v>
      </c>
      <c r="U45" s="210"/>
      <c r="V45" s="209" t="s">
        <v>44</v>
      </c>
      <c r="W45" s="7">
        <v>35.980857723047116</v>
      </c>
      <c r="X45" s="210"/>
      <c r="Y45" s="209" t="s">
        <v>44</v>
      </c>
      <c r="Z45" s="7">
        <v>35.980857723047116</v>
      </c>
      <c r="AA45" s="210"/>
    </row>
    <row r="46" spans="1:27">
      <c r="A46" s="209" t="s">
        <v>45</v>
      </c>
      <c r="B46" s="7">
        <v>332.35355962751578</v>
      </c>
      <c r="C46" s="210"/>
      <c r="D46" s="209" t="s">
        <v>45</v>
      </c>
      <c r="E46" s="7">
        <v>100.72526516494629</v>
      </c>
      <c r="F46" s="210"/>
      <c r="G46" s="209" t="s">
        <v>45</v>
      </c>
      <c r="H46" s="7">
        <v>65.911916192904371</v>
      </c>
      <c r="I46" s="210"/>
      <c r="J46" s="209" t="s">
        <v>45</v>
      </c>
      <c r="K46" s="7">
        <v>95.283018867924525</v>
      </c>
      <c r="L46" s="210"/>
      <c r="M46" s="209" t="s">
        <v>45</v>
      </c>
      <c r="N46" s="7">
        <v>126.35915492957747</v>
      </c>
      <c r="O46" s="210"/>
      <c r="P46" s="209" t="s">
        <v>45</v>
      </c>
      <c r="Q46" s="7">
        <v>665.45017694170235</v>
      </c>
      <c r="R46" s="210"/>
      <c r="S46" s="209" t="s">
        <v>45</v>
      </c>
      <c r="T46" s="7">
        <v>24.413214848788879</v>
      </c>
      <c r="U46" s="210"/>
      <c r="V46" s="209" t="s">
        <v>45</v>
      </c>
      <c r="W46" s="7">
        <v>30.796837479561521</v>
      </c>
      <c r="X46" s="210"/>
      <c r="Y46" s="209" t="s">
        <v>45</v>
      </c>
      <c r="Z46" s="7">
        <v>32.653173443839172</v>
      </c>
      <c r="AA46" s="210"/>
    </row>
    <row r="47" spans="1:27">
      <c r="A47" s="209" t="s">
        <v>46</v>
      </c>
      <c r="B47" s="7">
        <v>247.75443084231682</v>
      </c>
      <c r="C47" s="210"/>
      <c r="D47" s="209" t="s">
        <v>46</v>
      </c>
      <c r="E47" s="7">
        <v>87.057246271979295</v>
      </c>
      <c r="F47" s="210"/>
      <c r="G47" s="209" t="s">
        <v>46</v>
      </c>
      <c r="H47" s="7">
        <v>62.342275598469257</v>
      </c>
      <c r="I47" s="210"/>
      <c r="J47" s="209" t="s">
        <v>46</v>
      </c>
      <c r="K47" s="7">
        <v>104.01025438769474</v>
      </c>
      <c r="L47" s="210"/>
      <c r="M47" s="209" t="s">
        <v>46</v>
      </c>
      <c r="N47" s="7">
        <v>118.2586367091815</v>
      </c>
      <c r="O47" s="210"/>
      <c r="P47" s="209" t="s">
        <v>46</v>
      </c>
      <c r="Q47" s="7">
        <v>684.12594962015203</v>
      </c>
      <c r="R47" s="210"/>
      <c r="S47" s="209" t="s">
        <v>46</v>
      </c>
      <c r="T47" s="7">
        <v>25.017681179677126</v>
      </c>
      <c r="U47" s="210"/>
      <c r="V47" s="209" t="s">
        <v>46</v>
      </c>
      <c r="W47" s="7">
        <v>29.534659828307504</v>
      </c>
      <c r="X47" s="210"/>
      <c r="Y47" s="209" t="s">
        <v>46</v>
      </c>
      <c r="Z47" s="7">
        <v>30.125250411126864</v>
      </c>
      <c r="AA47" s="210"/>
    </row>
    <row r="48" spans="1:27">
      <c r="A48" s="209" t="s">
        <v>47</v>
      </c>
      <c r="B48" s="7">
        <v>192.3036235172101</v>
      </c>
      <c r="C48" s="210"/>
      <c r="D48" s="209" t="s">
        <v>47</v>
      </c>
      <c r="E48" s="7">
        <v>89.65130280020287</v>
      </c>
      <c r="F48" s="210"/>
      <c r="G48" s="209" t="s">
        <v>47</v>
      </c>
      <c r="H48" s="7">
        <v>63.787514427376564</v>
      </c>
      <c r="I48" s="210"/>
      <c r="J48" s="209" t="s">
        <v>47</v>
      </c>
      <c r="K48" s="7">
        <v>79.906976744186053</v>
      </c>
      <c r="L48" s="210"/>
      <c r="M48" s="209" t="s">
        <v>47</v>
      </c>
      <c r="N48" s="7">
        <v>103.17298965329461</v>
      </c>
      <c r="O48" s="210"/>
      <c r="P48" s="209" t="s">
        <v>47</v>
      </c>
      <c r="Q48" s="7">
        <v>573.79172257198888</v>
      </c>
      <c r="R48" s="210"/>
      <c r="S48" s="209" t="s">
        <v>47</v>
      </c>
      <c r="T48" s="7">
        <v>29.883515086312293</v>
      </c>
      <c r="U48" s="210"/>
      <c r="V48" s="209" t="s">
        <v>47</v>
      </c>
      <c r="W48" s="7">
        <v>28.86209155083327</v>
      </c>
      <c r="X48" s="210"/>
      <c r="Y48" s="209" t="s">
        <v>47</v>
      </c>
      <c r="Z48" s="7">
        <v>28.64715192483278</v>
      </c>
      <c r="AA48" s="210"/>
    </row>
    <row r="49" spans="1:27">
      <c r="A49" s="209" t="s">
        <v>48</v>
      </c>
      <c r="B49" s="7">
        <v>237.43398385613571</v>
      </c>
      <c r="C49" s="210"/>
      <c r="D49" s="209" t="s">
        <v>48</v>
      </c>
      <c r="E49" s="7">
        <v>93.744663604667707</v>
      </c>
      <c r="F49" s="210"/>
      <c r="G49" s="209" t="s">
        <v>48</v>
      </c>
      <c r="H49" s="7">
        <v>65.916841175055694</v>
      </c>
      <c r="I49" s="210"/>
      <c r="J49" s="209" t="s">
        <v>48</v>
      </c>
      <c r="K49" s="7">
        <v>94.411799410029502</v>
      </c>
      <c r="L49" s="210"/>
      <c r="M49" s="209" t="s">
        <v>48</v>
      </c>
      <c r="N49" s="7">
        <v>107.01621850518738</v>
      </c>
      <c r="O49" s="210"/>
      <c r="P49" s="209" t="s">
        <v>48</v>
      </c>
      <c r="Q49" s="7">
        <v>628.1522198731501</v>
      </c>
      <c r="R49" s="210"/>
      <c r="S49" s="209" t="s">
        <v>48</v>
      </c>
      <c r="T49" s="7">
        <v>26.248517591250494</v>
      </c>
      <c r="U49" s="210"/>
      <c r="V49" s="209" t="s">
        <v>48</v>
      </c>
      <c r="W49" s="7">
        <v>31.45097996468203</v>
      </c>
      <c r="X49" s="210"/>
      <c r="Y49" s="209" t="s">
        <v>48</v>
      </c>
      <c r="Z49" s="7">
        <v>30.388872974027386</v>
      </c>
      <c r="AA49" s="210"/>
    </row>
    <row r="50" spans="1:27">
      <c r="A50" s="209" t="s">
        <v>49</v>
      </c>
      <c r="B50" s="7">
        <v>216.74822040601106</v>
      </c>
      <c r="C50" s="210"/>
      <c r="D50" s="209" t="s">
        <v>49</v>
      </c>
      <c r="E50" s="7">
        <v>96.369960726581581</v>
      </c>
      <c r="F50" s="210"/>
      <c r="G50" s="209" t="s">
        <v>49</v>
      </c>
      <c r="H50" s="7">
        <v>66.832225164115485</v>
      </c>
      <c r="I50" s="210"/>
      <c r="J50" s="209" t="s">
        <v>49</v>
      </c>
      <c r="K50" s="7">
        <v>95.446339017051145</v>
      </c>
      <c r="L50" s="210"/>
      <c r="M50" s="209" t="s">
        <v>49</v>
      </c>
      <c r="N50" s="7">
        <v>105.79405992411358</v>
      </c>
      <c r="O50" s="210"/>
      <c r="P50" s="209" t="s">
        <v>49</v>
      </c>
      <c r="Q50" s="7">
        <v>588.80763723150358</v>
      </c>
      <c r="R50" s="210"/>
      <c r="S50" s="209" t="s">
        <v>49</v>
      </c>
      <c r="T50" s="7">
        <v>27.412631683070384</v>
      </c>
      <c r="U50" s="210"/>
      <c r="V50" s="209" t="s">
        <v>49</v>
      </c>
      <c r="W50" s="7">
        <v>30.584288202401687</v>
      </c>
      <c r="X50" s="210"/>
      <c r="Y50" s="209" t="s">
        <v>49</v>
      </c>
      <c r="Z50" s="7">
        <v>30.42890787814844</v>
      </c>
      <c r="AA50" s="210"/>
    </row>
    <row r="51" spans="1:27">
      <c r="A51" s="209" t="s">
        <v>50</v>
      </c>
      <c r="B51" s="7">
        <v>244.52229677572586</v>
      </c>
      <c r="C51" s="210"/>
      <c r="D51" s="209" t="s">
        <v>50</v>
      </c>
      <c r="E51" s="7">
        <v>93.649551715584366</v>
      </c>
      <c r="F51" s="210"/>
      <c r="G51" s="209" t="s">
        <v>50</v>
      </c>
      <c r="H51" s="7">
        <v>72.450767948366902</v>
      </c>
      <c r="I51" s="210"/>
      <c r="J51" s="209" t="s">
        <v>50</v>
      </c>
      <c r="K51" s="7">
        <v>111.11504793664027</v>
      </c>
      <c r="L51" s="210"/>
      <c r="M51" s="209" t="s">
        <v>50</v>
      </c>
      <c r="N51" s="7">
        <v>100.26909671797851</v>
      </c>
      <c r="O51" s="210"/>
      <c r="P51" s="209" t="s">
        <v>50</v>
      </c>
      <c r="Q51" s="7">
        <v>586.31830726770932</v>
      </c>
      <c r="R51" s="210"/>
      <c r="S51" s="209" t="s">
        <v>50</v>
      </c>
      <c r="T51" s="7">
        <v>24.825309491059148</v>
      </c>
      <c r="U51" s="210"/>
      <c r="V51" s="209" t="s">
        <v>50</v>
      </c>
      <c r="W51" s="7">
        <v>32.468174282430063</v>
      </c>
      <c r="X51" s="210"/>
      <c r="Y51" s="209" t="s">
        <v>50</v>
      </c>
      <c r="Z51" s="7">
        <v>31.791193591057866</v>
      </c>
      <c r="AA51" s="210"/>
    </row>
    <row r="52" spans="1:27">
      <c r="A52" s="209" t="s">
        <v>51</v>
      </c>
      <c r="B52" s="7">
        <v>453.41949447321628</v>
      </c>
      <c r="C52" s="210"/>
      <c r="D52" s="209" t="s">
        <v>51</v>
      </c>
      <c r="E52" s="7">
        <v>95.678231622546335</v>
      </c>
      <c r="F52" s="210"/>
      <c r="G52" s="209" t="s">
        <v>51</v>
      </c>
      <c r="H52" s="7">
        <v>71.026271312340782</v>
      </c>
      <c r="I52" s="210"/>
      <c r="J52" s="209" t="s">
        <v>51</v>
      </c>
      <c r="K52" s="7">
        <v>117.4016722771202</v>
      </c>
      <c r="L52" s="210"/>
      <c r="M52" s="209" t="s">
        <v>51</v>
      </c>
      <c r="N52" s="7">
        <v>100.79676414882346</v>
      </c>
      <c r="O52" s="210"/>
      <c r="P52" s="209" t="s">
        <v>51</v>
      </c>
      <c r="Q52" s="7">
        <v>494.63802293652066</v>
      </c>
      <c r="R52" s="210"/>
      <c r="S52" s="209" t="s">
        <v>51</v>
      </c>
      <c r="T52" s="7">
        <v>27.488279045909209</v>
      </c>
      <c r="U52" s="210"/>
      <c r="V52" s="209" t="s">
        <v>51</v>
      </c>
      <c r="W52" s="7">
        <v>35.833198999325198</v>
      </c>
      <c r="X52" s="210"/>
      <c r="Y52" s="209" t="s">
        <v>51</v>
      </c>
      <c r="Z52" s="7">
        <v>35.539683070995601</v>
      </c>
      <c r="AA52" s="210"/>
    </row>
    <row r="53" spans="1:27">
      <c r="A53" s="209" t="s">
        <v>52</v>
      </c>
      <c r="B53" s="7">
        <v>428.67906520673313</v>
      </c>
      <c r="C53" s="210"/>
      <c r="D53" s="209" t="s">
        <v>52</v>
      </c>
      <c r="E53" s="7">
        <v>106.29268302692918</v>
      </c>
      <c r="F53" s="210"/>
      <c r="G53" s="209" t="s">
        <v>52</v>
      </c>
      <c r="H53" s="7">
        <v>69.571755177773142</v>
      </c>
      <c r="I53" s="210"/>
      <c r="J53" s="209" t="s">
        <v>52</v>
      </c>
      <c r="K53" s="7">
        <v>119.98651409889662</v>
      </c>
      <c r="L53" s="210"/>
      <c r="M53" s="209" t="s">
        <v>52</v>
      </c>
      <c r="N53" s="7">
        <v>106.04666304937602</v>
      </c>
      <c r="O53" s="210"/>
      <c r="P53" s="209" t="s">
        <v>52</v>
      </c>
      <c r="Q53" s="7">
        <v>745.35389244076725</v>
      </c>
      <c r="R53" s="210"/>
      <c r="S53" s="209" t="s">
        <v>52</v>
      </c>
      <c r="T53" s="7">
        <v>28.633882970961622</v>
      </c>
      <c r="U53" s="210"/>
      <c r="V53" s="209" t="s">
        <v>52</v>
      </c>
      <c r="W53" s="7">
        <v>33.747109316242934</v>
      </c>
      <c r="X53" s="210"/>
      <c r="Y53" s="209" t="s">
        <v>52</v>
      </c>
      <c r="Z53" s="7">
        <v>33.192101431823914</v>
      </c>
      <c r="AA53" s="210"/>
    </row>
    <row r="54" spans="1:27" ht="15" thickBot="1">
      <c r="A54" s="212" t="s">
        <v>53</v>
      </c>
      <c r="B54" s="213">
        <v>380.84842830486576</v>
      </c>
      <c r="C54" s="214"/>
      <c r="D54" s="212" t="s">
        <v>53</v>
      </c>
      <c r="E54" s="213">
        <v>107.64542024926605</v>
      </c>
      <c r="F54" s="214"/>
      <c r="G54" s="212" t="s">
        <v>53</v>
      </c>
      <c r="H54" s="213">
        <v>76.595407476526589</v>
      </c>
      <c r="I54" s="214"/>
      <c r="J54" s="212" t="s">
        <v>53</v>
      </c>
      <c r="K54" s="213">
        <v>71.187217783952761</v>
      </c>
      <c r="L54" s="214"/>
      <c r="M54" s="212" t="s">
        <v>53</v>
      </c>
      <c r="N54" s="213">
        <v>133.97562208616526</v>
      </c>
      <c r="O54" s="214"/>
      <c r="P54" s="212" t="s">
        <v>53</v>
      </c>
      <c r="Q54" s="213">
        <v>707.23280849505682</v>
      </c>
      <c r="R54" s="214"/>
      <c r="S54" s="212" t="s">
        <v>53</v>
      </c>
      <c r="T54" s="213">
        <v>20.845897914468882</v>
      </c>
      <c r="U54" s="214"/>
      <c r="V54" s="212" t="s">
        <v>53</v>
      </c>
      <c r="W54" s="213">
        <v>36.59536200904725</v>
      </c>
      <c r="X54" s="214"/>
      <c r="Y54" s="212" t="s">
        <v>53</v>
      </c>
      <c r="Z54" s="213">
        <v>35.720151486018224</v>
      </c>
      <c r="AA54" s="214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C45" sqref="C45"/>
    </sheetView>
  </sheetViews>
  <sheetFormatPr defaultRowHeight="14.4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>
      <c r="B1" s="240" t="s">
        <v>59</v>
      </c>
      <c r="C1" s="240"/>
      <c r="D1" s="240"/>
      <c r="F1" s="240" t="s">
        <v>67</v>
      </c>
      <c r="G1" s="240"/>
      <c r="H1" s="240"/>
      <c r="J1" s="240" t="s">
        <v>65</v>
      </c>
      <c r="K1" s="240"/>
      <c r="L1" s="240"/>
      <c r="N1" s="240" t="s">
        <v>454</v>
      </c>
      <c r="O1" s="240"/>
      <c r="P1" s="240"/>
      <c r="R1" s="240" t="s">
        <v>62</v>
      </c>
      <c r="S1" s="240"/>
      <c r="T1" s="240"/>
      <c r="V1" s="240" t="s">
        <v>58</v>
      </c>
      <c r="W1" s="240"/>
      <c r="X1" s="240"/>
      <c r="Z1" s="240" t="s">
        <v>2261</v>
      </c>
      <c r="AA1" s="240"/>
      <c r="AB1" s="240"/>
      <c r="AD1" s="240" t="s">
        <v>428</v>
      </c>
      <c r="AE1" s="240"/>
      <c r="AF1" s="240"/>
      <c r="AH1" s="240" t="s">
        <v>2262</v>
      </c>
      <c r="AI1" s="240"/>
      <c r="AJ1" s="240"/>
    </row>
    <row r="2" spans="1:36">
      <c r="A2" t="s">
        <v>41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>
      <c r="B3" t="str">
        <f t="shared" ref="B3:B4" si="0">+LEFT(B4,2)-1&amp;". Hafta"</f>
        <v>37. Hafta</v>
      </c>
      <c r="C3" s="2">
        <f>+VLOOKUP(B3,'Haftalık Genel'!A:AA,2,0)</f>
        <v>384.63000138766824</v>
      </c>
      <c r="D3" s="2">
        <f>+VLOOKUP(B3,'Haftalık Genel'!A:C,3,0)</f>
        <v>361.54598227925453</v>
      </c>
      <c r="F3" t="str">
        <f t="shared" ref="F3:F4" si="1">+LEFT(F4,2)-1&amp;". Hafta"</f>
        <v>37. Hafta</v>
      </c>
      <c r="G3" s="2">
        <f>+VLOOKUP(F3,'Haftalık Genel'!D:F,2,0)</f>
        <v>99.128459383044117</v>
      </c>
      <c r="H3" s="2">
        <f>+VLOOKUP(F3,'Haftalık Genel'!D:F,3,0)</f>
        <v>105.14449685197032</v>
      </c>
      <c r="J3" t="str">
        <f t="shared" ref="J3:J4" si="2">+LEFT(J4,2)-1&amp;". Hafta"</f>
        <v>37. Hafta</v>
      </c>
      <c r="K3" s="2">
        <f>+VLOOKUP(J3,'Haftalık Genel'!G:I,2,0)</f>
        <v>73.425508545983618</v>
      </c>
      <c r="L3" s="2">
        <f>+VLOOKUP(J3,'Haftalık Genel'!G:I,3,0)</f>
        <v>65.225849834016785</v>
      </c>
      <c r="N3" t="str">
        <f t="shared" ref="N3:N4" si="3">+LEFT(N4,2)-1&amp;". Hafta"</f>
        <v>37. Hafta</v>
      </c>
      <c r="O3" s="2">
        <f>+VLOOKUP(N3,'Haftalık Genel'!J:L,2,0)</f>
        <v>92.110948905109495</v>
      </c>
      <c r="P3" s="2">
        <f>+VLOOKUP(N3,'Haftalık Genel'!J:L,3,0)</f>
        <v>0</v>
      </c>
      <c r="R3" t="str">
        <f t="shared" ref="R3:R4" si="4">+LEFT(R4,2)-1&amp;". Hafta"</f>
        <v>37. Hafta</v>
      </c>
      <c r="S3" s="2">
        <f>+VLOOKUP(R3,'Haftalık Genel'!M:O,2,0)</f>
        <v>119.92099694333412</v>
      </c>
      <c r="T3" s="2">
        <f>+VLOOKUP(R3,'Haftalık Genel'!M:O,3,0)</f>
        <v>102.40113340480933</v>
      </c>
      <c r="V3" t="str">
        <f t="shared" ref="V3:V4" si="5">+LEFT(V4,2)-1&amp;". Hafta"</f>
        <v>37. Hafta</v>
      </c>
      <c r="W3" s="2">
        <f>+VLOOKUP(V3,'Haftalık Genel'!P:R,2,0)</f>
        <v>735.3054413542925</v>
      </c>
      <c r="X3" s="2">
        <f>+VLOOKUP(V3,'Haftalık Genel'!P:R,3,0)</f>
        <v>544.76226734348563</v>
      </c>
      <c r="Z3" t="str">
        <f t="shared" ref="Z3:Z4" si="6">+LEFT(Z4,2)-1&amp;". Hafta"</f>
        <v>37. Hafta</v>
      </c>
      <c r="AA3" s="2">
        <f>+VLOOKUP(Z3,'Haftalık Genel'!S:U,2,0)</f>
        <v>22.821047641621238</v>
      </c>
      <c r="AB3" s="2">
        <f>+VLOOKUP(Z3,'Haftalık Genel'!S:U,3,0)</f>
        <v>24.631401711800194</v>
      </c>
      <c r="AD3" t="str">
        <f t="shared" ref="AD3:AD4" si="7">+LEFT(AD4,2)-1&amp;". Hafta"</f>
        <v>37. Hafta</v>
      </c>
      <c r="AE3" s="2">
        <f>+VLOOKUP(AD3,'Haftalık Genel'!V:X,2,0)</f>
        <v>35.942543787853992</v>
      </c>
      <c r="AF3" s="2">
        <f>+VLOOKUP(AD3,'Haftalık Genel'!V:X,3,0)</f>
        <v>32.163754219006435</v>
      </c>
      <c r="AH3" t="str">
        <f t="shared" ref="AH3:AH4" si="8">+LEFT(AH4,2)-1&amp;". Hafta"</f>
        <v>37. Hafta</v>
      </c>
      <c r="AI3" s="2">
        <f>+VLOOKUP(AH3,'Haftalık Genel'!Y:AA,2,0)</f>
        <v>35.769384859937958</v>
      </c>
      <c r="AJ3" s="2">
        <f>+VLOOKUP(AH3,'Haftalık Genel'!Y:AA,3,0)</f>
        <v>32.408478118949844</v>
      </c>
    </row>
    <row r="4" spans="1:36">
      <c r="B4" t="str">
        <f t="shared" si="0"/>
        <v>38. Hafta</v>
      </c>
      <c r="C4" s="2">
        <f>+VLOOKUP(B4,'Haftalık Genel'!A:AA,2,0)</f>
        <v>390.68053148469085</v>
      </c>
      <c r="D4" s="2">
        <f>+VLOOKUP(B4,'Haftalık Genel'!A:C,3,0)</f>
        <v>325.94090909090903</v>
      </c>
      <c r="F4" t="str">
        <f t="shared" si="1"/>
        <v>38. Hafta</v>
      </c>
      <c r="G4" s="2">
        <f>+VLOOKUP(F4,'Haftalık Genel'!D:F,2,0)</f>
        <v>107.31026529651045</v>
      </c>
      <c r="H4" s="2">
        <f>+VLOOKUP(F4,'Haftalık Genel'!D:F,3,0)</f>
        <v>97.614342686377952</v>
      </c>
      <c r="J4" t="str">
        <f t="shared" si="2"/>
        <v>38. Hafta</v>
      </c>
      <c r="K4" s="2">
        <f>+VLOOKUP(J4,'Haftalık Genel'!G:I,2,0)</f>
        <v>81.699856051031404</v>
      </c>
      <c r="L4" s="2">
        <f>+VLOOKUP(J4,'Haftalık Genel'!G:I,3,0)</f>
        <v>66.92144568191776</v>
      </c>
      <c r="N4" t="str">
        <f t="shared" si="3"/>
        <v>38. Hafta</v>
      </c>
      <c r="O4" s="2">
        <f>+VLOOKUP(N4,'Haftalık Genel'!J:L,2,0)</f>
        <v>86.36515679442509</v>
      </c>
      <c r="P4" s="2">
        <f>+VLOOKUP(N4,'Haftalık Genel'!J:L,3,0)</f>
        <v>0</v>
      </c>
      <c r="R4" t="str">
        <f t="shared" si="4"/>
        <v>38. Hafta</v>
      </c>
      <c r="S4" s="2">
        <f>+VLOOKUP(R4,'Haftalık Genel'!M:O,2,0)</f>
        <v>111.41793280547827</v>
      </c>
      <c r="T4" s="2">
        <f>+VLOOKUP(R4,'Haftalık Genel'!M:O,3,0)</f>
        <v>108.00085766358144</v>
      </c>
      <c r="V4" t="str">
        <f t="shared" si="5"/>
        <v>38. Hafta</v>
      </c>
      <c r="W4" s="2">
        <f>+VLOOKUP(V4,'Haftalık Genel'!P:R,2,0)</f>
        <v>480.56878891343649</v>
      </c>
      <c r="X4" s="2">
        <f>+VLOOKUP(V4,'Haftalık Genel'!P:R,3,0)</f>
        <v>546.36960506582238</v>
      </c>
      <c r="Z4" t="str">
        <f t="shared" si="6"/>
        <v>38. Hafta</v>
      </c>
      <c r="AA4" s="2">
        <f>+VLOOKUP(Z4,'Haftalık Genel'!S:U,2,0)</f>
        <v>21.867793824116472</v>
      </c>
      <c r="AB4" s="2">
        <f>+VLOOKUP(Z4,'Haftalık Genel'!S:U,3,0)</f>
        <v>27.603798855473027</v>
      </c>
      <c r="AD4" t="str">
        <f t="shared" si="7"/>
        <v>38. Hafta</v>
      </c>
      <c r="AE4" s="2">
        <f>+VLOOKUP(AD4,'Haftalık Genel'!V:X,2,0)</f>
        <v>39.413136388044997</v>
      </c>
      <c r="AF4" s="2">
        <f>+VLOOKUP(AD4,'Haftalık Genel'!V:X,3,0)</f>
        <v>32.528689515842188</v>
      </c>
      <c r="AH4" t="str">
        <f t="shared" si="8"/>
        <v>38. Hafta</v>
      </c>
      <c r="AI4" s="2">
        <f>+VLOOKUP(AH4,'Haftalık Genel'!Y:AA,2,0)</f>
        <v>38.315720152614645</v>
      </c>
      <c r="AJ4" s="2">
        <f>+VLOOKUP(AH4,'Haftalık Genel'!Y:AA,3,0)</f>
        <v>30.667368063364613</v>
      </c>
    </row>
    <row r="5" spans="1:36">
      <c r="B5" t="str">
        <f>+LEFT(B6,2)-1&amp;". Hafta"</f>
        <v>39. Hafta</v>
      </c>
      <c r="C5" s="2">
        <f>+VLOOKUP(B5,'Haftalık Genel'!A:AA,2,0)</f>
        <v>424.3765972720746</v>
      </c>
      <c r="D5" s="2">
        <f>+VLOOKUP(B5,'Haftalık Genel'!A:C,3,0)</f>
        <v>321.65522454424183</v>
      </c>
      <c r="F5" t="str">
        <f>+LEFT(F6,2)-1&amp;". Hafta"</f>
        <v>39. Hafta</v>
      </c>
      <c r="G5" s="2">
        <f>+VLOOKUP(F5,'Haftalık Genel'!D:F,2,0)</f>
        <v>96.805890714003269</v>
      </c>
      <c r="H5" s="2">
        <f>+VLOOKUP(F5,'Haftalık Genel'!D:F,3,0)</f>
        <v>96.76720761187633</v>
      </c>
      <c r="J5" t="str">
        <f>+LEFT(J6,2)-1&amp;". Hafta"</f>
        <v>39. Hafta</v>
      </c>
      <c r="K5" s="2">
        <f>+VLOOKUP(J5,'Haftalık Genel'!G:I,2,0)</f>
        <v>85.44841128651619</v>
      </c>
      <c r="L5" s="2">
        <f>+VLOOKUP(J5,'Haftalık Genel'!G:I,3,0)</f>
        <v>65.801726401211965</v>
      </c>
      <c r="N5" t="str">
        <f>+LEFT(N6,2)-1&amp;". Hafta"</f>
        <v>39. Hafta</v>
      </c>
      <c r="O5" s="2">
        <f>+VLOOKUP(N5,'Haftalık Genel'!J:L,2,0)</f>
        <v>94.762915129151295</v>
      </c>
      <c r="P5" s="2">
        <f>+VLOOKUP(N5,'Haftalık Genel'!J:L,3,0)</f>
        <v>0</v>
      </c>
      <c r="R5" t="str">
        <f>+LEFT(R6,2)-1&amp;". Hafta"</f>
        <v>39. Hafta</v>
      </c>
      <c r="S5" s="2">
        <f>+VLOOKUP(R5,'Haftalık Genel'!M:O,2,0)</f>
        <v>119.22686230248307</v>
      </c>
      <c r="T5" s="2">
        <f>+VLOOKUP(R5,'Haftalık Genel'!M:O,3,0)</f>
        <v>134.53555465258026</v>
      </c>
      <c r="V5" t="str">
        <f>+LEFT(V6,2)-1&amp;". Hafta"</f>
        <v>39. Hafta</v>
      </c>
      <c r="W5" s="2">
        <f>+VLOOKUP(V5,'Haftalık Genel'!P:R,2,0)</f>
        <v>634.77028683500851</v>
      </c>
      <c r="X5" s="2">
        <f>+VLOOKUP(V5,'Haftalık Genel'!P:R,3,0)</f>
        <v>570.85644216358605</v>
      </c>
      <c r="Z5" t="str">
        <f>+LEFT(Z6,2)-1&amp;". Hafta"</f>
        <v>39. Hafta</v>
      </c>
      <c r="AA5" s="2">
        <f>+VLOOKUP(Z5,'Haftalık Genel'!S:U,2,0)</f>
        <v>24.164460980549148</v>
      </c>
      <c r="AB5" s="2">
        <f>+VLOOKUP(Z5,'Haftalık Genel'!S:U,3,0)</f>
        <v>28.47743658210948</v>
      </c>
      <c r="AD5" t="str">
        <f>+LEFT(AD6,2)-1&amp;". Hafta"</f>
        <v>39. Hafta</v>
      </c>
      <c r="AE5" s="2">
        <f>+VLOOKUP(AD5,'Haftalık Genel'!V:X,2,0)</f>
        <v>40.374145151703551</v>
      </c>
      <c r="AF5" s="2">
        <f>+VLOOKUP(AD5,'Haftalık Genel'!V:X,3,0)</f>
        <v>32.170976096265889</v>
      </c>
      <c r="AH5" t="str">
        <f>+LEFT(AH6,2)-1&amp;". Hafta"</f>
        <v>39. Hafta</v>
      </c>
      <c r="AI5" s="2">
        <f>+VLOOKUP(AH5,'Haftalık Genel'!Y:AA,2,0)</f>
        <v>40.373022871471569</v>
      </c>
      <c r="AJ5" s="2">
        <f>+VLOOKUP(AH5,'Haftalık Genel'!Y:AA,3,0)</f>
        <v>29.906634085766989</v>
      </c>
    </row>
    <row r="6" spans="1:36">
      <c r="B6" t="str">
        <f>+$A$2</f>
        <v>40. Hafta</v>
      </c>
      <c r="C6" s="2">
        <f>+VLOOKUP(B6,'Haftalık Genel'!A:AA,2,0)</f>
        <v>409.74351786965661</v>
      </c>
      <c r="D6" s="2">
        <f>+VLOOKUP(B6,'Haftalık Genel'!A:C,3,0)</f>
        <v>315.77528983106987</v>
      </c>
      <c r="F6" t="str">
        <f>+$A$2</f>
        <v>40. Hafta</v>
      </c>
      <c r="G6" s="2">
        <f>+VLOOKUP(F6,'Haftalık Genel'!D:F,2,0)</f>
        <v>96.838528545687126</v>
      </c>
      <c r="H6" s="2">
        <f>+VLOOKUP(F6,'Haftalık Genel'!D:F,3,0)</f>
        <v>97.594337790097597</v>
      </c>
      <c r="J6" t="str">
        <f>+$A$2</f>
        <v>40. Hafta</v>
      </c>
      <c r="K6" s="2">
        <f>+VLOOKUP(J6,'Haftalık Genel'!G:I,2,0)</f>
        <v>79.268524753980842</v>
      </c>
      <c r="L6" s="2">
        <f>+VLOOKUP(J6,'Haftalık Genel'!G:I,3,0)</f>
        <v>63.75160654273148</v>
      </c>
      <c r="N6" t="str">
        <f>+$A$2</f>
        <v>40. Hafta</v>
      </c>
      <c r="O6" s="2">
        <f>+VLOOKUP(N6,'Haftalık Genel'!J:L,2,0)</f>
        <v>90.785971000123936</v>
      </c>
      <c r="P6" s="2">
        <f>+VLOOKUP(N6,'Haftalık Genel'!J:L,3,0)</f>
        <v>0</v>
      </c>
      <c r="R6" t="str">
        <f>+$A$2</f>
        <v>40. Hafta</v>
      </c>
      <c r="S6" s="2">
        <f>+VLOOKUP(R6,'Haftalık Genel'!M:O,2,0)</f>
        <v>126.67004767217773</v>
      </c>
      <c r="T6" s="2">
        <f>+VLOOKUP(R6,'Haftalık Genel'!M:O,3,0)</f>
        <v>142.93176815847394</v>
      </c>
      <c r="V6" t="str">
        <f>+$A$2</f>
        <v>40. Hafta</v>
      </c>
      <c r="W6" s="2">
        <f>+VLOOKUP(V6,'Haftalık Genel'!P:R,2,0)</f>
        <v>608.90476190476193</v>
      </c>
      <c r="X6" s="2">
        <f>+VLOOKUP(V6,'Haftalık Genel'!P:R,3,0)</f>
        <v>482.48328697159019</v>
      </c>
      <c r="Z6" t="str">
        <f>+$A$2</f>
        <v>40. Hafta</v>
      </c>
      <c r="AA6" s="2">
        <f>+VLOOKUP(Z6,'Haftalık Genel'!S:U,2,0)</f>
        <v>27.512652986104722</v>
      </c>
      <c r="AB6" s="2">
        <f>+VLOOKUP(Z6,'Haftalık Genel'!S:U,3,0)</f>
        <v>23.672401206594952</v>
      </c>
      <c r="AD6" t="str">
        <f>+$A$2</f>
        <v>40. Hafta</v>
      </c>
      <c r="AE6" s="2">
        <f>+VLOOKUP(AD6,'Haftalık Genel'!V:X,2,0)</f>
        <v>37.767192441415077</v>
      </c>
      <c r="AF6" s="2">
        <f>+VLOOKUP(AD6,'Haftalık Genel'!V:X,3,0)</f>
        <v>31.107469674398807</v>
      </c>
      <c r="AH6" t="str">
        <f>+$A$2</f>
        <v>40. Hafta</v>
      </c>
      <c r="AI6" s="2">
        <f>+VLOOKUP(AH6,'Haftalık Genel'!Y:AA,2,0)</f>
        <v>38.094298521317569</v>
      </c>
      <c r="AJ6" s="2">
        <f>+VLOOKUP(AH6,'Haftalık Genel'!Y:AA,3,0)</f>
        <v>29.613395329690839</v>
      </c>
    </row>
    <row r="7" spans="1:36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topLeftCell="GK1" zoomScale="95" zoomScaleNormal="95" workbookViewId="0">
      <selection activeCell="GN8" sqref="GN8:GT8"/>
    </sheetView>
  </sheetViews>
  <sheetFormatPr defaultColWidth="8.88671875" defaultRowHeight="14.4"/>
  <cols>
    <col min="1" max="1" width="11.77734375" style="8" bestFit="1" customWidth="1"/>
    <col min="2" max="2" width="22.44140625" style="8" bestFit="1" customWidth="1"/>
    <col min="3" max="14" width="11.2187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SUM(807,O3:NC3)</f>
        <v>26796.25</v>
      </c>
      <c r="B3" s="14" t="s">
        <v>427</v>
      </c>
      <c r="C3" s="103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14097.583333333332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FL9" s="7">
        <v>82</v>
      </c>
      <c r="FM9" s="7">
        <v>92.5</v>
      </c>
      <c r="FN9" s="7">
        <v>85.416666666666657</v>
      </c>
      <c r="FO9" s="7">
        <v>90.083333333333329</v>
      </c>
      <c r="FP9" s="7">
        <v>97.166666666666657</v>
      </c>
      <c r="FQ9" s="7">
        <v>89.083333333333329</v>
      </c>
      <c r="FR9" s="7"/>
      <c r="FS9" s="7">
        <v>83.166666666666657</v>
      </c>
      <c r="FT9" s="7">
        <v>83</v>
      </c>
      <c r="FU9" s="7">
        <v>81</v>
      </c>
      <c r="FV9" s="7">
        <v>79.166666666666657</v>
      </c>
      <c r="FW9" s="7">
        <v>80.75</v>
      </c>
      <c r="FX9" s="7">
        <v>75.833333333333329</v>
      </c>
      <c r="FY9" s="7">
        <v>74.75</v>
      </c>
      <c r="FZ9" s="7">
        <v>93</v>
      </c>
      <c r="GA9" s="7">
        <v>93</v>
      </c>
      <c r="GB9" s="7">
        <v>69.083333333333329</v>
      </c>
      <c r="GC9" s="7">
        <v>59.833333333333329</v>
      </c>
      <c r="GD9" s="7">
        <v>67.25</v>
      </c>
      <c r="GE9" s="7">
        <v>62.75</v>
      </c>
      <c r="GG9" s="2">
        <v>75</v>
      </c>
      <c r="GH9" s="2">
        <v>82.5</v>
      </c>
      <c r="GI9" s="2">
        <v>82.5</v>
      </c>
      <c r="GJ9" s="2">
        <v>82.5</v>
      </c>
      <c r="GK9" s="2">
        <v>80.916666666666657</v>
      </c>
      <c r="GL9" s="2">
        <v>75</v>
      </c>
      <c r="GM9" s="2">
        <v>37.5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+SUM(D10:NC10)</f>
        <v>738785</v>
      </c>
      <c r="B10" s="16" t="s">
        <v>2263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FS10" s="7">
        <v>2459</v>
      </c>
      <c r="FT10" s="7">
        <v>5820</v>
      </c>
      <c r="FU10" s="7">
        <v>2934</v>
      </c>
      <c r="FV10" s="7">
        <v>3938</v>
      </c>
      <c r="FW10" s="7">
        <v>1765</v>
      </c>
      <c r="FX10" s="7">
        <v>4745</v>
      </c>
      <c r="FY10" s="7">
        <v>272</v>
      </c>
      <c r="FZ10" s="7">
        <v>2566</v>
      </c>
      <c r="GA10" s="7">
        <v>4410</v>
      </c>
      <c r="GB10" s="7">
        <v>6059</v>
      </c>
      <c r="GC10" s="7">
        <v>4683</v>
      </c>
      <c r="GD10" s="7">
        <v>3549</v>
      </c>
      <c r="GE10" s="7">
        <v>5552</v>
      </c>
      <c r="GF10" s="7"/>
      <c r="GG10" s="7">
        <v>4652</v>
      </c>
      <c r="GH10" s="7">
        <v>3901</v>
      </c>
      <c r="GI10" s="7">
        <v>4522</v>
      </c>
      <c r="GJ10" s="7">
        <v>2881</v>
      </c>
      <c r="GK10" s="7">
        <v>4104</v>
      </c>
      <c r="GL10" s="7">
        <v>4058</v>
      </c>
      <c r="GM10" s="7">
        <v>192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52.405081249150271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GM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>
        <f t="shared" si="19"/>
        <v>47.865853658536587</v>
      </c>
      <c r="FM11" s="7">
        <f t="shared" si="19"/>
        <v>58.88648648648649</v>
      </c>
      <c r="FN11" s="7">
        <f t="shared" si="19"/>
        <v>76.706341463414645</v>
      </c>
      <c r="FO11" s="7">
        <f t="shared" si="19"/>
        <v>55.837187789084183</v>
      </c>
      <c r="FP11" s="7">
        <f t="shared" si="19"/>
        <v>48.813036020583198</v>
      </c>
      <c r="FQ11" s="7">
        <f t="shared" si="19"/>
        <v>49.335827876520113</v>
      </c>
      <c r="FR11" s="7" t="str">
        <f t="shared" si="19"/>
        <v/>
      </c>
      <c r="FS11" s="7">
        <f t="shared" si="19"/>
        <v>29.567134268537078</v>
      </c>
      <c r="FT11" s="7">
        <f t="shared" si="19"/>
        <v>70.120481927710841</v>
      </c>
      <c r="FU11" s="7">
        <f t="shared" si="19"/>
        <v>36.222222222222221</v>
      </c>
      <c r="FV11" s="7">
        <f t="shared" si="19"/>
        <v>49.743157894736846</v>
      </c>
      <c r="FW11" s="7">
        <f t="shared" si="19"/>
        <v>21.857585139318886</v>
      </c>
      <c r="FX11" s="7">
        <f t="shared" si="19"/>
        <v>62.571428571428577</v>
      </c>
      <c r="FY11" s="7">
        <f t="shared" si="19"/>
        <v>3.6387959866220734</v>
      </c>
      <c r="FZ11" s="7">
        <f t="shared" si="19"/>
        <v>27.591397849462364</v>
      </c>
      <c r="GA11" s="7">
        <f t="shared" si="19"/>
        <v>47.41935483870968</v>
      </c>
      <c r="GB11" s="7">
        <f t="shared" si="19"/>
        <v>87.705669481302778</v>
      </c>
      <c r="GC11" s="7">
        <f t="shared" si="19"/>
        <v>78.267409470752099</v>
      </c>
      <c r="GD11" s="7">
        <f t="shared" si="19"/>
        <v>52.773234200743495</v>
      </c>
      <c r="GE11" s="7">
        <f t="shared" si="19"/>
        <v>88.478087649402397</v>
      </c>
      <c r="GF11" s="7" t="str">
        <f t="shared" si="19"/>
        <v/>
      </c>
      <c r="GG11" s="7">
        <f t="shared" si="19"/>
        <v>62.026666666666664</v>
      </c>
      <c r="GH11" s="7">
        <f t="shared" si="19"/>
        <v>47.284848484848482</v>
      </c>
      <c r="GI11" s="7">
        <f t="shared" si="19"/>
        <v>54.812121212121212</v>
      </c>
      <c r="GJ11" s="7">
        <f t="shared" si="19"/>
        <v>34.921212121212122</v>
      </c>
      <c r="GK11" s="7">
        <f t="shared" si="19"/>
        <v>50.718846549948516</v>
      </c>
      <c r="GL11" s="7">
        <f t="shared" si="19"/>
        <v>54.106666666666669</v>
      </c>
      <c r="GM11" s="7">
        <f t="shared" si="19"/>
        <v>5.12</v>
      </c>
      <c r="HR11" s="20"/>
      <c r="HS11" s="20"/>
      <c r="HT11" s="20"/>
      <c r="HU11" s="20"/>
      <c r="HV11" s="20"/>
      <c r="JI11" s="71"/>
      <c r="JJ11" s="116"/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>
      <c r="AA12" s="28"/>
      <c r="MS12"/>
      <c r="MT12"/>
      <c r="MU12"/>
    </row>
    <row r="13" spans="1:367" hidden="1">
      <c r="AA13" s="28"/>
      <c r="MS13"/>
      <c r="MT13"/>
      <c r="MU13"/>
    </row>
    <row r="14" spans="1:367" hidden="1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>
      <c r="B16" s="12" t="s">
        <v>55</v>
      </c>
      <c r="C16" s="8" t="s">
        <v>421</v>
      </c>
      <c r="D16" s="8" t="s">
        <v>1851</v>
      </c>
      <c r="E16" s="8" t="s">
        <v>1852</v>
      </c>
      <c r="F16" s="8" t="s">
        <v>1853</v>
      </c>
      <c r="G16" s="8" t="s">
        <v>1854</v>
      </c>
      <c r="H16" s="8" t="s">
        <v>1855</v>
      </c>
      <c r="I16" s="8" t="s">
        <v>1856</v>
      </c>
      <c r="J16" s="8" t="s">
        <v>1857</v>
      </c>
      <c r="K16" s="8" t="s">
        <v>1858</v>
      </c>
      <c r="L16" s="8" t="s">
        <v>1859</v>
      </c>
      <c r="M16" s="8" t="s">
        <v>1860</v>
      </c>
      <c r="N16" s="8" t="s">
        <v>1861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>
      <c r="GO20" s="20"/>
      <c r="GP20" s="20"/>
      <c r="GQ20" s="20"/>
      <c r="GR20" s="20"/>
      <c r="GS20" s="20"/>
      <c r="GT20" s="20"/>
      <c r="GU20" s="20"/>
      <c r="GV20" s="20"/>
    </row>
    <row r="21" spans="1:367" hidden="1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>
      <c r="AA24" s="28"/>
    </row>
    <row r="25" spans="1:367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FS26" s="8" t="s">
        <v>27</v>
      </c>
      <c r="FT26" s="8" t="s">
        <v>27</v>
      </c>
      <c r="FU26" s="8" t="s">
        <v>27</v>
      </c>
      <c r="FV26" s="8" t="s">
        <v>27</v>
      </c>
      <c r="FW26" s="8" t="s">
        <v>27</v>
      </c>
      <c r="FX26" s="8" t="s">
        <v>27</v>
      </c>
      <c r="FY26" s="8" t="s">
        <v>27</v>
      </c>
      <c r="FZ26" s="8" t="s">
        <v>28</v>
      </c>
      <c r="GA26" s="8" t="s">
        <v>28</v>
      </c>
      <c r="GB26" s="8" t="s">
        <v>28</v>
      </c>
      <c r="GC26" s="8" t="s">
        <v>28</v>
      </c>
      <c r="GD26" s="8" t="s">
        <v>28</v>
      </c>
      <c r="GE26" s="8" t="s">
        <v>28</v>
      </c>
      <c r="GF26" s="8" t="s">
        <v>28</v>
      </c>
      <c r="GG26" s="8" t="s">
        <v>29</v>
      </c>
      <c r="GH26" s="8" t="s">
        <v>29</v>
      </c>
      <c r="GI26" s="8" t="s">
        <v>29</v>
      </c>
      <c r="GJ26" s="8" t="s">
        <v>29</v>
      </c>
      <c r="GK26" s="8" t="s">
        <v>29</v>
      </c>
      <c r="GL26" s="8" t="s">
        <v>29</v>
      </c>
      <c r="GM26" s="8" t="s">
        <v>29</v>
      </c>
      <c r="GN26" s="8" t="s">
        <v>30</v>
      </c>
      <c r="GO26" s="8" t="s">
        <v>30</v>
      </c>
      <c r="GP26" s="8" t="s">
        <v>30</v>
      </c>
      <c r="GQ26" s="8" t="s">
        <v>30</v>
      </c>
      <c r="GR26" s="8" t="s">
        <v>30</v>
      </c>
      <c r="GS26" s="8" t="s">
        <v>30</v>
      </c>
      <c r="GT26" s="8" t="s">
        <v>30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>
      <c r="A27" s="13">
        <f>+SUM(C27:NC27)</f>
        <v>14097.583333333332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FL27" s="7">
        <v>82</v>
      </c>
      <c r="FM27" s="7">
        <v>92.5</v>
      </c>
      <c r="FN27" s="7">
        <v>85.416666666666657</v>
      </c>
      <c r="FO27" s="7">
        <v>90.083333333333329</v>
      </c>
      <c r="FP27" s="7">
        <v>97.166666666666657</v>
      </c>
      <c r="FQ27" s="7">
        <v>89.083333333333329</v>
      </c>
      <c r="FR27" s="7"/>
      <c r="FS27" s="7">
        <v>83.166666666666657</v>
      </c>
      <c r="FT27" s="7">
        <v>83</v>
      </c>
      <c r="FU27" s="7">
        <v>81</v>
      </c>
      <c r="FV27" s="7">
        <v>79.166666666666657</v>
      </c>
      <c r="FW27" s="7">
        <v>80.75</v>
      </c>
      <c r="FX27" s="7">
        <v>75.833333333333329</v>
      </c>
      <c r="FY27" s="7">
        <v>74.75</v>
      </c>
      <c r="FZ27" s="7">
        <v>93</v>
      </c>
      <c r="GA27" s="7">
        <v>93</v>
      </c>
      <c r="GB27" s="7">
        <v>69.083333333333329</v>
      </c>
      <c r="GC27" s="7">
        <v>59.833333333333329</v>
      </c>
      <c r="GD27" s="7">
        <v>67.25</v>
      </c>
      <c r="GE27" s="7">
        <v>62.75</v>
      </c>
      <c r="GG27" s="2">
        <v>75</v>
      </c>
      <c r="GH27" s="2">
        <v>82.5</v>
      </c>
      <c r="GI27" s="2">
        <v>82.5</v>
      </c>
      <c r="GJ27" s="2">
        <v>82.5</v>
      </c>
      <c r="GK27" s="2">
        <v>80.916666666666657</v>
      </c>
      <c r="GL27" s="2">
        <v>75</v>
      </c>
      <c r="GM27" s="2">
        <v>37.5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>
      <c r="A28" s="15">
        <f>+SUM(F28:NC28)</f>
        <v>23856330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FS28" s="7">
        <v>90121</v>
      </c>
      <c r="FT28" s="7">
        <v>218058</v>
      </c>
      <c r="FU28" s="7">
        <v>108208</v>
      </c>
      <c r="FV28" s="7">
        <v>168348</v>
      </c>
      <c r="FW28" s="7">
        <v>75082</v>
      </c>
      <c r="FX28" s="7">
        <v>154671</v>
      </c>
      <c r="FY28" s="7">
        <v>11408</v>
      </c>
      <c r="FZ28" s="7">
        <v>70876</v>
      </c>
      <c r="GA28" s="7">
        <v>176889</v>
      </c>
      <c r="GB28" s="7">
        <v>173648</v>
      </c>
      <c r="GC28" s="7">
        <v>216760</v>
      </c>
      <c r="GD28" s="7">
        <v>139205</v>
      </c>
      <c r="GE28" s="7">
        <v>178229</v>
      </c>
      <c r="GF28" s="7"/>
      <c r="GG28" s="7">
        <v>165826</v>
      </c>
      <c r="GH28" s="7">
        <v>158327</v>
      </c>
      <c r="GI28" s="7">
        <v>109589</v>
      </c>
      <c r="GJ28" s="7">
        <v>110692</v>
      </c>
      <c r="GK28" s="7">
        <v>160933</v>
      </c>
      <c r="GL28" s="7">
        <v>115357</v>
      </c>
      <c r="GM28" s="7">
        <v>9269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>
      <c r="A29" s="17">
        <f>+A28/A27</f>
        <v>1692.2283370081161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GL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>
        <f t="shared" si="408"/>
        <v>2023.8536585365853</v>
      </c>
      <c r="FM29" s="7">
        <f t="shared" si="408"/>
        <v>2708.5945945945946</v>
      </c>
      <c r="FN29" s="7">
        <f t="shared" si="408"/>
        <v>2498.6575609756101</v>
      </c>
      <c r="FO29" s="7">
        <f t="shared" si="408"/>
        <v>2196.2442183163739</v>
      </c>
      <c r="FP29" s="7">
        <f t="shared" si="408"/>
        <v>1608.9365351629503</v>
      </c>
      <c r="FQ29" s="7">
        <f t="shared" si="408"/>
        <v>1964.3854069223576</v>
      </c>
      <c r="FR29" s="7" t="str">
        <f t="shared" si="408"/>
        <v/>
      </c>
      <c r="FS29" s="7">
        <f t="shared" si="408"/>
        <v>1083.619238476954</v>
      </c>
      <c r="FT29" s="7">
        <f t="shared" si="408"/>
        <v>2627.2048192771085</v>
      </c>
      <c r="FU29" s="7">
        <f t="shared" si="408"/>
        <v>1335.9012345679012</v>
      </c>
      <c r="FV29" s="7">
        <f t="shared" si="408"/>
        <v>2126.5010526315791</v>
      </c>
      <c r="FW29" s="7">
        <f t="shared" si="408"/>
        <v>929.80804953560369</v>
      </c>
      <c r="FX29" s="7">
        <f t="shared" si="408"/>
        <v>2039.6175824175825</v>
      </c>
      <c r="FY29" s="7">
        <f t="shared" si="408"/>
        <v>152.61538461538461</v>
      </c>
      <c r="FZ29" s="7">
        <f t="shared" si="408"/>
        <v>762.10752688172045</v>
      </c>
      <c r="GA29" s="7">
        <f t="shared" si="408"/>
        <v>1902.0322580645161</v>
      </c>
      <c r="GB29" s="7">
        <f t="shared" si="408"/>
        <v>2513.6019300361882</v>
      </c>
      <c r="GC29" s="7">
        <f t="shared" si="408"/>
        <v>3622.7298050139279</v>
      </c>
      <c r="GD29" s="7">
        <f t="shared" si="408"/>
        <v>2069.9628252788102</v>
      </c>
      <c r="GE29" s="7">
        <f t="shared" si="408"/>
        <v>2840.3027888446213</v>
      </c>
      <c r="GF29" s="7" t="str">
        <f t="shared" si="408"/>
        <v/>
      </c>
      <c r="GG29" s="7">
        <f t="shared" si="408"/>
        <v>2211.0133333333333</v>
      </c>
      <c r="GH29" s="7">
        <f t="shared" si="408"/>
        <v>1919.1151515151514</v>
      </c>
      <c r="GI29" s="7">
        <f t="shared" si="408"/>
        <v>1328.3515151515151</v>
      </c>
      <c r="GJ29" s="7">
        <f t="shared" si="408"/>
        <v>1341.7212121212121</v>
      </c>
      <c r="GK29" s="7">
        <f t="shared" si="408"/>
        <v>1988.8733264675595</v>
      </c>
      <c r="GL29" s="7">
        <f t="shared" si="408"/>
        <v>1538.0933333333332</v>
      </c>
      <c r="GM29" s="7">
        <f t="shared" ref="GM29" si="409">+IFERROR(GM28/GM27,"")</f>
        <v>247.17333333333335</v>
      </c>
      <c r="HR29" s="20"/>
      <c r="HS29" s="20"/>
      <c r="HT29" s="20"/>
      <c r="HU29" s="20"/>
      <c r="HV29" s="20"/>
      <c r="JI29" s="71"/>
      <c r="JJ29" s="117"/>
      <c r="LY29" s="83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>
      <c r="G30" s="20"/>
      <c r="AA30" s="28"/>
    </row>
    <row r="31" spans="1:367">
      <c r="U31" s="20"/>
      <c r="AA31" s="28"/>
      <c r="AI31" s="20"/>
    </row>
    <row r="32" spans="1:367">
      <c r="U32" s="20"/>
      <c r="AA32" s="28"/>
      <c r="AI32" s="20"/>
    </row>
    <row r="33" spans="21:36">
      <c r="U33" s="20"/>
      <c r="AA33" s="28"/>
      <c r="AI33" s="20"/>
    </row>
    <row r="34" spans="21:36">
      <c r="AA34" s="28"/>
    </row>
    <row r="35" spans="21:36">
      <c r="AA35" s="28"/>
      <c r="AJ35" s="20"/>
    </row>
    <row r="36" spans="21:36">
      <c r="AA36" s="28"/>
      <c r="AJ36" s="20"/>
    </row>
    <row r="37" spans="21:36">
      <c r="AA37" s="28"/>
      <c r="AJ37" s="20"/>
    </row>
    <row r="38" spans="21:36">
      <c r="AA38" s="28"/>
    </row>
    <row r="39" spans="21:36">
      <c r="AA39" s="28"/>
    </row>
    <row r="40" spans="21:36">
      <c r="AA40" s="28"/>
    </row>
    <row r="41" spans="21:36">
      <c r="AA41" s="28"/>
    </row>
    <row r="42" spans="21:36">
      <c r="AA42" s="28"/>
    </row>
    <row r="43" spans="21:36">
      <c r="AA43" s="28"/>
    </row>
    <row r="44" spans="21:36">
      <c r="AA44" s="28"/>
    </row>
    <row r="45" spans="21:36">
      <c r="AA45" s="28"/>
    </row>
    <row r="46" spans="21:36">
      <c r="AA46" s="28"/>
    </row>
    <row r="47" spans="21:36">
      <c r="AA47" s="28"/>
    </row>
    <row r="48" spans="21:36">
      <c r="AA48" s="28"/>
    </row>
    <row r="49" spans="27:27">
      <c r="AA49" s="28"/>
    </row>
    <row r="50" spans="27:27">
      <c r="AA50" s="28"/>
    </row>
    <row r="51" spans="27:27">
      <c r="AA51" s="28"/>
    </row>
    <row r="52" spans="27:27">
      <c r="AA52" s="28"/>
    </row>
    <row r="53" spans="27:27">
      <c r="AA53" s="28"/>
    </row>
    <row r="54" spans="27:27">
      <c r="AA54" s="28"/>
    </row>
    <row r="55" spans="27:27">
      <c r="AA55" s="28"/>
    </row>
    <row r="56" spans="27:27">
      <c r="AA56" s="28"/>
    </row>
    <row r="57" spans="27:27">
      <c r="AA57" s="28"/>
    </row>
    <row r="58" spans="27:27">
      <c r="AA58" s="28"/>
    </row>
    <row r="59" spans="27:27">
      <c r="AA59" s="28"/>
    </row>
    <row r="60" spans="27:27">
      <c r="AA60" s="28"/>
    </row>
    <row r="61" spans="27:27">
      <c r="AA61" s="28"/>
    </row>
    <row r="62" spans="27:27">
      <c r="AA62" s="28"/>
    </row>
    <row r="63" spans="27:27">
      <c r="AA63" s="28"/>
    </row>
    <row r="64" spans="27:27">
      <c r="AA64" s="28"/>
    </row>
    <row r="65" spans="27:27">
      <c r="AA65" s="28"/>
    </row>
    <row r="66" spans="27:27">
      <c r="AA66" s="28"/>
    </row>
    <row r="67" spans="27:27">
      <c r="AA67" s="28"/>
    </row>
    <row r="68" spans="27:27">
      <c r="AA68" s="28"/>
    </row>
    <row r="69" spans="27:27">
      <c r="AA69" s="28"/>
    </row>
    <row r="70" spans="27:27">
      <c r="AA70" s="28"/>
    </row>
    <row r="71" spans="27:27">
      <c r="AA71" s="28"/>
    </row>
    <row r="72" spans="27:27">
      <c r="AA72" s="28"/>
    </row>
    <row r="73" spans="27:27">
      <c r="AA73" s="28"/>
    </row>
    <row r="74" spans="27:27">
      <c r="AA74" s="28"/>
    </row>
    <row r="75" spans="27:27">
      <c r="AA75" s="28"/>
    </row>
    <row r="76" spans="27:27">
      <c r="AA76" s="28"/>
    </row>
    <row r="77" spans="27:27">
      <c r="AA77" s="28"/>
    </row>
    <row r="78" spans="27:27">
      <c r="AA78" s="28"/>
    </row>
    <row r="79" spans="27:27">
      <c r="AA79" s="28"/>
    </row>
    <row r="80" spans="27:27">
      <c r="AA80" s="28"/>
    </row>
    <row r="81" spans="27:27">
      <c r="AA81" s="28"/>
    </row>
    <row r="82" spans="27:27">
      <c r="AA82" s="28"/>
    </row>
    <row r="83" spans="27:27">
      <c r="AA83" s="28"/>
    </row>
    <row r="84" spans="27:27">
      <c r="AA84" s="28"/>
    </row>
    <row r="85" spans="27:27">
      <c r="AA85" s="28"/>
    </row>
    <row r="86" spans="27:27">
      <c r="AA86" s="28"/>
    </row>
    <row r="87" spans="27:27">
      <c r="AA87" s="28"/>
    </row>
    <row r="88" spans="27:27">
      <c r="AA88" s="28"/>
    </row>
    <row r="89" spans="27:27">
      <c r="AA89" s="28"/>
    </row>
    <row r="90" spans="27:27">
      <c r="AA90" s="28"/>
    </row>
    <row r="91" spans="27:27">
      <c r="AA91" s="28"/>
    </row>
    <row r="92" spans="27:27">
      <c r="AA92" s="28"/>
    </row>
    <row r="93" spans="27:27">
      <c r="AA93" s="28"/>
    </row>
    <row r="94" spans="27:27">
      <c r="AA94" s="28"/>
    </row>
    <row r="95" spans="27:27">
      <c r="AA95" s="28"/>
    </row>
    <row r="96" spans="27:27">
      <c r="AA96" s="28"/>
    </row>
    <row r="97" spans="27:27">
      <c r="AA97" s="28"/>
    </row>
    <row r="98" spans="27:27">
      <c r="AA98" s="28"/>
    </row>
    <row r="99" spans="27:27">
      <c r="AA99" s="28"/>
    </row>
    <row r="100" spans="27:27">
      <c r="AA100" s="28"/>
    </row>
    <row r="101" spans="27:27">
      <c r="AA101" s="28"/>
    </row>
    <row r="102" spans="27:27">
      <c r="AA102" s="28"/>
    </row>
    <row r="103" spans="27:27">
      <c r="AA103" s="28"/>
    </row>
    <row r="104" spans="27:27">
      <c r="AA104" s="28"/>
    </row>
    <row r="105" spans="27:27">
      <c r="AA105" s="28"/>
    </row>
    <row r="106" spans="27:27">
      <c r="AA106" s="28"/>
    </row>
    <row r="107" spans="27:27">
      <c r="AA107" s="28"/>
    </row>
    <row r="108" spans="27:27">
      <c r="AA108" s="28"/>
    </row>
    <row r="109" spans="27:27">
      <c r="AA109" s="28"/>
    </row>
    <row r="110" spans="27:27">
      <c r="AA110" s="28"/>
    </row>
    <row r="111" spans="27:27">
      <c r="AA111" s="28"/>
    </row>
    <row r="112" spans="27:27">
      <c r="AA112" s="28"/>
    </row>
    <row r="113" spans="27:27">
      <c r="AA113" s="28"/>
    </row>
    <row r="114" spans="27:27">
      <c r="AA114" s="28"/>
    </row>
    <row r="115" spans="27:27">
      <c r="AA115" s="28"/>
    </row>
    <row r="116" spans="27:27">
      <c r="AA116" s="28"/>
    </row>
    <row r="117" spans="27:27">
      <c r="AA117" s="28"/>
    </row>
    <row r="118" spans="27:27">
      <c r="AA118" s="28"/>
    </row>
    <row r="119" spans="27:27">
      <c r="AA119" s="28"/>
    </row>
    <row r="120" spans="27:27">
      <c r="AA120" s="28"/>
    </row>
    <row r="121" spans="27:27">
      <c r="AA121" s="28"/>
    </row>
    <row r="122" spans="27:27">
      <c r="AA122" s="28"/>
    </row>
    <row r="123" spans="27:27">
      <c r="AA123" s="28"/>
    </row>
    <row r="124" spans="27:27">
      <c r="AA124" s="28"/>
    </row>
    <row r="125" spans="27:27">
      <c r="AA125" s="28"/>
    </row>
    <row r="126" spans="27:27">
      <c r="AA126" s="28"/>
    </row>
    <row r="127" spans="27:27">
      <c r="AA127" s="28"/>
    </row>
    <row r="128" spans="27:27">
      <c r="AA128" s="28"/>
    </row>
    <row r="129" spans="27:27">
      <c r="AA129" s="28"/>
    </row>
    <row r="130" spans="27:27">
      <c r="AA130" s="28"/>
    </row>
    <row r="131" spans="27:27">
      <c r="AA131" s="28"/>
    </row>
    <row r="132" spans="27:27">
      <c r="AA132" s="28"/>
    </row>
    <row r="133" spans="27:27">
      <c r="AA133" s="28"/>
    </row>
    <row r="134" spans="27:27">
      <c r="AA134" s="28"/>
    </row>
    <row r="135" spans="27:27">
      <c r="AA135" s="28"/>
    </row>
    <row r="136" spans="27:27">
      <c r="AA136" s="28"/>
    </row>
    <row r="137" spans="27:27">
      <c r="AA137" s="28"/>
    </row>
    <row r="138" spans="27:27">
      <c r="AA138" s="28"/>
    </row>
    <row r="139" spans="27:27">
      <c r="AA139" s="28"/>
    </row>
    <row r="140" spans="27:27">
      <c r="AA140" s="28"/>
    </row>
    <row r="141" spans="27:27">
      <c r="AA141" s="28"/>
    </row>
    <row r="142" spans="27:27">
      <c r="AA142" s="28"/>
    </row>
    <row r="143" spans="27:27">
      <c r="AA143" s="28"/>
    </row>
    <row r="144" spans="27:27">
      <c r="AA144" s="28"/>
    </row>
    <row r="145" spans="27:27">
      <c r="AA145" s="28"/>
    </row>
    <row r="146" spans="27:27">
      <c r="AA146" s="28"/>
    </row>
    <row r="147" spans="27:27">
      <c r="AA147" s="28"/>
    </row>
    <row r="148" spans="27:27">
      <c r="AA148" s="28"/>
    </row>
    <row r="149" spans="27:27">
      <c r="AA149" s="28"/>
    </row>
    <row r="150" spans="27:27">
      <c r="AA150" s="28"/>
    </row>
    <row r="151" spans="27:27">
      <c r="AA151" s="28"/>
    </row>
    <row r="152" spans="27:27">
      <c r="AA152" s="28"/>
    </row>
    <row r="153" spans="27:27">
      <c r="AA153" s="28"/>
    </row>
    <row r="154" spans="27:27">
      <c r="AA154" s="28"/>
    </row>
    <row r="155" spans="27:27">
      <c r="AA155" s="28"/>
    </row>
    <row r="156" spans="27:27">
      <c r="AA156" s="28"/>
    </row>
    <row r="157" spans="27:27">
      <c r="AA157" s="28"/>
    </row>
    <row r="158" spans="27:27">
      <c r="AA158" s="28"/>
    </row>
    <row r="159" spans="27:27">
      <c r="AA159" s="28"/>
    </row>
    <row r="160" spans="27:27">
      <c r="AA160" s="28"/>
    </row>
    <row r="161" spans="27:27">
      <c r="AA161" s="28"/>
    </row>
    <row r="162" spans="27:27">
      <c r="AA162" s="28"/>
    </row>
    <row r="163" spans="27:27">
      <c r="AA163" s="28"/>
    </row>
    <row r="164" spans="27:27">
      <c r="AA164" s="28"/>
    </row>
    <row r="165" spans="27:27">
      <c r="AA165" s="28"/>
    </row>
    <row r="166" spans="27:27">
      <c r="AA166" s="28"/>
    </row>
    <row r="167" spans="27:27">
      <c r="AA167" s="28"/>
    </row>
    <row r="168" spans="27:27">
      <c r="AA168" s="28"/>
    </row>
    <row r="169" spans="27:27">
      <c r="AA169" s="28"/>
    </row>
    <row r="170" spans="27:27">
      <c r="AA170" s="28"/>
    </row>
    <row r="171" spans="27:27">
      <c r="AA171" s="28"/>
    </row>
    <row r="172" spans="27:27">
      <c r="AA172" s="28"/>
    </row>
    <row r="173" spans="27:27">
      <c r="AA173" s="28"/>
    </row>
    <row r="174" spans="27:27">
      <c r="AA174" s="28"/>
    </row>
    <row r="175" spans="27:27">
      <c r="AA175" s="28"/>
    </row>
    <row r="176" spans="27:27">
      <c r="AA176" s="28"/>
    </row>
    <row r="177" spans="27:27">
      <c r="AA177" s="28"/>
    </row>
    <row r="178" spans="27:27">
      <c r="AA178" s="28"/>
    </row>
    <row r="179" spans="27:27">
      <c r="AA179" s="28"/>
    </row>
    <row r="180" spans="27:27">
      <c r="AA180" s="28"/>
    </row>
    <row r="181" spans="27:27">
      <c r="AA181" s="28"/>
    </row>
    <row r="182" spans="27:27">
      <c r="AA182" s="28"/>
    </row>
    <row r="183" spans="27:27">
      <c r="AA183" s="28"/>
    </row>
    <row r="184" spans="27:27">
      <c r="AA184" s="28"/>
    </row>
    <row r="185" spans="27:27">
      <c r="AA185" s="28"/>
    </row>
    <row r="186" spans="27:27">
      <c r="AA186" s="28"/>
    </row>
    <row r="187" spans="27:27">
      <c r="AA187" s="28"/>
    </row>
    <row r="188" spans="27:27">
      <c r="AA188" s="28"/>
    </row>
    <row r="189" spans="27:27">
      <c r="AA189" s="28"/>
    </row>
    <row r="190" spans="27:27">
      <c r="AA190" s="28"/>
    </row>
    <row r="191" spans="27:27">
      <c r="AA191" s="28"/>
    </row>
    <row r="192" spans="27:27">
      <c r="AA192" s="28"/>
    </row>
    <row r="193" spans="27:27">
      <c r="AA193" s="28"/>
    </row>
    <row r="194" spans="27:27">
      <c r="AA194" s="28"/>
    </row>
    <row r="195" spans="27:27">
      <c r="AA195" s="28"/>
    </row>
    <row r="196" spans="27:27">
      <c r="AA196" s="28"/>
    </row>
    <row r="197" spans="27:27">
      <c r="AA197" s="28"/>
    </row>
    <row r="198" spans="27:27">
      <c r="AA198" s="28"/>
    </row>
    <row r="199" spans="27:27">
      <c r="AA199" s="28"/>
    </row>
    <row r="200" spans="27:27">
      <c r="AA200" s="28"/>
    </row>
    <row r="201" spans="27:27">
      <c r="AA201" s="28"/>
    </row>
    <row r="202" spans="27:27">
      <c r="AA202" s="28"/>
    </row>
    <row r="203" spans="27:27">
      <c r="AA203" s="28"/>
    </row>
    <row r="204" spans="27:27">
      <c r="AA204" s="28"/>
    </row>
    <row r="205" spans="27:27">
      <c r="AA205" s="28"/>
    </row>
    <row r="206" spans="27:27">
      <c r="AA206" s="28"/>
    </row>
    <row r="207" spans="27:27">
      <c r="AA207" s="28"/>
    </row>
    <row r="208" spans="27:27">
      <c r="AA208" s="28"/>
    </row>
    <row r="209" spans="27:27">
      <c r="AA209" s="28"/>
    </row>
    <row r="210" spans="27:27">
      <c r="AA210" s="28"/>
    </row>
    <row r="211" spans="27:27">
      <c r="AA211" s="28"/>
    </row>
    <row r="212" spans="27:27">
      <c r="AA212" s="28"/>
    </row>
    <row r="213" spans="27:27">
      <c r="AA213" s="28"/>
    </row>
    <row r="214" spans="27:27">
      <c r="AA214" s="28"/>
    </row>
    <row r="215" spans="27:27">
      <c r="AA215" s="28"/>
    </row>
    <row r="216" spans="27:27">
      <c r="AA216" s="28"/>
    </row>
    <row r="217" spans="27:27">
      <c r="AA217" s="28"/>
    </row>
    <row r="218" spans="27:27">
      <c r="AA218" s="28"/>
    </row>
    <row r="219" spans="27:27">
      <c r="AA219" s="28"/>
    </row>
    <row r="220" spans="27:27">
      <c r="AA220" s="28"/>
    </row>
    <row r="221" spans="27:27">
      <c r="AA221" s="28"/>
    </row>
    <row r="222" spans="27:27">
      <c r="AA222" s="28"/>
    </row>
    <row r="223" spans="27:27">
      <c r="AA223" s="28"/>
    </row>
    <row r="224" spans="27:27">
      <c r="AA224" s="28"/>
    </row>
    <row r="225" spans="27:27">
      <c r="AA225" s="28"/>
    </row>
    <row r="226" spans="27:27">
      <c r="AA226" s="28"/>
    </row>
    <row r="227" spans="27:27">
      <c r="AA227" s="28"/>
    </row>
    <row r="228" spans="27:27">
      <c r="AA228" s="28"/>
    </row>
    <row r="229" spans="27:27">
      <c r="AA229" s="28"/>
    </row>
    <row r="230" spans="27:27">
      <c r="AA230" s="28"/>
    </row>
    <row r="231" spans="27:27">
      <c r="AA231" s="28"/>
    </row>
    <row r="232" spans="27:27">
      <c r="AA232" s="28"/>
    </row>
    <row r="233" spans="27:27">
      <c r="AA233" s="28"/>
    </row>
    <row r="234" spans="27:27">
      <c r="AA234" s="28"/>
    </row>
    <row r="235" spans="27:27">
      <c r="AA235" s="28"/>
    </row>
    <row r="236" spans="27:27">
      <c r="AA236" s="28"/>
    </row>
    <row r="237" spans="27:27">
      <c r="AA237" s="28"/>
    </row>
    <row r="238" spans="27:27">
      <c r="AA238" s="28"/>
    </row>
    <row r="239" spans="27:27">
      <c r="AA239" s="28"/>
    </row>
    <row r="240" spans="27:27">
      <c r="AA240" s="28"/>
    </row>
    <row r="241" spans="27:27">
      <c r="AA241" s="28"/>
    </row>
    <row r="242" spans="27:27">
      <c r="AA242" s="28"/>
    </row>
    <row r="243" spans="27:27">
      <c r="AA243" s="28"/>
    </row>
    <row r="244" spans="27:27">
      <c r="AA244" s="28"/>
    </row>
    <row r="245" spans="27:27">
      <c r="AA245" s="28"/>
    </row>
    <row r="246" spans="27:27">
      <c r="AA246" s="28"/>
    </row>
    <row r="247" spans="27:27">
      <c r="AA247" s="28"/>
    </row>
    <row r="248" spans="27:27">
      <c r="AA248" s="28"/>
    </row>
    <row r="249" spans="27:27">
      <c r="AA249" s="28"/>
    </row>
    <row r="250" spans="27:27">
      <c r="AA250" s="28"/>
    </row>
    <row r="251" spans="27:27">
      <c r="AA251" s="28"/>
    </row>
    <row r="252" spans="27:27">
      <c r="AA252" s="28"/>
    </row>
    <row r="253" spans="27:27">
      <c r="AA253" s="28"/>
    </row>
    <row r="254" spans="27:27">
      <c r="AA254" s="28"/>
    </row>
    <row r="255" spans="27:27">
      <c r="AA255" s="28"/>
    </row>
    <row r="256" spans="27:27">
      <c r="AA256" s="28"/>
    </row>
    <row r="257" spans="27:27">
      <c r="AA257" s="28"/>
    </row>
    <row r="258" spans="27:27">
      <c r="AA258" s="28"/>
    </row>
    <row r="259" spans="27:27">
      <c r="AA259" s="28"/>
    </row>
    <row r="260" spans="27:27">
      <c r="AA260" s="28"/>
    </row>
    <row r="261" spans="27:27">
      <c r="AA261" s="28"/>
    </row>
    <row r="262" spans="27:27">
      <c r="AA262" s="28"/>
    </row>
    <row r="263" spans="27:27">
      <c r="AA263" s="28"/>
    </row>
    <row r="264" spans="27:27">
      <c r="AA264" s="28"/>
    </row>
    <row r="265" spans="27:27">
      <c r="AA265" s="28"/>
    </row>
    <row r="266" spans="27:27">
      <c r="AA266" s="28"/>
    </row>
    <row r="267" spans="27:27">
      <c r="AA267" s="28"/>
    </row>
    <row r="268" spans="27:27">
      <c r="AA268" s="28"/>
    </row>
    <row r="269" spans="27:27">
      <c r="AA269" s="28"/>
    </row>
    <row r="270" spans="27:27">
      <c r="AA270" s="28"/>
    </row>
    <row r="271" spans="27:27">
      <c r="AA271" s="28"/>
    </row>
    <row r="272" spans="27:27">
      <c r="AA272" s="28"/>
    </row>
    <row r="273" spans="27:27">
      <c r="AA273" s="28"/>
    </row>
    <row r="274" spans="27:27">
      <c r="AA274" s="28"/>
    </row>
    <row r="275" spans="27:27">
      <c r="AA275" s="28"/>
    </row>
    <row r="276" spans="27:27">
      <c r="AA276" s="28"/>
    </row>
    <row r="277" spans="27:27">
      <c r="AA277" s="28"/>
    </row>
    <row r="278" spans="27:27">
      <c r="AA278" s="28"/>
    </row>
    <row r="279" spans="27:27">
      <c r="AA279" s="28"/>
    </row>
    <row r="280" spans="27:27">
      <c r="AA280" s="28"/>
    </row>
    <row r="281" spans="27:27">
      <c r="AA281" s="28"/>
    </row>
    <row r="282" spans="27:27">
      <c r="AA282" s="28"/>
    </row>
    <row r="283" spans="27:27">
      <c r="AA283" s="28"/>
    </row>
    <row r="284" spans="27:27">
      <c r="AA284" s="28"/>
    </row>
    <row r="285" spans="27:27">
      <c r="AA285" s="28"/>
    </row>
    <row r="286" spans="27:27">
      <c r="AA286" s="28"/>
    </row>
    <row r="287" spans="27:27">
      <c r="AA287" s="28"/>
    </row>
    <row r="288" spans="27:27">
      <c r="AA288" s="28"/>
    </row>
    <row r="289" spans="27:27">
      <c r="AA289" s="28"/>
    </row>
    <row r="290" spans="27:27">
      <c r="AA290" s="28"/>
    </row>
    <row r="291" spans="27:27">
      <c r="AA291" s="28"/>
    </row>
    <row r="292" spans="27:27">
      <c r="AA292" s="28"/>
    </row>
    <row r="293" spans="27:27">
      <c r="AA293" s="28"/>
    </row>
    <row r="294" spans="27:27">
      <c r="AA294" s="28"/>
    </row>
    <row r="295" spans="27:27">
      <c r="AA295" s="28"/>
    </row>
    <row r="296" spans="27:27">
      <c r="AA296" s="28"/>
    </row>
    <row r="297" spans="27:27">
      <c r="AA297" s="28"/>
    </row>
    <row r="298" spans="27:27">
      <c r="AA298" s="28"/>
    </row>
    <row r="299" spans="27:27">
      <c r="AA299" s="28"/>
    </row>
    <row r="300" spans="27:27">
      <c r="AA300" s="28"/>
    </row>
    <row r="301" spans="27:27">
      <c r="AA301" s="28"/>
    </row>
    <row r="302" spans="27:27">
      <c r="AA302" s="28"/>
    </row>
    <row r="303" spans="27:27">
      <c r="AA303" s="28"/>
    </row>
    <row r="304" spans="27:27">
      <c r="AA304" s="28"/>
    </row>
    <row r="305" spans="27:27">
      <c r="AA305" s="28"/>
    </row>
    <row r="306" spans="27:27">
      <c r="AA306" s="28"/>
    </row>
    <row r="307" spans="27:27">
      <c r="AA307" s="28"/>
    </row>
    <row r="308" spans="27:27">
      <c r="AA308" s="28"/>
    </row>
    <row r="309" spans="27:27">
      <c r="AA309" s="28"/>
    </row>
    <row r="310" spans="27:27">
      <c r="AA310" s="28"/>
    </row>
    <row r="311" spans="27:27">
      <c r="AA311" s="28"/>
    </row>
    <row r="312" spans="27:27">
      <c r="AA312" s="28"/>
    </row>
    <row r="313" spans="27:27">
      <c r="AA313" s="28"/>
    </row>
    <row r="314" spans="27:27">
      <c r="AA314" s="28"/>
    </row>
    <row r="315" spans="27:27">
      <c r="AA315" s="28"/>
    </row>
    <row r="316" spans="27:27">
      <c r="AA316" s="28"/>
    </row>
    <row r="317" spans="27:27">
      <c r="AA317" s="28"/>
    </row>
    <row r="318" spans="27:27">
      <c r="AA318" s="28"/>
    </row>
    <row r="319" spans="27:27">
      <c r="AA319" s="28"/>
    </row>
    <row r="320" spans="27:27">
      <c r="AA320" s="28"/>
    </row>
    <row r="321" spans="27:27">
      <c r="AA321" s="28"/>
    </row>
    <row r="322" spans="27:27">
      <c r="AA322" s="28"/>
    </row>
    <row r="323" spans="27:27">
      <c r="AA323" s="28"/>
    </row>
    <row r="324" spans="27:27">
      <c r="AA324" s="28"/>
    </row>
    <row r="325" spans="27:27">
      <c r="AA325" s="28"/>
    </row>
    <row r="326" spans="27:27">
      <c r="AA326" s="28"/>
    </row>
    <row r="327" spans="27:27">
      <c r="AA327" s="28"/>
    </row>
    <row r="328" spans="27:27">
      <c r="AA328" s="28"/>
    </row>
    <row r="329" spans="27:27">
      <c r="AA329" s="28"/>
    </row>
    <row r="330" spans="27:27">
      <c r="AA330" s="28"/>
    </row>
    <row r="331" spans="27:27">
      <c r="AA331" s="28"/>
    </row>
    <row r="332" spans="27:27">
      <c r="AA332" s="28"/>
    </row>
    <row r="333" spans="27:27">
      <c r="AA333" s="28"/>
    </row>
    <row r="334" spans="27:27">
      <c r="AA334" s="28"/>
    </row>
    <row r="335" spans="27:27">
      <c r="AA335" s="28"/>
    </row>
    <row r="336" spans="27:27">
      <c r="AA336" s="28"/>
    </row>
    <row r="337" spans="27:27">
      <c r="AA337" s="28"/>
    </row>
    <row r="338" spans="27:27">
      <c r="AA338" s="28"/>
    </row>
    <row r="339" spans="27:27">
      <c r="AA339" s="28"/>
    </row>
    <row r="340" spans="27:27">
      <c r="AA340" s="28"/>
    </row>
    <row r="341" spans="27:27">
      <c r="AA341" s="28"/>
    </row>
    <row r="342" spans="27:27">
      <c r="AA342" s="28"/>
    </row>
    <row r="343" spans="27:27">
      <c r="AA343" s="28"/>
    </row>
    <row r="344" spans="27:27">
      <c r="AA344" s="28"/>
    </row>
    <row r="345" spans="27:27">
      <c r="AA345" s="28"/>
    </row>
    <row r="346" spans="27:27">
      <c r="AA346" s="28"/>
    </row>
    <row r="347" spans="27:27">
      <c r="AA347" s="28"/>
    </row>
    <row r="348" spans="27:27">
      <c r="AA348" s="28"/>
    </row>
    <row r="349" spans="27:27">
      <c r="AA349" s="28"/>
    </row>
    <row r="350" spans="27:27">
      <c r="AA350" s="28"/>
    </row>
    <row r="351" spans="27:27">
      <c r="AA351" s="28"/>
    </row>
    <row r="352" spans="27:27">
      <c r="AA352" s="28"/>
    </row>
    <row r="353" spans="27:27">
      <c r="AA353" s="28"/>
    </row>
    <row r="354" spans="27:27">
      <c r="AA354" s="28"/>
    </row>
    <row r="355" spans="27:27">
      <c r="AA355" s="28"/>
    </row>
    <row r="356" spans="27:27">
      <c r="AA356" s="28"/>
    </row>
    <row r="357" spans="27:27">
      <c r="AA357" s="28"/>
    </row>
    <row r="358" spans="27:27">
      <c r="AA358" s="28"/>
    </row>
    <row r="359" spans="27:27">
      <c r="AA359" s="28"/>
    </row>
    <row r="360" spans="27:27">
      <c r="AA360" s="28"/>
    </row>
    <row r="361" spans="27:27">
      <c r="AA361" s="28"/>
    </row>
    <row r="362" spans="27:27">
      <c r="AA362" s="28"/>
    </row>
    <row r="363" spans="27:27">
      <c r="AA363" s="28"/>
    </row>
    <row r="364" spans="27:27">
      <c r="AA364" s="28"/>
    </row>
    <row r="365" spans="27:27">
      <c r="AA365" s="28"/>
    </row>
    <row r="366" spans="27:27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JF1" workbookViewId="0">
      <selection activeCell="JM12" sqref="JM12:JM15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SUM(4848,O3:NC3)</f>
        <v>124000.83333333336</v>
      </c>
      <c r="B3" s="14" t="s">
        <v>427</v>
      </c>
      <c r="C3" s="103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2"/>
      <c r="CN3" s="102"/>
      <c r="CO3" s="102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/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46">
        <v>195116</v>
      </c>
      <c r="JO4" s="46">
        <v>129595</v>
      </c>
      <c r="JP4" s="46">
        <v>98206</v>
      </c>
      <c r="JQ4" s="46">
        <v>174860</v>
      </c>
      <c r="JR4" s="46">
        <v>157041</v>
      </c>
      <c r="JS4" s="46">
        <v>64784</v>
      </c>
      <c r="JT4" s="46">
        <v>57454</v>
      </c>
      <c r="JU4" s="46">
        <v>164232</v>
      </c>
      <c r="JV4" s="46">
        <v>168022</v>
      </c>
      <c r="JW4" s="46">
        <v>195745</v>
      </c>
      <c r="JX4" s="46">
        <v>249652</v>
      </c>
      <c r="JY4" s="46">
        <v>219124</v>
      </c>
      <c r="JZ4" s="46">
        <v>110985</v>
      </c>
      <c r="KA4" s="46">
        <v>50224</v>
      </c>
      <c r="KB4" s="46">
        <v>223013</v>
      </c>
      <c r="KC4" s="46">
        <v>128066</v>
      </c>
      <c r="KD4" s="46">
        <v>129436</v>
      </c>
      <c r="KE4" s="46">
        <v>146506</v>
      </c>
      <c r="KF4" s="46">
        <v>155426</v>
      </c>
      <c r="KG4" s="46">
        <v>124207</v>
      </c>
      <c r="KH4" s="46">
        <v>156435</v>
      </c>
      <c r="KI4" s="46">
        <v>178306</v>
      </c>
      <c r="KJ4" s="46">
        <v>237565</v>
      </c>
      <c r="KK4" s="46">
        <v>193397</v>
      </c>
      <c r="KL4" s="46">
        <v>185659</v>
      </c>
      <c r="KM4" s="46">
        <v>149235</v>
      </c>
      <c r="KN4" s="46">
        <v>66409</v>
      </c>
      <c r="KO4" s="46">
        <v>104801</v>
      </c>
      <c r="KP4" s="46">
        <v>130494</v>
      </c>
      <c r="KQ4" s="46">
        <v>146547</v>
      </c>
      <c r="KR4" s="46">
        <v>63102</v>
      </c>
      <c r="KS4" s="46">
        <v>213493</v>
      </c>
      <c r="KT4" s="46">
        <v>272833</v>
      </c>
      <c r="KU4" s="46">
        <v>201068</v>
      </c>
      <c r="KV4" s="46">
        <v>78868</v>
      </c>
      <c r="KW4" s="46">
        <v>258043</v>
      </c>
      <c r="KX4" s="46">
        <v>248811</v>
      </c>
      <c r="KY4" s="46">
        <v>166087</v>
      </c>
      <c r="KZ4" s="46">
        <v>88606</v>
      </c>
      <c r="LA4" s="46">
        <v>136393</v>
      </c>
      <c r="LB4" s="46">
        <v>78885</v>
      </c>
      <c r="LC4" s="46">
        <v>40145</v>
      </c>
      <c r="LD4" s="46">
        <v>78491</v>
      </c>
      <c r="LE4" s="46">
        <v>163946</v>
      </c>
      <c r="LF4" s="46">
        <v>128559</v>
      </c>
      <c r="LG4" s="46">
        <v>129403</v>
      </c>
      <c r="LH4" s="46">
        <v>114360</v>
      </c>
      <c r="LI4" s="46">
        <v>94009</v>
      </c>
      <c r="LJ4" s="46">
        <v>32899</v>
      </c>
      <c r="LK4" s="46">
        <v>115188</v>
      </c>
      <c r="LL4" s="46">
        <v>147759</v>
      </c>
      <c r="LM4" s="46">
        <v>169057</v>
      </c>
      <c r="LN4" s="46">
        <v>182159</v>
      </c>
      <c r="LO4" s="46">
        <v>170261</v>
      </c>
      <c r="LP4" s="46">
        <v>113168</v>
      </c>
      <c r="LQ4" s="46">
        <v>70644</v>
      </c>
      <c r="LR4" s="46">
        <v>106493</v>
      </c>
      <c r="LS4" s="46">
        <v>183930</v>
      </c>
      <c r="LT4" s="46">
        <v>170512</v>
      </c>
      <c r="LU4" s="46">
        <v>165358</v>
      </c>
      <c r="LV4" s="46">
        <v>147600</v>
      </c>
      <c r="LW4" s="46">
        <v>123110</v>
      </c>
      <c r="LX4" s="46">
        <v>62144</v>
      </c>
      <c r="LY4" s="46">
        <v>136644</v>
      </c>
      <c r="LZ4" s="46">
        <v>201621</v>
      </c>
      <c r="MA4" s="46">
        <v>186920</v>
      </c>
      <c r="MB4" s="46">
        <v>164351</v>
      </c>
      <c r="MC4" s="46">
        <v>163046</v>
      </c>
      <c r="MD4" s="46">
        <v>121677</v>
      </c>
      <c r="ME4" s="46">
        <v>55241</v>
      </c>
      <c r="MF4" s="46">
        <v>133857</v>
      </c>
      <c r="MG4" s="46">
        <v>163810</v>
      </c>
      <c r="MH4" s="46">
        <v>184372</v>
      </c>
      <c r="MI4" s="46">
        <v>151751</v>
      </c>
      <c r="MJ4" s="46">
        <v>163407</v>
      </c>
      <c r="MK4" s="46">
        <v>123860</v>
      </c>
      <c r="ML4" s="46">
        <v>56591</v>
      </c>
      <c r="MM4" s="46">
        <v>169530</v>
      </c>
      <c r="MN4" s="46">
        <v>229492</v>
      </c>
      <c r="MO4" s="46">
        <v>167986</v>
      </c>
      <c r="MP4" s="46">
        <v>180803</v>
      </c>
      <c r="MQ4" s="46">
        <v>128626</v>
      </c>
      <c r="MR4" s="46">
        <v>166203</v>
      </c>
      <c r="MS4" s="46">
        <v>50313</v>
      </c>
      <c r="MT4" s="46">
        <v>82494</v>
      </c>
      <c r="MU4" s="46">
        <v>190472</v>
      </c>
      <c r="MV4" s="46">
        <v>166293</v>
      </c>
      <c r="MW4" s="46">
        <v>162733</v>
      </c>
      <c r="MX4" s="46">
        <v>144712</v>
      </c>
      <c r="MY4" s="46">
        <v>85184</v>
      </c>
      <c r="MZ4" s="46">
        <v>52569</v>
      </c>
      <c r="NA4" s="46">
        <v>108769</v>
      </c>
      <c r="NB4" s="46">
        <v>149381</v>
      </c>
      <c r="NC4" s="46">
        <v>90275</v>
      </c>
    </row>
    <row r="5" spans="1:371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108401.4583333334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6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FZ9" s="7">
        <v>175.16666666666663</v>
      </c>
      <c r="GA9" s="7">
        <v>402.25</v>
      </c>
      <c r="GB9" s="7">
        <v>541.08333333333337</v>
      </c>
      <c r="GC9" s="7">
        <v>595</v>
      </c>
      <c r="GD9" s="7">
        <v>541.41666666666674</v>
      </c>
      <c r="GE9" s="7">
        <v>475.16666666666669</v>
      </c>
      <c r="GF9" s="7"/>
      <c r="GG9" s="2">
        <v>490.5</v>
      </c>
      <c r="GH9" s="2">
        <v>482.66666666666663</v>
      </c>
      <c r="GI9" s="2">
        <v>448.5</v>
      </c>
      <c r="GJ9" s="2">
        <v>470.25</v>
      </c>
      <c r="GK9" s="2">
        <v>375.83333333333331</v>
      </c>
      <c r="GL9" s="2">
        <v>290.08333333333331</v>
      </c>
      <c r="GM9" s="2">
        <v>184.91666666666666</v>
      </c>
      <c r="GN9" s="3">
        <v>182.08333333333331</v>
      </c>
      <c r="GO9" s="3">
        <v>417.66666666666669</v>
      </c>
      <c r="GP9" s="3">
        <v>322.16666666666663</v>
      </c>
      <c r="GQ9" s="3">
        <v>271.25000000000006</v>
      </c>
      <c r="GR9" s="3">
        <v>370.41666666666669</v>
      </c>
      <c r="GS9" s="3">
        <v>350.41666666666669</v>
      </c>
      <c r="GT9" s="7"/>
      <c r="GU9" s="7">
        <v>436.16666666666663</v>
      </c>
      <c r="GV9" s="7">
        <v>370.08333333333337</v>
      </c>
      <c r="GW9" s="7">
        <v>345.25</v>
      </c>
      <c r="GX9" s="7">
        <v>316.75</v>
      </c>
      <c r="GY9" s="7">
        <v>342</v>
      </c>
      <c r="GZ9" s="7">
        <v>279</v>
      </c>
      <c r="HA9" s="7">
        <v>262.5</v>
      </c>
      <c r="HB9" s="7">
        <v>222</v>
      </c>
      <c r="HC9" s="7">
        <v>343.75</v>
      </c>
      <c r="HD9" s="7">
        <v>390.08333333333331</v>
      </c>
      <c r="HE9" s="7">
        <v>365.66666666666669</v>
      </c>
      <c r="HF9" s="7">
        <v>435.08333333333331</v>
      </c>
      <c r="HG9" s="7">
        <v>582.08333333333337</v>
      </c>
      <c r="HI9" s="2">
        <v>338.58333333333331</v>
      </c>
      <c r="HJ9" s="2">
        <v>337.25</v>
      </c>
      <c r="HK9" s="2">
        <v>364.25</v>
      </c>
      <c r="HL9" s="2">
        <v>398.58333333333331</v>
      </c>
      <c r="HM9" s="2">
        <v>381.66666666666669</v>
      </c>
      <c r="HN9" s="2">
        <v>358.33333333333337</v>
      </c>
      <c r="HO9" s="2">
        <v>150</v>
      </c>
      <c r="HP9" s="2">
        <v>189</v>
      </c>
      <c r="HQ9" s="2">
        <v>368.16666666666663</v>
      </c>
      <c r="HR9" s="2">
        <v>508.58333333333326</v>
      </c>
      <c r="HS9" s="2">
        <v>469.66666666666669</v>
      </c>
      <c r="HT9" s="2">
        <v>365.75</v>
      </c>
      <c r="HU9" s="2">
        <v>416.75</v>
      </c>
      <c r="HV9" s="20"/>
      <c r="HW9" s="3">
        <v>270</v>
      </c>
      <c r="HX9" s="3">
        <v>420</v>
      </c>
      <c r="HY9" s="3">
        <v>502.5</v>
      </c>
      <c r="HZ9" s="3">
        <v>582.16666666666674</v>
      </c>
      <c r="IA9" s="3">
        <v>514.58333333333326</v>
      </c>
      <c r="IB9" s="3">
        <v>456</v>
      </c>
      <c r="IC9" s="3">
        <v>267.66666666666663</v>
      </c>
      <c r="ID9" s="7">
        <v>248.83333333333331</v>
      </c>
      <c r="IE9" s="7">
        <v>472.5</v>
      </c>
      <c r="IF9" s="7">
        <v>501</v>
      </c>
      <c r="IG9" s="7">
        <v>508.25</v>
      </c>
      <c r="IH9" s="7">
        <v>450.75</v>
      </c>
      <c r="II9" s="7">
        <v>381.16666666666669</v>
      </c>
      <c r="IK9" s="7">
        <v>342.75</v>
      </c>
      <c r="IL9" s="7">
        <v>498</v>
      </c>
      <c r="IM9" s="7">
        <v>496.5</v>
      </c>
      <c r="IN9" s="7">
        <v>455.41666666666663</v>
      </c>
      <c r="IO9" s="7">
        <v>482.83333333333337</v>
      </c>
      <c r="IP9" s="7">
        <v>437.91666666666663</v>
      </c>
      <c r="IQ9" s="7">
        <v>247.5</v>
      </c>
      <c r="IR9" s="3">
        <v>280.66666666666663</v>
      </c>
      <c r="IS9" s="3">
        <v>465</v>
      </c>
      <c r="IT9" s="3">
        <v>415.33333333333337</v>
      </c>
      <c r="IU9" s="3">
        <v>427.5</v>
      </c>
      <c r="IV9" s="3">
        <v>438.83333333333326</v>
      </c>
      <c r="IW9" s="3">
        <v>427.41666666666674</v>
      </c>
      <c r="IY9" s="3">
        <v>606</v>
      </c>
      <c r="IZ9" s="3">
        <v>490.5</v>
      </c>
      <c r="JA9" s="3">
        <v>570.75</v>
      </c>
      <c r="JB9" s="3">
        <v>469.66666666666674</v>
      </c>
      <c r="JC9" s="3">
        <v>515.5</v>
      </c>
      <c r="JD9" s="3">
        <v>647.58333333333337</v>
      </c>
      <c r="JF9" s="3">
        <v>591.91666666666674</v>
      </c>
      <c r="JG9" s="3">
        <v>546.66666666666663</v>
      </c>
      <c r="JH9" s="3">
        <v>667.5</v>
      </c>
      <c r="JI9" s="3">
        <v>527.25000000000011</v>
      </c>
      <c r="JJ9" s="3">
        <v>706.08333333333337</v>
      </c>
      <c r="JK9" s="3">
        <v>708.91666666666674</v>
      </c>
      <c r="JM9" s="7">
        <v>523.25</v>
      </c>
      <c r="JN9" s="7">
        <v>636.91666666666663</v>
      </c>
      <c r="JO9" s="7">
        <v>622.5</v>
      </c>
      <c r="JP9" s="7">
        <v>604.25</v>
      </c>
      <c r="JQ9" s="7">
        <v>712.5</v>
      </c>
      <c r="JR9" s="7">
        <v>674.33333333333326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37833778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6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1">
        <v>115692</v>
      </c>
      <c r="EY10" s="101">
        <v>112490</v>
      </c>
      <c r="EZ10" s="101">
        <v>163085</v>
      </c>
      <c r="FA10" s="101">
        <v>179583</v>
      </c>
      <c r="FB10" s="101">
        <v>187234</v>
      </c>
      <c r="FC10" s="101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FZ10" s="7">
        <v>52101</v>
      </c>
      <c r="GA10" s="7">
        <v>140314</v>
      </c>
      <c r="GB10" s="7">
        <v>160709</v>
      </c>
      <c r="GC10" s="7">
        <v>175531</v>
      </c>
      <c r="GD10" s="7">
        <v>180000</v>
      </c>
      <c r="GE10" s="7">
        <v>152885</v>
      </c>
      <c r="GG10" s="7">
        <v>157250</v>
      </c>
      <c r="GH10" s="7">
        <v>164742</v>
      </c>
      <c r="GI10" s="7">
        <v>138518</v>
      </c>
      <c r="GJ10" s="7">
        <v>149392</v>
      </c>
      <c r="GK10" s="7">
        <v>120089</v>
      </c>
      <c r="GL10" s="7">
        <v>107397</v>
      </c>
      <c r="GM10" s="7">
        <v>67743</v>
      </c>
      <c r="GN10" s="7">
        <v>53699</v>
      </c>
      <c r="GO10" s="7">
        <v>103630</v>
      </c>
      <c r="GP10" s="7">
        <v>124687</v>
      </c>
      <c r="GQ10" s="7">
        <v>87642</v>
      </c>
      <c r="GR10" s="7">
        <v>128166</v>
      </c>
      <c r="GS10" s="7">
        <v>141006</v>
      </c>
      <c r="GT10" s="7"/>
      <c r="GU10" s="7">
        <v>179256</v>
      </c>
      <c r="GV10" s="7">
        <v>165481</v>
      </c>
      <c r="GW10" s="7">
        <v>158226</v>
      </c>
      <c r="GX10" s="7">
        <v>133583</v>
      </c>
      <c r="GY10" s="7">
        <v>147695</v>
      </c>
      <c r="GZ10" s="7">
        <v>142413</v>
      </c>
      <c r="HA10" s="7">
        <v>102371</v>
      </c>
      <c r="HB10" s="78">
        <v>68747</v>
      </c>
      <c r="HC10" s="78">
        <v>182057</v>
      </c>
      <c r="HD10" s="78">
        <v>178491</v>
      </c>
      <c r="HE10" s="78">
        <v>176912</v>
      </c>
      <c r="HF10" s="78">
        <v>187768</v>
      </c>
      <c r="HG10" s="78">
        <v>218150</v>
      </c>
      <c r="HI10" s="78">
        <v>155855</v>
      </c>
      <c r="HJ10" s="78">
        <v>141969</v>
      </c>
      <c r="HK10" s="78">
        <v>158250</v>
      </c>
      <c r="HL10" s="78">
        <v>166793</v>
      </c>
      <c r="HM10" s="78">
        <v>163083</v>
      </c>
      <c r="HN10" s="78">
        <v>161983</v>
      </c>
      <c r="HO10" s="78">
        <v>64160</v>
      </c>
      <c r="HP10" s="78">
        <v>72592</v>
      </c>
      <c r="HQ10" s="78">
        <v>127895</v>
      </c>
      <c r="HR10" s="78">
        <v>156524</v>
      </c>
      <c r="HS10" s="78">
        <v>138210</v>
      </c>
      <c r="HT10" s="78">
        <v>104198</v>
      </c>
      <c r="HU10" s="78">
        <v>130105</v>
      </c>
      <c r="HW10" s="7">
        <v>70343</v>
      </c>
      <c r="HX10" s="7">
        <v>142107</v>
      </c>
      <c r="HY10" s="7">
        <v>181926</v>
      </c>
      <c r="HZ10" s="7">
        <v>217667</v>
      </c>
      <c r="IA10" s="7">
        <v>170068</v>
      </c>
      <c r="IB10" s="7">
        <v>183518</v>
      </c>
      <c r="IC10" s="7">
        <v>101063</v>
      </c>
      <c r="ID10" s="7">
        <v>78108</v>
      </c>
      <c r="IE10" s="7">
        <v>173573</v>
      </c>
      <c r="IF10" s="7">
        <v>179830</v>
      </c>
      <c r="IG10" s="7">
        <v>170905</v>
      </c>
      <c r="IH10" s="7">
        <v>114229</v>
      </c>
      <c r="II10" s="7">
        <v>126324</v>
      </c>
      <c r="IK10" s="7">
        <v>116054</v>
      </c>
      <c r="IL10" s="7">
        <v>168664</v>
      </c>
      <c r="IM10" s="7">
        <v>177318</v>
      </c>
      <c r="IN10" s="7">
        <v>123941</v>
      </c>
      <c r="IO10" s="7">
        <v>123133</v>
      </c>
      <c r="IP10" s="7">
        <v>139136</v>
      </c>
      <c r="IQ10" s="7">
        <v>82619</v>
      </c>
      <c r="IR10" s="7">
        <v>88823</v>
      </c>
      <c r="IS10" s="7">
        <v>161615</v>
      </c>
      <c r="IT10" s="7">
        <v>152946</v>
      </c>
      <c r="IU10" s="7">
        <v>169226</v>
      </c>
      <c r="IV10" s="7">
        <v>158095</v>
      </c>
      <c r="IW10" s="7">
        <v>156800</v>
      </c>
      <c r="IY10" s="78">
        <v>221774</v>
      </c>
      <c r="IZ10" s="78">
        <v>162823</v>
      </c>
      <c r="JA10" s="78">
        <v>202332</v>
      </c>
      <c r="JB10" s="78">
        <v>132799</v>
      </c>
      <c r="JC10" s="78">
        <v>168820</v>
      </c>
      <c r="JD10" s="78">
        <v>187057</v>
      </c>
      <c r="JF10" s="78">
        <v>202988</v>
      </c>
      <c r="JG10" s="78">
        <v>199324</v>
      </c>
      <c r="JH10" s="78">
        <v>220086</v>
      </c>
      <c r="JI10" s="78">
        <v>160481</v>
      </c>
      <c r="JJ10" s="78">
        <v>195042</v>
      </c>
      <c r="JK10" s="78">
        <v>227750</v>
      </c>
      <c r="JM10" s="78">
        <v>146196</v>
      </c>
      <c r="JN10" s="78">
        <v>175318</v>
      </c>
      <c r="JO10" s="78">
        <v>193005</v>
      </c>
      <c r="JP10" s="78">
        <v>201993</v>
      </c>
      <c r="JQ10" s="78">
        <v>239868</v>
      </c>
      <c r="JR10" s="78">
        <v>235277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349.01539685620753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>
        <f t="shared" si="17"/>
        <v>297.43672692673653</v>
      </c>
      <c r="GA11" s="2">
        <f t="shared" si="17"/>
        <v>348.82287134866374</v>
      </c>
      <c r="GB11" s="2">
        <f t="shared" si="17"/>
        <v>297.01339904512548</v>
      </c>
      <c r="GC11" s="2">
        <f t="shared" si="17"/>
        <v>295.01008403361345</v>
      </c>
      <c r="GD11" s="2">
        <f t="shared" si="17"/>
        <v>332.46113590888098</v>
      </c>
      <c r="GE11" s="2">
        <f t="shared" si="17"/>
        <v>321.75026306559101</v>
      </c>
      <c r="GF11" s="2" t="str">
        <f t="shared" si="17"/>
        <v/>
      </c>
      <c r="GG11" s="2">
        <f t="shared" si="17"/>
        <v>320.59123343527011</v>
      </c>
      <c r="GH11" s="2">
        <f t="shared" si="17"/>
        <v>341.31629834254147</v>
      </c>
      <c r="GI11" s="2">
        <f t="shared" si="17"/>
        <v>308.84726867335564</v>
      </c>
      <c r="GJ11" s="2">
        <f t="shared" si="17"/>
        <v>317.6863370547581</v>
      </c>
      <c r="GK11" s="2">
        <f t="shared" si="17"/>
        <v>319.52727272727276</v>
      </c>
      <c r="GL11" s="2">
        <f t="shared" si="17"/>
        <v>370.22809537489229</v>
      </c>
      <c r="GM11" s="2">
        <f t="shared" si="17"/>
        <v>366.34339792699416</v>
      </c>
      <c r="GN11" s="2">
        <f t="shared" si="17"/>
        <v>294.91441647597259</v>
      </c>
      <c r="GO11" s="2">
        <f t="shared" ref="GO11:IZ11" si="18">+IFERROR(GO10/GO9,"")</f>
        <v>248.11652035115722</v>
      </c>
      <c r="GP11" s="2">
        <f t="shared" si="18"/>
        <v>387.02638385928611</v>
      </c>
      <c r="GQ11" s="2">
        <f t="shared" si="18"/>
        <v>323.10414746543773</v>
      </c>
      <c r="GR11" s="2">
        <f t="shared" si="18"/>
        <v>346.00494938132732</v>
      </c>
      <c r="GS11" s="2">
        <f t="shared" si="18"/>
        <v>402.39524375743161</v>
      </c>
      <c r="GT11" s="2" t="str">
        <f t="shared" si="18"/>
        <v/>
      </c>
      <c r="GU11" s="2">
        <f t="shared" si="18"/>
        <v>410.98051203668325</v>
      </c>
      <c r="GV11" s="2">
        <f t="shared" si="18"/>
        <v>447.14523755910824</v>
      </c>
      <c r="GW11" s="2">
        <f t="shared" si="18"/>
        <v>458.29398986241853</v>
      </c>
      <c r="GX11" s="2">
        <f t="shared" si="18"/>
        <v>421.73007103393843</v>
      </c>
      <c r="GY11" s="2">
        <f t="shared" si="18"/>
        <v>431.85672514619881</v>
      </c>
      <c r="GZ11" s="2">
        <f t="shared" si="18"/>
        <v>510.44086021505376</v>
      </c>
      <c r="HA11" s="2">
        <f t="shared" si="18"/>
        <v>389.98476190476191</v>
      </c>
      <c r="HB11" s="2">
        <f t="shared" si="18"/>
        <v>309.67117117117118</v>
      </c>
      <c r="HC11" s="2">
        <f t="shared" si="18"/>
        <v>529.62036363636366</v>
      </c>
      <c r="HD11" s="2">
        <f t="shared" si="18"/>
        <v>457.57145908993806</v>
      </c>
      <c r="HE11" s="2">
        <f t="shared" si="18"/>
        <v>483.80674567000909</v>
      </c>
      <c r="HF11" s="2">
        <f t="shared" si="18"/>
        <v>431.56789886994829</v>
      </c>
      <c r="HG11" s="2">
        <f t="shared" si="18"/>
        <v>374.77451682176087</v>
      </c>
      <c r="HH11" s="2" t="str">
        <f t="shared" si="18"/>
        <v/>
      </c>
      <c r="HI11" s="2">
        <f t="shared" si="18"/>
        <v>460.31503814915089</v>
      </c>
      <c r="HJ11" s="2">
        <f t="shared" si="18"/>
        <v>420.96071163825053</v>
      </c>
      <c r="HK11" s="2">
        <f t="shared" si="18"/>
        <v>434.45435827041865</v>
      </c>
      <c r="HL11" s="2">
        <f t="shared" si="18"/>
        <v>418.46456199038261</v>
      </c>
      <c r="HM11" s="2">
        <f t="shared" si="18"/>
        <v>427.29170305676854</v>
      </c>
      <c r="HN11" s="2">
        <f t="shared" si="18"/>
        <v>452.04558139534879</v>
      </c>
      <c r="HO11" s="2">
        <f t="shared" si="18"/>
        <v>427.73333333333335</v>
      </c>
      <c r="HP11" s="2">
        <f t="shared" si="18"/>
        <v>384.0846560846561</v>
      </c>
      <c r="HQ11" s="2">
        <f t="shared" si="18"/>
        <v>347.38343141693076</v>
      </c>
      <c r="HR11" s="2">
        <f t="shared" si="18"/>
        <v>307.76470588235298</v>
      </c>
      <c r="HS11" s="2">
        <f t="shared" si="18"/>
        <v>294.27253371185236</v>
      </c>
      <c r="HT11" s="2">
        <f t="shared" si="18"/>
        <v>284.88858509911142</v>
      </c>
      <c r="HU11" s="2">
        <f t="shared" si="18"/>
        <v>312.18956208758249</v>
      </c>
      <c r="HV11" s="2" t="str">
        <f t="shared" si="18"/>
        <v/>
      </c>
      <c r="HW11" s="2">
        <f t="shared" si="18"/>
        <v>260.52962962962965</v>
      </c>
      <c r="HX11" s="2">
        <f t="shared" si="18"/>
        <v>338.35</v>
      </c>
      <c r="HY11" s="2">
        <f t="shared" si="18"/>
        <v>362.04179104477612</v>
      </c>
      <c r="HZ11" s="2">
        <f t="shared" si="18"/>
        <v>373.89121099341537</v>
      </c>
      <c r="IA11" s="2">
        <f t="shared" si="18"/>
        <v>330.49651821862352</v>
      </c>
      <c r="IB11" s="2">
        <f t="shared" si="18"/>
        <v>402.45175438596493</v>
      </c>
      <c r="IC11" s="2">
        <f t="shared" si="18"/>
        <v>377.57036114570366</v>
      </c>
      <c r="ID11" s="2">
        <f t="shared" si="18"/>
        <v>313.8968519758875</v>
      </c>
      <c r="IE11" s="2">
        <f t="shared" si="18"/>
        <v>367.35026455026457</v>
      </c>
      <c r="IF11" s="2">
        <f t="shared" si="18"/>
        <v>358.94211576846305</v>
      </c>
      <c r="IG11" s="2">
        <f t="shared" si="18"/>
        <v>336.26168224299067</v>
      </c>
      <c r="IH11" s="2">
        <f t="shared" si="18"/>
        <v>253.41985579589573</v>
      </c>
      <c r="II11" s="2">
        <f t="shared" si="18"/>
        <v>331.41407958023609</v>
      </c>
      <c r="IJ11" s="2" t="str">
        <f t="shared" si="18"/>
        <v/>
      </c>
      <c r="IK11" s="2">
        <f t="shared" si="18"/>
        <v>338.59664478482858</v>
      </c>
      <c r="IL11" s="2">
        <f t="shared" si="18"/>
        <v>338.68273092369481</v>
      </c>
      <c r="IM11" s="2">
        <f t="shared" si="18"/>
        <v>357.1359516616314</v>
      </c>
      <c r="IN11" s="2">
        <f t="shared" si="18"/>
        <v>272.14858188472095</v>
      </c>
      <c r="IO11" s="2">
        <f t="shared" si="18"/>
        <v>255.02174663444941</v>
      </c>
      <c r="IP11" s="2">
        <f t="shared" si="18"/>
        <v>317.72254995242628</v>
      </c>
      <c r="IQ11" s="2">
        <f t="shared" si="18"/>
        <v>333.81414141414143</v>
      </c>
      <c r="IR11" s="2">
        <f t="shared" si="18"/>
        <v>316.47149643705467</v>
      </c>
      <c r="IS11" s="2">
        <f t="shared" si="18"/>
        <v>347.55913978494624</v>
      </c>
      <c r="IT11" s="2">
        <f t="shared" si="18"/>
        <v>368.24879614767252</v>
      </c>
      <c r="IU11" s="2">
        <f t="shared" si="18"/>
        <v>395.85029239766084</v>
      </c>
      <c r="IV11" s="2">
        <f t="shared" si="18"/>
        <v>360.2620584884163</v>
      </c>
      <c r="IW11" s="2">
        <f t="shared" si="18"/>
        <v>366.85513745369462</v>
      </c>
      <c r="IX11" s="2" t="str">
        <f t="shared" si="18"/>
        <v/>
      </c>
      <c r="IY11" s="2">
        <f t="shared" si="18"/>
        <v>365.96369636963698</v>
      </c>
      <c r="IZ11" s="2">
        <f t="shared" si="18"/>
        <v>331.95310907237513</v>
      </c>
      <c r="JA11" s="2">
        <f t="shared" ref="JA11:JS11" si="19">+IFERROR(JA10/JA9,"")</f>
        <v>354.50197109067017</v>
      </c>
      <c r="JB11" s="2">
        <f t="shared" si="19"/>
        <v>282.75159687721782</v>
      </c>
      <c r="JC11" s="2">
        <f t="shared" si="19"/>
        <v>327.48787584869058</v>
      </c>
      <c r="JD11" s="2">
        <f t="shared" si="19"/>
        <v>288.85394415133186</v>
      </c>
      <c r="JE11" s="2" t="str">
        <f t="shared" si="19"/>
        <v/>
      </c>
      <c r="JF11" s="2">
        <f t="shared" si="19"/>
        <v>342.93340841897788</v>
      </c>
      <c r="JG11" s="2">
        <f t="shared" si="19"/>
        <v>364.61707317073171</v>
      </c>
      <c r="JH11" s="2">
        <f t="shared" si="19"/>
        <v>329.71685393258429</v>
      </c>
      <c r="JI11" s="2">
        <f t="shared" si="19"/>
        <v>304.37363679468933</v>
      </c>
      <c r="JJ11" s="2">
        <f t="shared" si="19"/>
        <v>276.2308509382745</v>
      </c>
      <c r="JK11" s="2">
        <f t="shared" si="19"/>
        <v>321.26484071940752</v>
      </c>
      <c r="JL11" s="2" t="str">
        <f t="shared" si="19"/>
        <v/>
      </c>
      <c r="JM11" s="2">
        <f t="shared" si="19"/>
        <v>279.3999044433827</v>
      </c>
      <c r="JN11" s="2">
        <f t="shared" si="19"/>
        <v>275.26049980374199</v>
      </c>
      <c r="JO11" s="2">
        <f t="shared" si="19"/>
        <v>310.04819277108436</v>
      </c>
      <c r="JP11" s="2">
        <f t="shared" si="19"/>
        <v>334.28713280926769</v>
      </c>
      <c r="JQ11" s="2">
        <f t="shared" si="19"/>
        <v>336.65684210526314</v>
      </c>
      <c r="JR11" s="2">
        <f t="shared" si="19"/>
        <v>348.90311418685127</v>
      </c>
      <c r="JS11" s="2" t="str">
        <f t="shared" si="19"/>
        <v/>
      </c>
      <c r="JT11" s="2" t="str">
        <f t="shared" ref="JT11:LL11" si="20">+IFERROR(JT10/JT9,"")</f>
        <v/>
      </c>
      <c r="JU11" s="2" t="str">
        <f t="shared" si="20"/>
        <v/>
      </c>
      <c r="JV11" s="2" t="str">
        <f t="shared" si="20"/>
        <v/>
      </c>
      <c r="JW11" s="2" t="str">
        <f t="shared" si="20"/>
        <v/>
      </c>
      <c r="JX11" s="2" t="str">
        <f t="shared" si="20"/>
        <v/>
      </c>
      <c r="JY11" s="2" t="str">
        <f t="shared" si="20"/>
        <v/>
      </c>
      <c r="JZ11" s="2" t="str">
        <f t="shared" si="20"/>
        <v/>
      </c>
      <c r="KA11" s="2" t="str">
        <f t="shared" si="20"/>
        <v/>
      </c>
      <c r="KB11" s="2" t="str">
        <f t="shared" si="20"/>
        <v/>
      </c>
      <c r="KC11" s="2" t="str">
        <f t="shared" si="20"/>
        <v/>
      </c>
      <c r="KD11" s="2" t="str">
        <f t="shared" si="20"/>
        <v/>
      </c>
      <c r="KE11" s="2" t="str">
        <f t="shared" si="20"/>
        <v/>
      </c>
      <c r="KF11" s="2" t="str">
        <f t="shared" si="20"/>
        <v/>
      </c>
      <c r="KG11" s="2" t="str">
        <f t="shared" si="20"/>
        <v/>
      </c>
      <c r="KH11" s="2" t="str">
        <f t="shared" si="20"/>
        <v/>
      </c>
      <c r="KI11" s="2" t="str">
        <f t="shared" si="20"/>
        <v/>
      </c>
      <c r="KJ11" s="2" t="str">
        <f t="shared" si="20"/>
        <v/>
      </c>
      <c r="KK11" s="2" t="str">
        <f t="shared" si="20"/>
        <v/>
      </c>
      <c r="KL11" s="2" t="str">
        <f t="shared" si="20"/>
        <v/>
      </c>
      <c r="KM11" s="2" t="str">
        <f t="shared" si="20"/>
        <v/>
      </c>
      <c r="KN11" s="2" t="str">
        <f t="shared" si="20"/>
        <v/>
      </c>
      <c r="KO11" s="2" t="str">
        <f t="shared" si="20"/>
        <v/>
      </c>
      <c r="KP11" s="2" t="str">
        <f t="shared" si="20"/>
        <v/>
      </c>
      <c r="KQ11" s="2" t="str">
        <f t="shared" si="20"/>
        <v/>
      </c>
      <c r="KR11" s="2" t="str">
        <f t="shared" si="20"/>
        <v/>
      </c>
      <c r="KS11" s="2" t="str">
        <f t="shared" si="20"/>
        <v/>
      </c>
      <c r="KT11" s="2" t="str">
        <f t="shared" si="20"/>
        <v/>
      </c>
      <c r="KU11" s="2" t="str">
        <f t="shared" si="20"/>
        <v/>
      </c>
      <c r="KV11" s="2" t="str">
        <f t="shared" si="20"/>
        <v/>
      </c>
      <c r="KW11" s="2" t="str">
        <f t="shared" si="20"/>
        <v/>
      </c>
      <c r="KX11" s="2" t="str">
        <f t="shared" si="20"/>
        <v/>
      </c>
      <c r="KY11" s="2" t="str">
        <f t="shared" si="20"/>
        <v/>
      </c>
      <c r="KZ11" s="2" t="str">
        <f t="shared" si="20"/>
        <v/>
      </c>
      <c r="LA11" s="2" t="str">
        <f t="shared" si="20"/>
        <v/>
      </c>
      <c r="LB11" s="2" t="str">
        <f t="shared" si="20"/>
        <v/>
      </c>
      <c r="LC11" s="2" t="str">
        <f t="shared" si="20"/>
        <v/>
      </c>
      <c r="LD11" s="2" t="str">
        <f t="shared" si="20"/>
        <v/>
      </c>
      <c r="LE11" s="2" t="str">
        <f t="shared" si="20"/>
        <v/>
      </c>
      <c r="LF11" s="2" t="str">
        <f t="shared" si="20"/>
        <v/>
      </c>
      <c r="LG11" s="2" t="str">
        <f t="shared" si="20"/>
        <v/>
      </c>
      <c r="LH11" s="2" t="str">
        <f t="shared" si="20"/>
        <v/>
      </c>
      <c r="LI11" s="2" t="str">
        <f t="shared" si="20"/>
        <v/>
      </c>
      <c r="LJ11" s="2" t="str">
        <f t="shared" si="20"/>
        <v/>
      </c>
      <c r="LK11" s="2" t="str">
        <f t="shared" si="20"/>
        <v/>
      </c>
      <c r="LL11" s="2" t="str">
        <f t="shared" si="20"/>
        <v/>
      </c>
      <c r="LM11" s="2" t="str">
        <f t="shared" ref="LM11:NC11" si="21">+IFERROR(LM10/LM9,"")</f>
        <v/>
      </c>
      <c r="LN11" s="2" t="str">
        <f t="shared" si="21"/>
        <v/>
      </c>
      <c r="LO11" s="2" t="str">
        <f t="shared" si="21"/>
        <v/>
      </c>
      <c r="LP11" s="2" t="str">
        <f t="shared" si="21"/>
        <v/>
      </c>
      <c r="LQ11" s="2" t="str">
        <f t="shared" si="21"/>
        <v/>
      </c>
      <c r="LR11" s="2" t="str">
        <f t="shared" si="21"/>
        <v/>
      </c>
      <c r="LS11" s="2" t="str">
        <f t="shared" si="21"/>
        <v/>
      </c>
      <c r="LT11" s="2" t="str">
        <f t="shared" si="21"/>
        <v/>
      </c>
      <c r="LU11" s="2" t="str">
        <f t="shared" si="21"/>
        <v/>
      </c>
      <c r="LV11" s="2" t="str">
        <f t="shared" si="21"/>
        <v/>
      </c>
      <c r="LW11" s="2" t="str">
        <f t="shared" si="21"/>
        <v/>
      </c>
      <c r="LX11" s="2" t="str">
        <f t="shared" si="21"/>
        <v/>
      </c>
      <c r="LY11" s="2" t="str">
        <f t="shared" si="21"/>
        <v/>
      </c>
      <c r="LZ11" s="2" t="str">
        <f t="shared" si="21"/>
        <v/>
      </c>
      <c r="MA11" s="2" t="str">
        <f t="shared" si="21"/>
        <v/>
      </c>
      <c r="MB11" s="2" t="str">
        <f t="shared" si="21"/>
        <v/>
      </c>
      <c r="MC11" s="2" t="str">
        <f t="shared" si="21"/>
        <v/>
      </c>
      <c r="MD11" s="2" t="str">
        <f t="shared" si="21"/>
        <v/>
      </c>
      <c r="ME11" s="2" t="str">
        <f t="shared" si="21"/>
        <v/>
      </c>
      <c r="MF11" s="2" t="str">
        <f t="shared" si="21"/>
        <v/>
      </c>
      <c r="MG11" s="2" t="str">
        <f t="shared" si="21"/>
        <v/>
      </c>
      <c r="MH11" s="2" t="str">
        <f t="shared" si="21"/>
        <v/>
      </c>
      <c r="MI11" s="2" t="str">
        <f t="shared" si="21"/>
        <v/>
      </c>
      <c r="MJ11" s="2" t="str">
        <f t="shared" si="21"/>
        <v/>
      </c>
      <c r="MK11" s="2" t="str">
        <f t="shared" si="21"/>
        <v/>
      </c>
      <c r="ML11" s="2" t="str">
        <f t="shared" si="21"/>
        <v/>
      </c>
      <c r="MM11" s="2" t="str">
        <f t="shared" si="21"/>
        <v/>
      </c>
      <c r="MN11" s="2" t="str">
        <f t="shared" si="21"/>
        <v/>
      </c>
      <c r="MO11" s="2" t="str">
        <f t="shared" si="21"/>
        <v/>
      </c>
      <c r="MP11" s="2" t="str">
        <f t="shared" si="21"/>
        <v/>
      </c>
      <c r="MQ11" s="2" t="str">
        <f t="shared" si="21"/>
        <v/>
      </c>
      <c r="MR11" s="2" t="str">
        <f t="shared" si="21"/>
        <v/>
      </c>
      <c r="MS11" s="2" t="str">
        <f t="shared" si="21"/>
        <v/>
      </c>
      <c r="MT11" s="2" t="str">
        <f t="shared" si="21"/>
        <v/>
      </c>
      <c r="MU11" s="2" t="str">
        <f t="shared" si="21"/>
        <v/>
      </c>
      <c r="MV11" s="2" t="str">
        <f t="shared" si="21"/>
        <v/>
      </c>
      <c r="MW11" s="2" t="str">
        <f t="shared" si="21"/>
        <v/>
      </c>
      <c r="MX11" s="2" t="str">
        <f t="shared" si="21"/>
        <v/>
      </c>
      <c r="MY11" s="2" t="str">
        <f t="shared" si="21"/>
        <v/>
      </c>
      <c r="MZ11" s="2" t="str">
        <f t="shared" si="21"/>
        <v/>
      </c>
      <c r="NA11" s="2" t="str">
        <f t="shared" si="21"/>
        <v/>
      </c>
      <c r="NB11" s="2" t="str">
        <f t="shared" si="21"/>
        <v/>
      </c>
      <c r="NC11" s="2" t="str">
        <f t="shared" si="21"/>
        <v/>
      </c>
    </row>
    <row r="12" spans="1:371">
      <c r="G12" s="20"/>
      <c r="H12" s="7"/>
      <c r="N12" s="20"/>
      <c r="AB12" s="20"/>
      <c r="AP12" s="20"/>
      <c r="AX12" s="7"/>
      <c r="BK12" s="20"/>
      <c r="BQ12" s="206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FZ12" s="20"/>
      <c r="GG12" s="20"/>
      <c r="GN12" s="20"/>
      <c r="GU12" s="20"/>
      <c r="HB12" s="20"/>
      <c r="HI12" s="20"/>
      <c r="HP12" s="20"/>
      <c r="HW12" s="20"/>
      <c r="ID12" s="20"/>
      <c r="IK12" s="20"/>
      <c r="IR12" s="20"/>
      <c r="IY12" s="20"/>
      <c r="JF12" s="20"/>
      <c r="JG12" s="82"/>
      <c r="JI12" s="71"/>
      <c r="JJ12" s="82"/>
      <c r="JM12" s="20"/>
      <c r="LY12" s="83"/>
      <c r="LZ12" s="26"/>
      <c r="ML12" s="7"/>
      <c r="MM12" s="68"/>
      <c r="MN12" s="26"/>
      <c r="MV12" s="7"/>
    </row>
    <row r="13" spans="1:371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6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K13" s="20"/>
      <c r="IR13" s="20"/>
      <c r="IY13" s="20"/>
      <c r="IZ13" s="190"/>
      <c r="JA13" s="190"/>
      <c r="JB13" s="190"/>
      <c r="JC13" s="78"/>
      <c r="JF13" s="20"/>
      <c r="JG13" s="82"/>
      <c r="JI13" s="71"/>
      <c r="JJ13" s="82"/>
      <c r="JM13" s="20"/>
      <c r="LY13" s="83"/>
      <c r="LZ13" s="26"/>
      <c r="ML13" s="7"/>
      <c r="MM13" s="68"/>
      <c r="MN13" s="26"/>
      <c r="MV13" s="7"/>
    </row>
    <row r="14" spans="1:371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6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8"/>
      <c r="FK14" s="74"/>
      <c r="FL14" s="20"/>
      <c r="FS14" s="20"/>
      <c r="FZ14" s="20"/>
      <c r="GG14" s="20"/>
      <c r="GN14" s="20"/>
      <c r="GU14" s="20"/>
      <c r="HB14" s="20"/>
      <c r="HI14" s="20"/>
      <c r="HP14" s="20"/>
      <c r="HW14" s="20"/>
      <c r="ID14" s="20"/>
      <c r="IK14" s="20"/>
      <c r="IR14" s="20"/>
      <c r="IY14" s="219"/>
      <c r="IZ14" s="190"/>
      <c r="JA14" s="190"/>
      <c r="JB14" s="190"/>
      <c r="JC14" s="78"/>
      <c r="JF14" s="237"/>
      <c r="JG14" s="82"/>
      <c r="JM14" s="20"/>
      <c r="LY14" s="83"/>
      <c r="LZ14" s="26"/>
      <c r="ML14" s="7"/>
      <c r="MM14" s="68"/>
      <c r="MN14" s="26"/>
      <c r="MV14" s="7"/>
    </row>
    <row r="15" spans="1:371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8"/>
      <c r="FK15" s="74"/>
      <c r="FS15" s="20"/>
      <c r="GG15" s="218"/>
      <c r="GH15" s="74"/>
      <c r="IY15" s="77"/>
      <c r="IZ15" s="190"/>
      <c r="JA15" s="190"/>
      <c r="JB15" s="190"/>
      <c r="JC15" s="78"/>
      <c r="ML15" s="7"/>
      <c r="MM15" s="68"/>
      <c r="MN15" s="26"/>
      <c r="MV15" s="7"/>
    </row>
    <row r="16" spans="1:371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8"/>
      <c r="FK16" s="74"/>
      <c r="GG16" s="218"/>
      <c r="GH16" s="74"/>
      <c r="IY16" s="77"/>
      <c r="IZ16" s="190"/>
      <c r="JA16" s="190"/>
      <c r="JB16" s="190"/>
      <c r="JC16" s="78"/>
      <c r="MM16" s="82"/>
      <c r="MN16" s="82"/>
    </row>
    <row r="17" spans="17:263">
      <c r="AJ17" s="2"/>
      <c r="AV17" s="7"/>
      <c r="BE17"/>
      <c r="BF17"/>
      <c r="BG17"/>
      <c r="BH17"/>
      <c r="BI17"/>
      <c r="BJ17"/>
      <c r="DA17" s="6"/>
      <c r="EZ17" s="77"/>
      <c r="FA17" s="78"/>
      <c r="GG17" s="218"/>
      <c r="GH17" s="74"/>
      <c r="HA17"/>
      <c r="HB17"/>
      <c r="HC17"/>
      <c r="HD17"/>
      <c r="HE17"/>
      <c r="IY17" s="77"/>
      <c r="IZ17" s="190"/>
      <c r="JA17" s="190"/>
      <c r="JB17" s="190"/>
      <c r="JC17" s="78"/>
    </row>
    <row r="18" spans="17:26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  <c r="GG18" s="218"/>
      <c r="GH18" s="74"/>
      <c r="HA18"/>
      <c r="HB18"/>
      <c r="HC18"/>
      <c r="HD18"/>
      <c r="HE18"/>
      <c r="IY18" s="77"/>
      <c r="IZ18" s="190"/>
      <c r="JA18" s="190"/>
      <c r="JB18" s="190"/>
      <c r="JC18" s="78"/>
    </row>
    <row r="19" spans="17:26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  <c r="HA19" s="77"/>
      <c r="HB19" s="190"/>
      <c r="HC19" s="190"/>
      <c r="HD19" s="190"/>
      <c r="HE19" s="78"/>
    </row>
    <row r="20" spans="17:263">
      <c r="Q20" s="2"/>
      <c r="R20" s="2"/>
      <c r="AF20" s="2"/>
      <c r="AJ20" s="2"/>
      <c r="AV20" s="7"/>
      <c r="BE20"/>
      <c r="BF20"/>
      <c r="BG20"/>
      <c r="BH20"/>
      <c r="BI20"/>
      <c r="BJ20"/>
      <c r="HA20" s="77"/>
      <c r="HB20" s="190"/>
      <c r="HC20" s="190"/>
      <c r="HD20" s="190"/>
      <c r="HE20" s="78"/>
    </row>
    <row r="21" spans="17:263">
      <c r="Q21" s="2"/>
      <c r="R21" s="2"/>
      <c r="AF21" s="2"/>
      <c r="AJ21" s="2"/>
      <c r="AV21" s="7"/>
      <c r="BE21"/>
      <c r="BF21"/>
      <c r="BG21"/>
      <c r="BH21"/>
      <c r="BI21"/>
      <c r="BJ21"/>
      <c r="HA21" s="77"/>
      <c r="HB21" s="190"/>
      <c r="HC21" s="190"/>
      <c r="HD21" s="190"/>
      <c r="HE21" s="78"/>
    </row>
    <row r="22" spans="17:263">
      <c r="Q22" s="2"/>
      <c r="R22" s="2"/>
      <c r="AF22" s="2"/>
      <c r="BE22"/>
      <c r="BF22"/>
      <c r="BG22"/>
      <c r="BH22"/>
      <c r="BI22"/>
      <c r="BJ22"/>
      <c r="HA22" s="77"/>
      <c r="HB22" s="190"/>
      <c r="HC22" s="190"/>
      <c r="HD22" s="190"/>
      <c r="HE22" s="78"/>
    </row>
    <row r="23" spans="17:263">
      <c r="Q23" s="2"/>
      <c r="R23" s="2"/>
      <c r="AF23" s="2"/>
      <c r="BE23"/>
      <c r="BF23"/>
      <c r="BG23"/>
      <c r="BH23"/>
      <c r="BI23"/>
      <c r="BJ23"/>
      <c r="HA23" s="77"/>
      <c r="HB23" s="190"/>
      <c r="HC23" s="190"/>
      <c r="HD23" s="190"/>
      <c r="HE23" s="78"/>
    </row>
    <row r="24" spans="17:263">
      <c r="AF24" s="2"/>
      <c r="BE24"/>
      <c r="BF24"/>
      <c r="BG24"/>
      <c r="BH24"/>
      <c r="BI24"/>
      <c r="BJ24"/>
      <c r="HA24" s="77"/>
      <c r="HB24" s="190"/>
      <c r="HC24" s="190"/>
      <c r="HD24" s="190"/>
      <c r="HE24" s="78"/>
    </row>
    <row r="25" spans="17:263">
      <c r="AF25" s="2"/>
      <c r="BE25"/>
      <c r="BF25"/>
      <c r="BG25"/>
      <c r="BH25"/>
      <c r="BI25"/>
      <c r="BJ25"/>
    </row>
    <row r="26" spans="17:263">
      <c r="BE26"/>
      <c r="BF26"/>
      <c r="BG26"/>
      <c r="BH26"/>
      <c r="BI26"/>
      <c r="BJ26"/>
    </row>
    <row r="27" spans="17:26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/>
  <sheetData>
    <row r="1" spans="1:336">
      <c r="A1" s="120" t="s">
        <v>1899</v>
      </c>
      <c r="B1" s="121" t="s">
        <v>1900</v>
      </c>
      <c r="C1" s="122" t="s">
        <v>1901</v>
      </c>
      <c r="D1" s="122" t="s">
        <v>1902</v>
      </c>
      <c r="E1" s="123" t="s">
        <v>1903</v>
      </c>
      <c r="F1" s="123" t="s">
        <v>1904</v>
      </c>
      <c r="G1" s="122" t="s">
        <v>1905</v>
      </c>
      <c r="H1" s="122" t="s">
        <v>1906</v>
      </c>
      <c r="I1" s="122" t="s">
        <v>1907</v>
      </c>
      <c r="J1" s="122" t="s">
        <v>1908</v>
      </c>
      <c r="K1" s="122" t="s">
        <v>1909</v>
      </c>
      <c r="L1" s="123" t="s">
        <v>1910</v>
      </c>
      <c r="M1" s="123" t="s">
        <v>1911</v>
      </c>
      <c r="N1" s="122" t="s">
        <v>1912</v>
      </c>
      <c r="O1" s="122" t="s">
        <v>1913</v>
      </c>
      <c r="P1" s="122" t="s">
        <v>1914</v>
      </c>
      <c r="Q1" s="122" t="s">
        <v>1915</v>
      </c>
      <c r="R1" s="122" t="s">
        <v>1916</v>
      </c>
      <c r="S1" s="123" t="s">
        <v>1917</v>
      </c>
      <c r="T1" s="123" t="s">
        <v>1918</v>
      </c>
      <c r="U1" s="122" t="s">
        <v>1919</v>
      </c>
      <c r="V1" s="122" t="s">
        <v>1920</v>
      </c>
      <c r="W1" s="122" t="s">
        <v>1921</v>
      </c>
      <c r="X1" s="122" t="s">
        <v>1922</v>
      </c>
      <c r="Y1" s="122" t="s">
        <v>1923</v>
      </c>
      <c r="Z1" s="123" t="s">
        <v>1924</v>
      </c>
      <c r="AA1" s="123" t="s">
        <v>1925</v>
      </c>
      <c r="AB1" s="122" t="s">
        <v>1926</v>
      </c>
      <c r="AC1" s="122" t="s">
        <v>1927</v>
      </c>
      <c r="AD1" s="122" t="s">
        <v>1928</v>
      </c>
      <c r="AE1" s="122" t="s">
        <v>1929</v>
      </c>
      <c r="AF1" s="122" t="s">
        <v>1930</v>
      </c>
      <c r="AG1" s="124" t="s">
        <v>1931</v>
      </c>
      <c r="AH1" s="124" t="s">
        <v>1932</v>
      </c>
      <c r="AI1" s="122" t="s">
        <v>1933</v>
      </c>
      <c r="AJ1" s="122" t="s">
        <v>1934</v>
      </c>
      <c r="AK1" s="122" t="s">
        <v>1935</v>
      </c>
      <c r="AL1" s="122" t="s">
        <v>1936</v>
      </c>
      <c r="AM1" s="122" t="s">
        <v>1937</v>
      </c>
      <c r="AN1" s="124" t="s">
        <v>1938</v>
      </c>
      <c r="AO1" s="124" t="s">
        <v>1939</v>
      </c>
      <c r="AP1" s="122" t="s">
        <v>1940</v>
      </c>
      <c r="AQ1" s="122" t="s">
        <v>1941</v>
      </c>
      <c r="AR1" s="122" t="s">
        <v>1942</v>
      </c>
      <c r="AS1" s="122" t="s">
        <v>1943</v>
      </c>
      <c r="AT1" s="122" t="s">
        <v>1944</v>
      </c>
      <c r="AU1" s="124" t="s">
        <v>1945</v>
      </c>
      <c r="AV1" s="124" t="s">
        <v>1946</v>
      </c>
      <c r="AW1" s="122" t="s">
        <v>1947</v>
      </c>
      <c r="AX1" s="122" t="s">
        <v>1948</v>
      </c>
      <c r="AY1" s="122" t="s">
        <v>1949</v>
      </c>
      <c r="AZ1" s="122" t="s">
        <v>1950</v>
      </c>
      <c r="BA1" s="122" t="s">
        <v>1951</v>
      </c>
      <c r="BB1" s="124" t="s">
        <v>1952</v>
      </c>
      <c r="BC1" s="124" t="s">
        <v>1953</v>
      </c>
      <c r="BD1" s="122" t="s">
        <v>1954</v>
      </c>
      <c r="BE1" s="122" t="s">
        <v>1955</v>
      </c>
      <c r="BF1" s="122" t="s">
        <v>1956</v>
      </c>
      <c r="BG1" s="122" t="s">
        <v>1957</v>
      </c>
      <c r="BH1" s="122" t="s">
        <v>1958</v>
      </c>
      <c r="BI1" s="125" t="s">
        <v>1959</v>
      </c>
      <c r="BJ1" s="125" t="s">
        <v>1960</v>
      </c>
      <c r="BK1" s="125" t="s">
        <v>1961</v>
      </c>
      <c r="BL1" s="125" t="s">
        <v>1962</v>
      </c>
      <c r="BM1" s="125" t="s">
        <v>1963</v>
      </c>
      <c r="BN1" s="125" t="s">
        <v>1964</v>
      </c>
      <c r="BO1" s="125" t="s">
        <v>1965</v>
      </c>
      <c r="BP1" s="125" t="s">
        <v>1966</v>
      </c>
      <c r="BQ1" s="125" t="s">
        <v>1967</v>
      </c>
      <c r="BR1" s="125" t="s">
        <v>1968</v>
      </c>
      <c r="BS1" s="125" t="s">
        <v>1969</v>
      </c>
      <c r="BT1" s="125" t="s">
        <v>1970</v>
      </c>
      <c r="BU1" s="125" t="s">
        <v>1971</v>
      </c>
      <c r="BV1" s="125" t="s">
        <v>1972</v>
      </c>
      <c r="BW1" s="125" t="s">
        <v>1973</v>
      </c>
      <c r="BX1" s="125" t="s">
        <v>1974</v>
      </c>
      <c r="BY1" s="125" t="s">
        <v>1975</v>
      </c>
      <c r="BZ1" s="125" t="s">
        <v>1976</v>
      </c>
      <c r="CA1" s="125" t="s">
        <v>1977</v>
      </c>
      <c r="CB1" s="125" t="s">
        <v>1978</v>
      </c>
      <c r="CC1" s="125" t="s">
        <v>1979</v>
      </c>
      <c r="CD1" s="125" t="s">
        <v>1980</v>
      </c>
      <c r="CE1" s="125" t="s">
        <v>1981</v>
      </c>
      <c r="CF1" s="125" t="s">
        <v>1982</v>
      </c>
      <c r="CG1" s="125" t="s">
        <v>1983</v>
      </c>
      <c r="CH1" s="125" t="s">
        <v>1984</v>
      </c>
      <c r="CI1" s="125" t="s">
        <v>1985</v>
      </c>
      <c r="CJ1" s="125" t="s">
        <v>1986</v>
      </c>
      <c r="CK1" s="125" t="s">
        <v>1987</v>
      </c>
      <c r="CL1" s="125" t="s">
        <v>1988</v>
      </c>
      <c r="CM1" s="125" t="s">
        <v>1989</v>
      </c>
      <c r="CN1" s="122" t="s">
        <v>1990</v>
      </c>
      <c r="CO1" s="122" t="s">
        <v>1991</v>
      </c>
      <c r="CP1" s="122" t="s">
        <v>1992</v>
      </c>
      <c r="CQ1" s="122" t="s">
        <v>1993</v>
      </c>
      <c r="CR1" s="126" t="s">
        <v>1994</v>
      </c>
      <c r="CS1" s="126" t="s">
        <v>1995</v>
      </c>
      <c r="CT1" s="122" t="s">
        <v>1996</v>
      </c>
      <c r="CU1" s="122" t="s">
        <v>1997</v>
      </c>
      <c r="CV1" s="122" t="s">
        <v>1998</v>
      </c>
      <c r="CW1" s="122" t="s">
        <v>1999</v>
      </c>
      <c r="CX1" s="122" t="s">
        <v>2000</v>
      </c>
      <c r="CY1" s="126" t="s">
        <v>2001</v>
      </c>
      <c r="CZ1" s="126" t="s">
        <v>2002</v>
      </c>
      <c r="DA1" s="122" t="s">
        <v>2003</v>
      </c>
      <c r="DB1" s="122" t="s">
        <v>2004</v>
      </c>
      <c r="DC1" s="122" t="s">
        <v>2005</v>
      </c>
      <c r="DD1" s="122" t="s">
        <v>2006</v>
      </c>
      <c r="DE1" s="122" t="s">
        <v>2007</v>
      </c>
      <c r="DF1" s="126" t="s">
        <v>2008</v>
      </c>
      <c r="DG1" s="126" t="s">
        <v>2009</v>
      </c>
      <c r="DH1" s="122" t="s">
        <v>2010</v>
      </c>
      <c r="DI1" s="122" t="s">
        <v>2011</v>
      </c>
      <c r="DJ1" s="122" t="s">
        <v>2012</v>
      </c>
      <c r="DK1" s="122" t="s">
        <v>2013</v>
      </c>
      <c r="DL1" s="122" t="s">
        <v>2014</v>
      </c>
      <c r="DM1" s="126" t="s">
        <v>2015</v>
      </c>
      <c r="DN1" s="126" t="s">
        <v>2016</v>
      </c>
      <c r="DO1" s="122" t="s">
        <v>2017</v>
      </c>
      <c r="DP1" s="122" t="s">
        <v>2018</v>
      </c>
      <c r="DQ1" s="122" t="s">
        <v>2019</v>
      </c>
      <c r="DR1" s="127" t="s">
        <v>2020</v>
      </c>
      <c r="DS1" s="125" t="s">
        <v>2021</v>
      </c>
      <c r="DT1" s="128" t="s">
        <v>2022</v>
      </c>
      <c r="DU1" s="128" t="s">
        <v>2023</v>
      </c>
      <c r="DV1" s="125" t="s">
        <v>2024</v>
      </c>
      <c r="DW1" s="125" t="s">
        <v>2025</v>
      </c>
      <c r="DX1" s="125" t="s">
        <v>2026</v>
      </c>
      <c r="DY1" s="125" t="s">
        <v>2027</v>
      </c>
      <c r="DZ1" s="125" t="s">
        <v>2028</v>
      </c>
      <c r="EA1" s="128" t="s">
        <v>2029</v>
      </c>
      <c r="EB1" s="128" t="s">
        <v>2030</v>
      </c>
      <c r="EC1" s="125" t="s">
        <v>2031</v>
      </c>
      <c r="ED1" s="125" t="s">
        <v>2032</v>
      </c>
      <c r="EE1" s="125" t="s">
        <v>2033</v>
      </c>
      <c r="EF1" s="125" t="s">
        <v>2034</v>
      </c>
      <c r="EG1" s="125" t="s">
        <v>2035</v>
      </c>
      <c r="EH1" s="128" t="s">
        <v>2036</v>
      </c>
      <c r="EI1" s="128" t="s">
        <v>2037</v>
      </c>
      <c r="EJ1" s="127" t="s">
        <v>2038</v>
      </c>
      <c r="EK1" s="125" t="s">
        <v>2039</v>
      </c>
      <c r="EL1" s="125" t="s">
        <v>2040</v>
      </c>
      <c r="EM1" s="125" t="s">
        <v>2041</v>
      </c>
      <c r="EN1" s="125" t="s">
        <v>2042</v>
      </c>
      <c r="EO1" s="128" t="s">
        <v>2043</v>
      </c>
      <c r="EP1" s="128" t="s">
        <v>2044</v>
      </c>
      <c r="EQ1" s="125" t="s">
        <v>2045</v>
      </c>
      <c r="ER1" s="125" t="s">
        <v>2046</v>
      </c>
      <c r="ES1" s="125" t="s">
        <v>2047</v>
      </c>
      <c r="ET1" s="125" t="s">
        <v>2048</v>
      </c>
      <c r="EU1" s="125" t="s">
        <v>2049</v>
      </c>
      <c r="EV1" s="128" t="s">
        <v>2050</v>
      </c>
      <c r="EW1" t="s">
        <v>2051</v>
      </c>
      <c r="EX1" t="s">
        <v>2052</v>
      </c>
      <c r="EY1" t="s">
        <v>2053</v>
      </c>
      <c r="EZ1" t="s">
        <v>2054</v>
      </c>
      <c r="FA1" t="s">
        <v>2055</v>
      </c>
      <c r="FB1" t="s">
        <v>2056</v>
      </c>
      <c r="FC1" t="s">
        <v>2057</v>
      </c>
      <c r="FD1" t="s">
        <v>2058</v>
      </c>
      <c r="FE1" t="s">
        <v>2059</v>
      </c>
      <c r="FF1" t="s">
        <v>2060</v>
      </c>
      <c r="FG1" t="s">
        <v>2061</v>
      </c>
      <c r="FH1" t="s">
        <v>2062</v>
      </c>
      <c r="FI1" t="s">
        <v>2063</v>
      </c>
      <c r="FJ1" t="s">
        <v>2064</v>
      </c>
      <c r="FK1" t="s">
        <v>2065</v>
      </c>
      <c r="FL1" t="s">
        <v>2066</v>
      </c>
      <c r="FM1" t="s">
        <v>2067</v>
      </c>
      <c r="FN1" t="s">
        <v>2068</v>
      </c>
      <c r="FO1" t="s">
        <v>2069</v>
      </c>
      <c r="FP1" t="s">
        <v>2070</v>
      </c>
      <c r="FQ1" t="s">
        <v>2071</v>
      </c>
      <c r="FR1" t="s">
        <v>2072</v>
      </c>
      <c r="FS1" t="s">
        <v>2073</v>
      </c>
      <c r="FT1" t="s">
        <v>2074</v>
      </c>
      <c r="FU1" t="s">
        <v>2075</v>
      </c>
      <c r="FV1" t="s">
        <v>2076</v>
      </c>
      <c r="FW1" t="s">
        <v>2077</v>
      </c>
      <c r="FX1" t="s">
        <v>2078</v>
      </c>
      <c r="FY1" t="s">
        <v>2079</v>
      </c>
      <c r="FZ1" t="s">
        <v>2080</v>
      </c>
      <c r="GA1" t="s">
        <v>2081</v>
      </c>
      <c r="GB1" t="s">
        <v>2082</v>
      </c>
      <c r="GC1" t="s">
        <v>2083</v>
      </c>
      <c r="GD1" t="s">
        <v>2084</v>
      </c>
      <c r="GE1" t="s">
        <v>2085</v>
      </c>
      <c r="GF1" t="s">
        <v>2086</v>
      </c>
      <c r="GG1" t="s">
        <v>2087</v>
      </c>
      <c r="GH1" t="s">
        <v>2088</v>
      </c>
      <c r="GI1" t="s">
        <v>2089</v>
      </c>
      <c r="GJ1" t="s">
        <v>2090</v>
      </c>
      <c r="GK1" t="s">
        <v>2091</v>
      </c>
      <c r="GL1" t="s">
        <v>2092</v>
      </c>
      <c r="GM1" t="s">
        <v>2093</v>
      </c>
      <c r="GN1" t="s">
        <v>2094</v>
      </c>
      <c r="GO1" t="s">
        <v>2095</v>
      </c>
      <c r="GP1" t="s">
        <v>2096</v>
      </c>
      <c r="GQ1" t="s">
        <v>2097</v>
      </c>
      <c r="GR1" t="s">
        <v>2098</v>
      </c>
      <c r="GS1" t="s">
        <v>2099</v>
      </c>
      <c r="GT1" t="s">
        <v>2100</v>
      </c>
      <c r="GU1" t="s">
        <v>2101</v>
      </c>
      <c r="GV1" t="s">
        <v>2102</v>
      </c>
      <c r="GW1" t="s">
        <v>2103</v>
      </c>
      <c r="GX1" t="s">
        <v>2104</v>
      </c>
      <c r="GY1" t="s">
        <v>2105</v>
      </c>
      <c r="GZ1" t="s">
        <v>2106</v>
      </c>
      <c r="HA1" t="s">
        <v>2107</v>
      </c>
      <c r="HB1" t="s">
        <v>2108</v>
      </c>
      <c r="HC1" t="s">
        <v>2109</v>
      </c>
      <c r="HD1" t="s">
        <v>2110</v>
      </c>
      <c r="HE1" t="s">
        <v>2111</v>
      </c>
      <c r="HF1" s="129" t="s">
        <v>2112</v>
      </c>
      <c r="HG1" s="129" t="s">
        <v>2113</v>
      </c>
      <c r="HH1" s="129" t="s">
        <v>2114</v>
      </c>
      <c r="HI1" s="129" t="s">
        <v>2115</v>
      </c>
      <c r="HJ1" s="129" t="s">
        <v>2116</v>
      </c>
      <c r="HK1" s="129" t="s">
        <v>2117</v>
      </c>
      <c r="HL1" s="129" t="s">
        <v>2118</v>
      </c>
      <c r="HM1" s="129" t="s">
        <v>2119</v>
      </c>
      <c r="HN1" s="129" t="s">
        <v>2120</v>
      </c>
      <c r="HO1" s="129" t="s">
        <v>2121</v>
      </c>
      <c r="HP1" s="129" t="s">
        <v>2122</v>
      </c>
      <c r="HQ1" s="129" t="s">
        <v>2123</v>
      </c>
      <c r="HR1" s="129" t="s">
        <v>2124</v>
      </c>
      <c r="HS1" s="129" t="s">
        <v>2125</v>
      </c>
      <c r="HT1" s="129" t="s">
        <v>2126</v>
      </c>
      <c r="HU1" s="129" t="s">
        <v>2127</v>
      </c>
      <c r="HV1" s="129" t="s">
        <v>2128</v>
      </c>
      <c r="HW1" s="129" t="s">
        <v>2129</v>
      </c>
      <c r="HX1" s="129" t="s">
        <v>2130</v>
      </c>
      <c r="HY1" s="129" t="s">
        <v>2131</v>
      </c>
      <c r="HZ1" s="129" t="s">
        <v>2132</v>
      </c>
      <c r="IA1" s="129" t="s">
        <v>2133</v>
      </c>
      <c r="IB1" s="129" t="s">
        <v>2134</v>
      </c>
      <c r="IC1" s="129" t="s">
        <v>2135</v>
      </c>
      <c r="ID1" s="129" t="s">
        <v>2136</v>
      </c>
      <c r="IE1" s="129" t="s">
        <v>2137</v>
      </c>
      <c r="IF1" s="129" t="s">
        <v>2138</v>
      </c>
      <c r="IG1" s="129" t="s">
        <v>2139</v>
      </c>
      <c r="IH1" s="129" t="s">
        <v>2140</v>
      </c>
      <c r="II1" s="129" t="s">
        <v>2141</v>
      </c>
      <c r="IJ1" s="129" t="s">
        <v>2142</v>
      </c>
      <c r="IK1" s="130" t="s">
        <v>2143</v>
      </c>
      <c r="IL1" s="130" t="s">
        <v>2144</v>
      </c>
      <c r="IM1" s="130" t="s">
        <v>2145</v>
      </c>
      <c r="IN1" s="131" t="s">
        <v>2146</v>
      </c>
      <c r="IO1" s="131" t="s">
        <v>2147</v>
      </c>
      <c r="IP1" s="130" t="s">
        <v>2148</v>
      </c>
      <c r="IQ1" s="130" t="s">
        <v>2149</v>
      </c>
      <c r="IR1" s="130" t="s">
        <v>2150</v>
      </c>
      <c r="IS1" s="130" t="s">
        <v>2151</v>
      </c>
      <c r="IT1" s="130" t="s">
        <v>2152</v>
      </c>
      <c r="IU1" s="131" t="s">
        <v>2153</v>
      </c>
      <c r="IV1" s="131" t="s">
        <v>2154</v>
      </c>
      <c r="IW1" s="130" t="s">
        <v>2155</v>
      </c>
      <c r="IX1" s="130" t="s">
        <v>2156</v>
      </c>
      <c r="IY1" s="130" t="s">
        <v>2157</v>
      </c>
      <c r="IZ1" s="130" t="s">
        <v>2158</v>
      </c>
      <c r="JA1" s="130" t="s">
        <v>2159</v>
      </c>
      <c r="JB1" s="131" t="s">
        <v>2160</v>
      </c>
      <c r="JC1" s="131" t="s">
        <v>2161</v>
      </c>
      <c r="JD1" s="130" t="s">
        <v>2162</v>
      </c>
      <c r="JE1" s="130" t="s">
        <v>2163</v>
      </c>
      <c r="JF1" s="130" t="s">
        <v>2164</v>
      </c>
      <c r="JG1" s="130" t="s">
        <v>2165</v>
      </c>
      <c r="JH1" s="130" t="s">
        <v>2166</v>
      </c>
      <c r="JI1" s="131" t="s">
        <v>2167</v>
      </c>
      <c r="JJ1" s="131" t="s">
        <v>2168</v>
      </c>
      <c r="JK1" s="130" t="s">
        <v>2169</v>
      </c>
      <c r="JL1" s="132" t="s">
        <v>2170</v>
      </c>
      <c r="JM1" s="132" t="s">
        <v>2171</v>
      </c>
      <c r="JN1" s="130" t="s">
        <v>2172</v>
      </c>
      <c r="JO1" s="130" t="s">
        <v>2173</v>
      </c>
      <c r="JP1" s="133" t="s">
        <v>2174</v>
      </c>
      <c r="JQ1" s="133" t="s">
        <v>2175</v>
      </c>
      <c r="JR1" s="125" t="s">
        <v>2176</v>
      </c>
      <c r="JS1" s="125" t="s">
        <v>2177</v>
      </c>
      <c r="JT1" s="125" t="s">
        <v>2178</v>
      </c>
      <c r="JU1" s="125" t="s">
        <v>2179</v>
      </c>
      <c r="JV1" s="125" t="s">
        <v>2180</v>
      </c>
      <c r="JW1" s="133" t="s">
        <v>2181</v>
      </c>
      <c r="JX1" s="133" t="s">
        <v>2182</v>
      </c>
      <c r="JY1" s="125" t="s">
        <v>2183</v>
      </c>
      <c r="JZ1" s="125" t="s">
        <v>2184</v>
      </c>
      <c r="KA1" s="125" t="s">
        <v>2185</v>
      </c>
      <c r="KB1" s="125" t="s">
        <v>2186</v>
      </c>
      <c r="KC1" s="125" t="s">
        <v>2187</v>
      </c>
      <c r="KD1" s="133" t="s">
        <v>2188</v>
      </c>
      <c r="KE1" s="133" t="s">
        <v>2189</v>
      </c>
      <c r="KF1" s="125" t="s">
        <v>2190</v>
      </c>
      <c r="KG1" s="125" t="s">
        <v>2191</v>
      </c>
      <c r="KH1" s="125" t="s">
        <v>2192</v>
      </c>
      <c r="KI1" s="125" t="s">
        <v>2193</v>
      </c>
      <c r="KJ1" s="125" t="s">
        <v>2194</v>
      </c>
      <c r="KK1" s="133" t="s">
        <v>2195</v>
      </c>
      <c r="KL1" s="133" t="s">
        <v>2196</v>
      </c>
      <c r="KM1" s="125" t="s">
        <v>2197</v>
      </c>
      <c r="KN1" s="125" t="s">
        <v>2198</v>
      </c>
      <c r="KO1" s="125" t="s">
        <v>2199</v>
      </c>
      <c r="KP1" s="125" t="s">
        <v>2200</v>
      </c>
      <c r="KQ1" s="125" t="s">
        <v>2201</v>
      </c>
      <c r="KR1" s="133" t="s">
        <v>2202</v>
      </c>
      <c r="KS1" s="133" t="s">
        <v>2203</v>
      </c>
      <c r="KT1" s="134" t="s">
        <v>2204</v>
      </c>
      <c r="KU1" s="134" t="s">
        <v>2205</v>
      </c>
      <c r="KV1" s="134" t="s">
        <v>2206</v>
      </c>
      <c r="KW1" s="134" t="s">
        <v>2207</v>
      </c>
      <c r="KX1" s="134" t="s">
        <v>2208</v>
      </c>
      <c r="KY1" s="135" t="s">
        <v>2209</v>
      </c>
      <c r="KZ1" s="135" t="s">
        <v>2210</v>
      </c>
      <c r="LA1" s="134" t="s">
        <v>2211</v>
      </c>
      <c r="LB1" s="134" t="s">
        <v>2212</v>
      </c>
      <c r="LC1" s="134" t="s">
        <v>2213</v>
      </c>
      <c r="LD1" s="134" t="s">
        <v>2214</v>
      </c>
      <c r="LE1" s="134" t="s">
        <v>2215</v>
      </c>
      <c r="LF1" s="135" t="s">
        <v>2216</v>
      </c>
      <c r="LG1" s="135" t="s">
        <v>2217</v>
      </c>
      <c r="LH1" s="134" t="s">
        <v>2218</v>
      </c>
      <c r="LI1" s="134" t="s">
        <v>2219</v>
      </c>
      <c r="LJ1" s="134" t="s">
        <v>2220</v>
      </c>
      <c r="LK1" s="134" t="s">
        <v>2221</v>
      </c>
      <c r="LL1" s="134" t="s">
        <v>2222</v>
      </c>
      <c r="LM1" s="135" t="s">
        <v>2223</v>
      </c>
      <c r="LN1" s="135" t="s">
        <v>2224</v>
      </c>
      <c r="LO1" s="134" t="s">
        <v>2225</v>
      </c>
      <c r="LP1" s="134" t="s">
        <v>2226</v>
      </c>
      <c r="LQ1" s="134" t="s">
        <v>2227</v>
      </c>
      <c r="LR1" s="134" t="s">
        <v>2228</v>
      </c>
      <c r="LS1" s="134" t="s">
        <v>2229</v>
      </c>
      <c r="LT1" s="135" t="s">
        <v>2230</v>
      </c>
      <c r="LU1" s="135" t="s">
        <v>2231</v>
      </c>
      <c r="LV1" s="134" t="s">
        <v>2232</v>
      </c>
      <c r="LW1" s="134" t="s">
        <v>2233</v>
      </c>
      <c r="LX1" s="134" t="s">
        <v>2234</v>
      </c>
    </row>
    <row r="2" spans="1:336">
      <c r="A2" s="136" t="s">
        <v>2235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>
      <c r="A3" s="136" t="s">
        <v>2236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>
      <c r="A4" s="136" t="s">
        <v>2237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>
      <c r="A5" s="136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>
      <c r="A6" s="136" t="s">
        <v>2238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>
      <c r="A7" s="136" t="s">
        <v>2239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>
      <c r="A8" s="136" t="s">
        <v>2240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>
      <c r="A9" s="136" t="s">
        <v>1844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>
      <c r="A10" s="136" t="s">
        <v>2241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>
      <c r="A14" t="s">
        <v>2240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JG1" workbookViewId="0">
      <selection activeCell="JM12" sqref="JM12:JM15"/>
    </sheetView>
  </sheetViews>
  <sheetFormatPr defaultColWidth="8.88671875" defaultRowHeight="14.4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>
      <c r="B2" s="84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>
      <c r="A3" s="85">
        <f>SUM(C3:NC3)</f>
        <v>386459.31225292693</v>
      </c>
      <c r="B3" s="86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>
      <c r="A4" s="87">
        <f>SUM(C4:NC4)</f>
        <v>40611531</v>
      </c>
      <c r="B4" s="88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09">
        <v>172650</v>
      </c>
      <c r="CH4" s="109">
        <v>170792</v>
      </c>
      <c r="CI4" s="109">
        <v>116743</v>
      </c>
      <c r="CJ4" s="109">
        <v>91124</v>
      </c>
      <c r="CK4" s="109">
        <v>63408</v>
      </c>
      <c r="CL4" s="109">
        <v>27247</v>
      </c>
      <c r="CP4" s="109">
        <v>182899</v>
      </c>
      <c r="CQ4" s="109">
        <v>100177</v>
      </c>
      <c r="CR4" s="109">
        <v>75019</v>
      </c>
      <c r="CS4" s="109">
        <v>65877</v>
      </c>
      <c r="CT4" s="109">
        <v>74151</v>
      </c>
      <c r="CU4" s="109">
        <v>110181</v>
      </c>
      <c r="CV4" s="109">
        <v>103249</v>
      </c>
      <c r="CW4" s="109">
        <v>98677</v>
      </c>
      <c r="CX4" s="109">
        <v>100096</v>
      </c>
      <c r="CY4" s="109">
        <v>149790</v>
      </c>
      <c r="CZ4" s="109">
        <v>58733</v>
      </c>
      <c r="DA4" s="109">
        <v>70042</v>
      </c>
      <c r="DB4" s="109">
        <v>148764</v>
      </c>
      <c r="DC4" s="109">
        <v>150857</v>
      </c>
      <c r="DD4" s="109">
        <v>100382</v>
      </c>
      <c r="DE4" s="109">
        <v>138215</v>
      </c>
      <c r="DF4" s="109">
        <v>110888</v>
      </c>
      <c r="DG4" s="109">
        <v>67452</v>
      </c>
      <c r="DH4" s="109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5">
        <v>196963</v>
      </c>
      <c r="ES4" s="105">
        <v>202646</v>
      </c>
      <c r="ET4" s="105">
        <v>206613</v>
      </c>
      <c r="EU4" s="105">
        <v>206702</v>
      </c>
      <c r="EV4" s="105">
        <v>197727</v>
      </c>
      <c r="EW4" s="110">
        <v>197735</v>
      </c>
      <c r="EX4" s="105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89">
        <v>152620</v>
      </c>
      <c r="GP4" s="89"/>
      <c r="GQ4" s="89">
        <v>164041</v>
      </c>
      <c r="GR4" s="89">
        <v>180269</v>
      </c>
      <c r="GS4" s="89">
        <v>174283</v>
      </c>
      <c r="GT4" s="89">
        <v>169294</v>
      </c>
      <c r="GU4" s="89">
        <v>78532</v>
      </c>
      <c r="GV4" s="89">
        <v>92881</v>
      </c>
      <c r="GW4" s="89">
        <v>107137</v>
      </c>
      <c r="GX4" s="89">
        <v>100719</v>
      </c>
      <c r="GY4" s="89">
        <v>116219</v>
      </c>
      <c r="GZ4" s="89">
        <v>121532</v>
      </c>
      <c r="HA4" s="89">
        <v>63151</v>
      </c>
      <c r="HB4" s="89">
        <v>51606</v>
      </c>
      <c r="HC4" s="90">
        <v>108284</v>
      </c>
      <c r="HD4" s="90">
        <v>115009</v>
      </c>
      <c r="HE4" s="90">
        <v>116878</v>
      </c>
      <c r="HF4" s="90">
        <v>118892</v>
      </c>
      <c r="HG4" s="90">
        <v>111973</v>
      </c>
      <c r="HH4" s="90">
        <v>58730</v>
      </c>
      <c r="HI4" s="90">
        <v>49041</v>
      </c>
      <c r="HJ4" s="90">
        <v>136386</v>
      </c>
      <c r="HK4" s="90">
        <v>105080</v>
      </c>
      <c r="HL4" s="90">
        <v>103987</v>
      </c>
      <c r="HM4" s="90">
        <v>96803</v>
      </c>
      <c r="HN4" s="90">
        <v>88418</v>
      </c>
      <c r="HO4" s="90">
        <v>68473</v>
      </c>
      <c r="HP4" s="90">
        <v>45570</v>
      </c>
      <c r="HQ4" s="90">
        <v>122561</v>
      </c>
      <c r="HR4" s="90">
        <v>113638</v>
      </c>
      <c r="HS4" s="90">
        <v>118141</v>
      </c>
      <c r="HT4" s="90">
        <v>101491</v>
      </c>
      <c r="HU4" s="90">
        <v>84871</v>
      </c>
      <c r="HV4" s="90">
        <v>56302</v>
      </c>
      <c r="HW4" s="90">
        <v>45814</v>
      </c>
      <c r="HX4" s="90">
        <v>109580</v>
      </c>
      <c r="HY4" s="90">
        <v>95068</v>
      </c>
      <c r="HZ4" s="90">
        <v>83283</v>
      </c>
      <c r="IA4" s="90">
        <v>99015</v>
      </c>
      <c r="IB4" s="90">
        <v>93242</v>
      </c>
      <c r="IC4" s="90">
        <v>95630</v>
      </c>
      <c r="ID4" s="90">
        <v>96757</v>
      </c>
      <c r="IE4" s="90">
        <v>122628</v>
      </c>
      <c r="IF4" s="90">
        <v>126947</v>
      </c>
      <c r="IG4" s="90">
        <v>125434</v>
      </c>
      <c r="IH4" s="90">
        <v>129677</v>
      </c>
      <c r="II4" s="90">
        <v>101385</v>
      </c>
      <c r="IJ4" s="90">
        <v>100795</v>
      </c>
      <c r="IK4" s="90">
        <v>85407</v>
      </c>
      <c r="IL4" s="90">
        <v>109577</v>
      </c>
      <c r="IM4" s="90">
        <v>122602</v>
      </c>
      <c r="IN4" s="90">
        <v>116689</v>
      </c>
      <c r="IO4" s="90">
        <v>111444</v>
      </c>
      <c r="IP4" s="90">
        <v>99777</v>
      </c>
      <c r="IQ4" s="90">
        <v>93307</v>
      </c>
      <c r="IR4" s="90">
        <v>106994</v>
      </c>
      <c r="IS4" s="90">
        <v>121434</v>
      </c>
      <c r="IT4" s="90">
        <v>128490</v>
      </c>
      <c r="IU4" s="90">
        <v>141494</v>
      </c>
      <c r="IV4" s="90">
        <v>161557</v>
      </c>
      <c r="IW4" s="90">
        <v>128758</v>
      </c>
      <c r="IX4" s="90">
        <v>86356</v>
      </c>
      <c r="IY4" s="90">
        <v>56899</v>
      </c>
      <c r="IZ4" s="90">
        <v>123937</v>
      </c>
      <c r="JA4" s="90">
        <v>122283</v>
      </c>
      <c r="JB4" s="90">
        <v>118150</v>
      </c>
      <c r="JC4" s="90">
        <v>104335</v>
      </c>
      <c r="JD4" s="90">
        <v>104320</v>
      </c>
      <c r="JE4" s="90">
        <v>60346</v>
      </c>
      <c r="JF4" s="90">
        <v>60708</v>
      </c>
      <c r="JG4" s="90">
        <v>120167</v>
      </c>
      <c r="JH4" s="90">
        <v>148785</v>
      </c>
      <c r="JI4" s="90">
        <v>136203</v>
      </c>
      <c r="JJ4" s="90">
        <v>132615</v>
      </c>
      <c r="JK4" s="90">
        <v>92775</v>
      </c>
      <c r="JL4" s="90">
        <v>59180</v>
      </c>
      <c r="JM4" s="90">
        <v>65127</v>
      </c>
      <c r="JN4" s="90">
        <v>153072</v>
      </c>
      <c r="JO4" s="90">
        <v>161820</v>
      </c>
      <c r="JP4" s="90">
        <v>149159</v>
      </c>
      <c r="JQ4" s="90">
        <v>103876</v>
      </c>
      <c r="JR4" s="90">
        <v>115769</v>
      </c>
      <c r="JS4" s="90">
        <v>63307</v>
      </c>
      <c r="JT4" s="90">
        <v>59694</v>
      </c>
      <c r="JU4" s="90">
        <v>125434</v>
      </c>
      <c r="JV4" s="90">
        <v>125423</v>
      </c>
      <c r="JW4" s="90">
        <v>157843</v>
      </c>
      <c r="JX4" s="90">
        <v>155570</v>
      </c>
      <c r="JY4" s="90">
        <v>139940</v>
      </c>
      <c r="JZ4" s="90">
        <v>85806</v>
      </c>
      <c r="KA4" s="90">
        <v>56169</v>
      </c>
      <c r="KB4" s="90">
        <v>164752</v>
      </c>
      <c r="KC4" s="90">
        <v>170535</v>
      </c>
      <c r="KD4" s="90">
        <v>165826</v>
      </c>
      <c r="KE4" s="90">
        <v>175109</v>
      </c>
      <c r="KF4" s="90">
        <v>148154</v>
      </c>
      <c r="KG4" s="90">
        <v>139944</v>
      </c>
      <c r="KH4" s="90">
        <v>111545</v>
      </c>
      <c r="KI4" s="90">
        <v>159219</v>
      </c>
      <c r="KJ4" s="90">
        <v>152775</v>
      </c>
      <c r="KK4" s="90">
        <v>151971</v>
      </c>
      <c r="KL4" s="90">
        <v>150861</v>
      </c>
      <c r="KM4" s="90">
        <v>144865</v>
      </c>
      <c r="KN4" s="90">
        <v>99281</v>
      </c>
      <c r="KO4" s="90">
        <v>81435</v>
      </c>
      <c r="KP4" s="90">
        <v>184895</v>
      </c>
      <c r="KQ4" s="90">
        <v>150273</v>
      </c>
      <c r="KR4" s="90">
        <v>191130</v>
      </c>
      <c r="KS4" s="90">
        <v>195483</v>
      </c>
      <c r="KT4" s="90">
        <v>197767</v>
      </c>
      <c r="KU4" s="90">
        <v>125220</v>
      </c>
      <c r="KV4" s="90">
        <v>63453</v>
      </c>
      <c r="KW4" s="90">
        <v>178357</v>
      </c>
      <c r="KX4" s="90">
        <v>170652</v>
      </c>
      <c r="KY4" s="90">
        <v>152577</v>
      </c>
      <c r="KZ4" s="90">
        <v>119996</v>
      </c>
      <c r="LA4" s="90">
        <v>115433</v>
      </c>
      <c r="LB4" s="90">
        <v>61310</v>
      </c>
      <c r="LC4" s="90">
        <v>62095</v>
      </c>
      <c r="LD4" s="90">
        <v>116212</v>
      </c>
      <c r="LE4" s="90">
        <v>91725</v>
      </c>
      <c r="LF4" s="90">
        <v>133479</v>
      </c>
      <c r="LG4" s="90">
        <v>146155</v>
      </c>
      <c r="LH4" s="90">
        <v>136130</v>
      </c>
      <c r="LI4" s="90">
        <v>67954</v>
      </c>
      <c r="LJ4" s="90">
        <v>73071</v>
      </c>
      <c r="LK4" s="90">
        <v>178927</v>
      </c>
      <c r="LL4" s="90">
        <v>153108</v>
      </c>
      <c r="LM4" s="90">
        <v>137630</v>
      </c>
      <c r="LN4" s="90">
        <v>116750</v>
      </c>
      <c r="LO4" s="90">
        <v>86990</v>
      </c>
      <c r="LP4" s="90">
        <v>67949</v>
      </c>
      <c r="LQ4" s="90">
        <v>77429</v>
      </c>
      <c r="LR4" s="90">
        <v>141194</v>
      </c>
      <c r="LS4" s="90">
        <v>124436</v>
      </c>
      <c r="LT4" s="90">
        <v>141569</v>
      </c>
      <c r="LU4" s="90">
        <v>134901</v>
      </c>
      <c r="LV4" s="90">
        <v>159988</v>
      </c>
      <c r="LW4" s="90">
        <v>85449</v>
      </c>
      <c r="LX4" s="90">
        <v>58431</v>
      </c>
      <c r="LY4" s="90">
        <v>172452</v>
      </c>
      <c r="LZ4" s="90">
        <v>178740</v>
      </c>
      <c r="MA4" s="90">
        <v>144396</v>
      </c>
      <c r="MB4" s="90">
        <v>160739</v>
      </c>
      <c r="MC4" s="90">
        <v>155041</v>
      </c>
      <c r="MD4" s="90">
        <v>93313</v>
      </c>
      <c r="ME4" s="90">
        <v>67239</v>
      </c>
      <c r="MF4" s="90">
        <v>173088</v>
      </c>
      <c r="MG4" s="90">
        <v>189441</v>
      </c>
      <c r="MH4" s="90">
        <v>176291</v>
      </c>
      <c r="MI4" s="90">
        <v>140821</v>
      </c>
      <c r="MJ4" s="90">
        <v>119825</v>
      </c>
      <c r="MK4" s="90">
        <v>87657</v>
      </c>
      <c r="ML4" s="90">
        <v>60830</v>
      </c>
      <c r="MM4" s="90">
        <v>125765</v>
      </c>
      <c r="MN4" s="90">
        <v>137509</v>
      </c>
      <c r="MO4" s="90">
        <v>140477</v>
      </c>
      <c r="MP4" s="90">
        <v>148646</v>
      </c>
      <c r="MQ4" s="90">
        <v>114766</v>
      </c>
      <c r="MR4" s="90">
        <v>125717</v>
      </c>
      <c r="MS4" s="90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>
      <c r="A5" s="91">
        <f>+A4/A3</f>
        <v>105.08617521272427</v>
      </c>
      <c r="B5" s="92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>
      <c r="LM6" s="25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7" t="s">
        <v>28</v>
      </c>
      <c r="GA8" s="7" t="s">
        <v>28</v>
      </c>
      <c r="GB8" s="7" t="s">
        <v>28</v>
      </c>
      <c r="GC8" s="7" t="s">
        <v>28</v>
      </c>
      <c r="GD8" s="7" t="s">
        <v>28</v>
      </c>
      <c r="GE8" s="7" t="s">
        <v>28</v>
      </c>
      <c r="GF8" s="7" t="s">
        <v>28</v>
      </c>
      <c r="GG8" s="7" t="s">
        <v>29</v>
      </c>
      <c r="GH8" s="7" t="s">
        <v>29</v>
      </c>
      <c r="GI8" s="7" t="s">
        <v>29</v>
      </c>
      <c r="GJ8" s="7" t="s">
        <v>29</v>
      </c>
      <c r="GK8" s="7" t="s">
        <v>29</v>
      </c>
      <c r="GL8" s="7" t="s">
        <v>29</v>
      </c>
      <c r="GM8" s="7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7" t="s">
        <v>35</v>
      </c>
      <c r="HX8" s="7" t="s">
        <v>35</v>
      </c>
      <c r="HY8" s="7" t="s">
        <v>35</v>
      </c>
      <c r="HZ8" s="7" t="s">
        <v>35</v>
      </c>
      <c r="IA8" s="7" t="s">
        <v>35</v>
      </c>
      <c r="IB8" s="7" t="s">
        <v>35</v>
      </c>
      <c r="IC8" s="7" t="s">
        <v>35</v>
      </c>
      <c r="ID8" s="7" t="s">
        <v>36</v>
      </c>
      <c r="IE8" s="7" t="s">
        <v>36</v>
      </c>
      <c r="IF8" s="7" t="s">
        <v>36</v>
      </c>
      <c r="IG8" s="7" t="s">
        <v>36</v>
      </c>
      <c r="IH8" s="7" t="s">
        <v>36</v>
      </c>
      <c r="II8" s="7" t="s">
        <v>36</v>
      </c>
      <c r="IJ8" s="7" t="s">
        <v>36</v>
      </c>
      <c r="IK8" s="7" t="s">
        <v>37</v>
      </c>
      <c r="IL8" s="7" t="s">
        <v>37</v>
      </c>
      <c r="IM8" s="7" t="s">
        <v>37</v>
      </c>
      <c r="IN8" s="7" t="s">
        <v>37</v>
      </c>
      <c r="IO8" s="7" t="s">
        <v>37</v>
      </c>
      <c r="IP8" s="7" t="s">
        <v>37</v>
      </c>
      <c r="IQ8" s="7" t="s">
        <v>37</v>
      </c>
      <c r="IR8" s="7" t="s">
        <v>38</v>
      </c>
      <c r="IS8" s="7" t="s">
        <v>38</v>
      </c>
      <c r="IT8" s="7" t="s">
        <v>38</v>
      </c>
      <c r="IU8" s="7" t="s">
        <v>38</v>
      </c>
      <c r="IV8" s="7" t="s">
        <v>38</v>
      </c>
      <c r="IW8" s="7" t="s">
        <v>38</v>
      </c>
      <c r="IX8" s="7" t="s">
        <v>38</v>
      </c>
      <c r="IY8" s="7" t="s">
        <v>39</v>
      </c>
      <c r="IZ8" s="7" t="s">
        <v>39</v>
      </c>
      <c r="JA8" s="7" t="s">
        <v>39</v>
      </c>
      <c r="JB8" s="7" t="s">
        <v>39</v>
      </c>
      <c r="JC8" s="7" t="s">
        <v>39</v>
      </c>
      <c r="JD8" s="7" t="s">
        <v>39</v>
      </c>
      <c r="JE8" s="7" t="s">
        <v>39</v>
      </c>
      <c r="JF8" s="7" t="s">
        <v>40</v>
      </c>
      <c r="JG8" s="7" t="s">
        <v>40</v>
      </c>
      <c r="JH8" s="7" t="s">
        <v>40</v>
      </c>
      <c r="JI8" s="7" t="s">
        <v>40</v>
      </c>
      <c r="JJ8" s="7" t="s">
        <v>40</v>
      </c>
      <c r="JK8" s="7" t="s">
        <v>40</v>
      </c>
      <c r="JL8" s="7" t="s">
        <v>40</v>
      </c>
      <c r="JM8" s="7" t="s">
        <v>41</v>
      </c>
      <c r="JN8" s="7" t="s">
        <v>41</v>
      </c>
      <c r="JO8" s="7" t="s">
        <v>41</v>
      </c>
      <c r="JP8" s="7" t="s">
        <v>41</v>
      </c>
      <c r="JQ8" s="7" t="s">
        <v>41</v>
      </c>
      <c r="JR8" s="7" t="s">
        <v>41</v>
      </c>
      <c r="JS8" s="7" t="s">
        <v>41</v>
      </c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>
      <c r="A9" s="13">
        <f>+SUM(C9:NC9)</f>
        <v>312470.51826842857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7">
        <v>1500.5722862245773</v>
      </c>
      <c r="GA9" s="7">
        <v>1398.341109029149</v>
      </c>
      <c r="GB9" s="7">
        <v>1332.5027245220833</v>
      </c>
      <c r="GC9" s="7">
        <v>1483.223736078673</v>
      </c>
      <c r="GD9" s="7">
        <v>1443.3276908375058</v>
      </c>
      <c r="GE9" s="7">
        <v>1387.8265927937293</v>
      </c>
      <c r="GF9" s="8"/>
      <c r="GG9" s="7">
        <v>1416.2855681735525</v>
      </c>
      <c r="GH9" s="7">
        <v>1710.2169070250193</v>
      </c>
      <c r="GI9" s="7">
        <v>1587.3009881158021</v>
      </c>
      <c r="GJ9" s="7">
        <v>1525.3475981077147</v>
      </c>
      <c r="GK9" s="7">
        <v>1506.2213481334288</v>
      </c>
      <c r="GL9" s="7">
        <v>1480.4319183640728</v>
      </c>
      <c r="GM9" s="7">
        <v>1481.6076086956518</v>
      </c>
      <c r="GN9" s="7">
        <v>1460.8824186728662</v>
      </c>
      <c r="GO9" s="7">
        <v>1029.6377640746935</v>
      </c>
      <c r="GP9" s="7">
        <v>1131.4957890292892</v>
      </c>
      <c r="GQ9" s="7">
        <v>1407.4166666666665</v>
      </c>
      <c r="GR9" s="7">
        <v>1377</v>
      </c>
      <c r="GS9" s="7">
        <v>1192.75</v>
      </c>
      <c r="GT9" s="8"/>
      <c r="GU9" s="7">
        <v>1166.5670371370768</v>
      </c>
      <c r="GV9" s="7">
        <v>1313.4166666666665</v>
      </c>
      <c r="GW9" s="7">
        <v>1222.6489447609299</v>
      </c>
      <c r="GX9" s="7">
        <v>1237.4642968997496</v>
      </c>
      <c r="GY9" s="7">
        <v>1364.3333333333333</v>
      </c>
      <c r="GZ9" s="7">
        <v>1320.2499999999998</v>
      </c>
      <c r="HA9" s="7">
        <v>1087.3333333333335</v>
      </c>
      <c r="HB9" s="7">
        <v>1446.4166666666667</v>
      </c>
      <c r="HC9" s="7">
        <v>1350</v>
      </c>
      <c r="HD9" s="7">
        <v>1293.9166666666665</v>
      </c>
      <c r="HE9" s="7">
        <v>1396.3333333333335</v>
      </c>
      <c r="HF9" s="7">
        <v>1427.6666666666665</v>
      </c>
      <c r="HG9" s="7">
        <v>986.5</v>
      </c>
      <c r="HH9" s="8"/>
      <c r="HI9" s="7">
        <v>1332.3333333333335</v>
      </c>
      <c r="HJ9" s="7">
        <v>1308.6666666666665</v>
      </c>
      <c r="HK9" s="7">
        <v>1217.2493272166109</v>
      </c>
      <c r="HL9" s="7">
        <v>1212.5823186454384</v>
      </c>
      <c r="HM9" s="7">
        <v>1261.5422500650027</v>
      </c>
      <c r="HN9" s="7">
        <v>1268.2499999999998</v>
      </c>
      <c r="HO9" s="7">
        <v>1059.25</v>
      </c>
      <c r="HP9" s="7">
        <v>1350.6658848392622</v>
      </c>
      <c r="HQ9" s="7">
        <v>1418.4233942753203</v>
      </c>
      <c r="HR9" s="7">
        <v>1496.6554189243263</v>
      </c>
      <c r="HS9" s="7">
        <v>1792.635309515998</v>
      </c>
      <c r="HT9" s="7">
        <v>2207.75</v>
      </c>
      <c r="HU9" s="7">
        <v>1966.6666666666667</v>
      </c>
      <c r="HV9" s="20"/>
      <c r="HW9" s="7">
        <v>1976.4924836219002</v>
      </c>
      <c r="HX9" s="7">
        <v>1652.1384353765604</v>
      </c>
      <c r="HY9" s="7">
        <v>1649.1191282821871</v>
      </c>
      <c r="HZ9" s="7">
        <v>1545.0311614190216</v>
      </c>
      <c r="IA9" s="7">
        <v>1563.7459645564024</v>
      </c>
      <c r="IB9" s="7">
        <v>1410.7024826215904</v>
      </c>
      <c r="IC9" s="7">
        <v>1187.3333333333335</v>
      </c>
      <c r="ID9" s="7">
        <v>1386.4914065407745</v>
      </c>
      <c r="IE9" s="7">
        <v>1184.4673483514666</v>
      </c>
      <c r="IF9" s="7">
        <v>1276.86762249648</v>
      </c>
      <c r="IG9" s="7">
        <v>1625.711248684222</v>
      </c>
      <c r="IH9" s="7">
        <v>1445.7764486123124</v>
      </c>
      <c r="II9" s="7">
        <v>1096.4730896786657</v>
      </c>
      <c r="IJ9" s="8"/>
      <c r="IK9" s="7">
        <v>1485.6653826687048</v>
      </c>
      <c r="IL9" s="7">
        <v>1409.7902515822786</v>
      </c>
      <c r="IM9" s="7">
        <v>1470.3927692941634</v>
      </c>
      <c r="IN9" s="7">
        <v>1964.5358630292276</v>
      </c>
      <c r="IO9" s="7">
        <v>1824.1028035852357</v>
      </c>
      <c r="IP9" s="7">
        <v>1297.025859532677</v>
      </c>
      <c r="IQ9" s="7">
        <v>835.10263561001989</v>
      </c>
      <c r="IR9" s="7">
        <v>1329.6283453179442</v>
      </c>
      <c r="IS9" s="7">
        <v>1220.8054449869933</v>
      </c>
      <c r="IT9" s="7">
        <v>1670.8393347771621</v>
      </c>
      <c r="IU9" s="7">
        <v>1542.5700486524672</v>
      </c>
      <c r="IV9" s="7">
        <v>1404.8627791850859</v>
      </c>
      <c r="IW9" s="7">
        <v>913.78077195809215</v>
      </c>
      <c r="IX9" s="8"/>
      <c r="IY9" s="7">
        <v>1638.375622216113</v>
      </c>
      <c r="IZ9" s="7">
        <v>1452.2762708136379</v>
      </c>
      <c r="JA9" s="7">
        <v>1486.0865396400832</v>
      </c>
      <c r="JB9" s="7">
        <v>1745.2345398471077</v>
      </c>
      <c r="JC9" s="7">
        <v>1315.8948164009375</v>
      </c>
      <c r="JD9" s="7">
        <v>1176.7180221493359</v>
      </c>
      <c r="JE9" s="8"/>
      <c r="JF9" s="7">
        <v>1741.1666666666667</v>
      </c>
      <c r="JG9" s="7">
        <v>1328.8796810716588</v>
      </c>
      <c r="JH9" s="7">
        <v>1388.9232165960591</v>
      </c>
      <c r="JI9" s="7">
        <v>1462.0187991508355</v>
      </c>
      <c r="JJ9" s="7">
        <v>1429.5432119221896</v>
      </c>
      <c r="JK9" s="7">
        <v>1205.1560426611491</v>
      </c>
      <c r="JL9" s="8"/>
      <c r="JM9" s="7">
        <v>2057.166666666667</v>
      </c>
      <c r="JN9" s="7">
        <v>1910.9051721235483</v>
      </c>
      <c r="JO9" s="7">
        <v>1564.4456967959222</v>
      </c>
      <c r="JP9" s="7">
        <v>1321.6131159784845</v>
      </c>
      <c r="JQ9" s="7">
        <v>1517.7462027066699</v>
      </c>
      <c r="JR9" s="7">
        <v>1361.8333333333333</v>
      </c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>
      <c r="A10" s="15">
        <f>+SUM(C10:NC10)</f>
        <v>31806073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1">
        <v>184135</v>
      </c>
      <c r="BS10" s="101">
        <v>196484</v>
      </c>
      <c r="BT10" s="101">
        <v>204794</v>
      </c>
      <c r="BU10" s="101">
        <v>213939</v>
      </c>
      <c r="BV10" s="101">
        <v>202249</v>
      </c>
      <c r="BW10" s="101">
        <v>182757</v>
      </c>
      <c r="BX10" s="101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1">
        <v>130416</v>
      </c>
      <c r="DP10" s="101">
        <v>144560</v>
      </c>
      <c r="DQ10" s="101">
        <v>128545</v>
      </c>
      <c r="DR10" s="101">
        <v>138912</v>
      </c>
      <c r="DT10" s="101">
        <v>152718</v>
      </c>
      <c r="DU10" s="101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7">
        <v>152678</v>
      </c>
      <c r="GA10" s="7">
        <v>143110</v>
      </c>
      <c r="GB10" s="7">
        <v>132593</v>
      </c>
      <c r="GC10" s="7">
        <v>132181</v>
      </c>
      <c r="GD10" s="7">
        <v>124736</v>
      </c>
      <c r="GE10" s="7">
        <v>127507</v>
      </c>
      <c r="GF10" s="8"/>
      <c r="GG10" s="7">
        <v>135817</v>
      </c>
      <c r="GH10" s="7">
        <v>128565</v>
      </c>
      <c r="GI10" s="7">
        <v>120728</v>
      </c>
      <c r="GJ10" s="7">
        <v>117130</v>
      </c>
      <c r="GK10" s="7">
        <v>125549</v>
      </c>
      <c r="GL10" s="7">
        <v>134683</v>
      </c>
      <c r="GM10" s="7">
        <v>114784</v>
      </c>
      <c r="GN10" s="7">
        <v>150258</v>
      </c>
      <c r="GO10" s="7">
        <v>84614</v>
      </c>
      <c r="GP10" s="7">
        <v>118866</v>
      </c>
      <c r="GQ10" s="7">
        <v>145486</v>
      </c>
      <c r="GR10" s="7">
        <v>143490</v>
      </c>
      <c r="GS10" s="7">
        <v>125126</v>
      </c>
      <c r="GT10" s="8"/>
      <c r="GU10" s="7">
        <v>112337</v>
      </c>
      <c r="GV10" s="7">
        <v>115263</v>
      </c>
      <c r="GW10" s="7">
        <v>110269</v>
      </c>
      <c r="GX10" s="7">
        <v>126746</v>
      </c>
      <c r="GY10" s="7">
        <v>133621</v>
      </c>
      <c r="GZ10" s="7">
        <v>136059</v>
      </c>
      <c r="HA10" s="7">
        <v>106235</v>
      </c>
      <c r="HB10" s="78">
        <v>147358</v>
      </c>
      <c r="HC10" s="78">
        <v>137554</v>
      </c>
      <c r="HD10" s="78">
        <v>133519</v>
      </c>
      <c r="HE10" s="78">
        <v>139467</v>
      </c>
      <c r="HF10" s="78">
        <v>142653</v>
      </c>
      <c r="HG10" s="78">
        <v>96654</v>
      </c>
      <c r="HH10" s="8"/>
      <c r="HI10" s="7">
        <v>130500</v>
      </c>
      <c r="HJ10" s="7">
        <v>120146</v>
      </c>
      <c r="HK10" s="7">
        <v>111092</v>
      </c>
      <c r="HL10" s="7">
        <v>116149</v>
      </c>
      <c r="HM10" s="7">
        <v>113047</v>
      </c>
      <c r="HN10" s="7">
        <v>117434</v>
      </c>
      <c r="HO10" s="7">
        <v>102790</v>
      </c>
      <c r="HP10" s="7">
        <v>125495</v>
      </c>
      <c r="HQ10" s="7">
        <v>129773</v>
      </c>
      <c r="HR10" s="7">
        <v>134005</v>
      </c>
      <c r="HS10" s="7">
        <v>152972</v>
      </c>
      <c r="HT10" s="7">
        <v>175241</v>
      </c>
      <c r="HU10" s="7">
        <v>165762</v>
      </c>
      <c r="HW10" s="7">
        <v>175604</v>
      </c>
      <c r="HX10" s="7">
        <v>159272</v>
      </c>
      <c r="HY10" s="7">
        <v>153109</v>
      </c>
      <c r="HZ10" s="7">
        <v>140409</v>
      </c>
      <c r="IA10" s="7">
        <v>133037</v>
      </c>
      <c r="IB10" s="7">
        <v>132056</v>
      </c>
      <c r="IC10" s="7">
        <v>121091</v>
      </c>
      <c r="ID10" s="7">
        <v>99747</v>
      </c>
      <c r="IE10" s="7">
        <v>96523</v>
      </c>
      <c r="IF10" s="7">
        <v>100730</v>
      </c>
      <c r="IG10" s="7">
        <v>109601</v>
      </c>
      <c r="IH10" s="7">
        <v>108539</v>
      </c>
      <c r="II10" s="7">
        <v>89533</v>
      </c>
      <c r="IJ10" s="8"/>
      <c r="IK10" s="7">
        <v>146863</v>
      </c>
      <c r="IL10" s="7">
        <v>137837</v>
      </c>
      <c r="IM10" s="7">
        <v>139739</v>
      </c>
      <c r="IN10" s="7">
        <v>138460</v>
      </c>
      <c r="IO10" s="7">
        <v>163233</v>
      </c>
      <c r="IP10" s="7">
        <v>72157</v>
      </c>
      <c r="IQ10" s="7">
        <v>81884</v>
      </c>
      <c r="IR10" s="7">
        <v>141120</v>
      </c>
      <c r="IS10" s="7">
        <v>131704</v>
      </c>
      <c r="IT10" s="7">
        <v>164087</v>
      </c>
      <c r="IU10" s="7">
        <v>173717</v>
      </c>
      <c r="IV10" s="7">
        <v>136181</v>
      </c>
      <c r="IW10" s="7">
        <v>103020</v>
      </c>
      <c r="IX10" s="8"/>
      <c r="IY10" s="7">
        <v>166765</v>
      </c>
      <c r="IZ10" s="7">
        <v>149637</v>
      </c>
      <c r="JA10" s="7">
        <v>152703</v>
      </c>
      <c r="JB10" s="7">
        <v>144881</v>
      </c>
      <c r="JC10" s="7">
        <v>128567</v>
      </c>
      <c r="JD10" s="7">
        <v>117877</v>
      </c>
      <c r="JE10" s="8"/>
      <c r="JF10" s="7">
        <v>181378</v>
      </c>
      <c r="JG10" s="7">
        <v>137744</v>
      </c>
      <c r="JH10" s="7">
        <v>127822</v>
      </c>
      <c r="JI10" s="7">
        <v>146512</v>
      </c>
      <c r="JJ10" s="7">
        <v>122419</v>
      </c>
      <c r="JK10" s="7">
        <v>112035</v>
      </c>
      <c r="JM10" s="7">
        <v>202503</v>
      </c>
      <c r="JN10" s="7">
        <v>196966</v>
      </c>
      <c r="JO10" s="7">
        <v>146984</v>
      </c>
      <c r="JP10" s="7">
        <v>137980</v>
      </c>
      <c r="JQ10" s="7">
        <v>146758</v>
      </c>
      <c r="JR10" s="7">
        <v>118764</v>
      </c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>
      <c r="A11" s="17">
        <f>+A10/A9</f>
        <v>101.78903653456649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GN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7">
        <f t="shared" si="21"/>
        <v>101.74651458087108</v>
      </c>
      <c r="GA11" s="7">
        <f t="shared" si="21"/>
        <v>102.34269669677344</v>
      </c>
      <c r="GB11" s="7">
        <f t="shared" si="21"/>
        <v>99.506738380258042</v>
      </c>
      <c r="GC11" s="7">
        <f t="shared" si="21"/>
        <v>89.117371024184351</v>
      </c>
      <c r="GD11" s="7">
        <f t="shared" si="21"/>
        <v>86.422508756567026</v>
      </c>
      <c r="GE11" s="7">
        <f t="shared" si="21"/>
        <v>91.87531112465949</v>
      </c>
      <c r="GF11" s="7" t="str">
        <f t="shared" si="21"/>
        <v/>
      </c>
      <c r="GG11" s="7">
        <f t="shared" si="21"/>
        <v>95.896620746584418</v>
      </c>
      <c r="GH11" s="7">
        <f t="shared" si="21"/>
        <v>75.174674903456079</v>
      </c>
      <c r="GI11" s="7">
        <f t="shared" si="21"/>
        <v>76.058668711162071</v>
      </c>
      <c r="GJ11" s="7">
        <f t="shared" si="21"/>
        <v>76.789054603230639</v>
      </c>
      <c r="GK11" s="7">
        <f t="shared" si="21"/>
        <v>83.353618746398368</v>
      </c>
      <c r="GL11" s="7">
        <f t="shared" si="21"/>
        <v>90.9754770410714</v>
      </c>
      <c r="GM11" s="7">
        <f t="shared" si="21"/>
        <v>77.472604302465243</v>
      </c>
      <c r="GN11" s="7">
        <f t="shared" si="21"/>
        <v>102.85427360848205</v>
      </c>
      <c r="GO11" s="7">
        <f t="shared" ref="GO11:IZ11" si="22">+IFERROR(GO10/GO9,"")</f>
        <v>82.178415509108902</v>
      </c>
      <c r="GP11" s="7">
        <f t="shared" si="22"/>
        <v>105.05209224152323</v>
      </c>
      <c r="GQ11" s="7">
        <f t="shared" si="22"/>
        <v>103.370951506898</v>
      </c>
      <c r="GR11" s="7">
        <f t="shared" si="22"/>
        <v>104.20479302832244</v>
      </c>
      <c r="GS11" s="7">
        <f t="shared" si="22"/>
        <v>104.90547055124712</v>
      </c>
      <c r="GT11" s="7" t="str">
        <f t="shared" si="22"/>
        <v/>
      </c>
      <c r="GU11" s="7">
        <f t="shared" si="22"/>
        <v>96.29708059957801</v>
      </c>
      <c r="GV11" s="7">
        <f t="shared" si="22"/>
        <v>87.758137174037188</v>
      </c>
      <c r="GW11" s="7">
        <f t="shared" si="22"/>
        <v>90.188602764926443</v>
      </c>
      <c r="GX11" s="7">
        <f t="shared" si="22"/>
        <v>102.42396513381432</v>
      </c>
      <c r="GY11" s="7">
        <f t="shared" si="22"/>
        <v>97.93867578793062</v>
      </c>
      <c r="GZ11" s="7">
        <f t="shared" si="22"/>
        <v>103.05548191630375</v>
      </c>
      <c r="HA11" s="7">
        <f t="shared" si="22"/>
        <v>97.70232985898221</v>
      </c>
      <c r="HB11" s="7">
        <f t="shared" si="22"/>
        <v>101.87797430431526</v>
      </c>
      <c r="HC11" s="7">
        <f t="shared" si="22"/>
        <v>101.89185185185185</v>
      </c>
      <c r="HD11" s="7">
        <f t="shared" si="22"/>
        <v>103.18979841566305</v>
      </c>
      <c r="HE11" s="7">
        <f t="shared" si="22"/>
        <v>99.880878491286694</v>
      </c>
      <c r="HF11" s="7">
        <f t="shared" si="22"/>
        <v>99.920382909175828</v>
      </c>
      <c r="HG11" s="7">
        <f t="shared" si="22"/>
        <v>97.976685250886973</v>
      </c>
      <c r="HH11" s="7" t="str">
        <f t="shared" si="22"/>
        <v/>
      </c>
      <c r="HI11" s="7">
        <f t="shared" si="22"/>
        <v>97.948461346009495</v>
      </c>
      <c r="HJ11" s="7">
        <f t="shared" si="22"/>
        <v>91.807947019867555</v>
      </c>
      <c r="HK11" s="7">
        <f t="shared" si="22"/>
        <v>91.264786528184331</v>
      </c>
      <c r="HL11" s="7">
        <f t="shared" si="22"/>
        <v>95.786486586534352</v>
      </c>
      <c r="HM11" s="7">
        <f t="shared" si="22"/>
        <v>89.610157720976133</v>
      </c>
      <c r="HN11" s="7">
        <f t="shared" si="22"/>
        <v>92.595308495959017</v>
      </c>
      <c r="HO11" s="7">
        <f t="shared" si="22"/>
        <v>97.040358744394624</v>
      </c>
      <c r="HP11" s="7">
        <f t="shared" si="22"/>
        <v>92.913429893089145</v>
      </c>
      <c r="HQ11" s="7">
        <f t="shared" si="22"/>
        <v>91.49101779042617</v>
      </c>
      <c r="HR11" s="7">
        <f t="shared" si="22"/>
        <v>89.53630762671601</v>
      </c>
      <c r="HS11" s="7">
        <f t="shared" si="22"/>
        <v>85.333586361914087</v>
      </c>
      <c r="HT11" s="7">
        <f t="shared" si="22"/>
        <v>79.375382176423955</v>
      </c>
      <c r="HU11" s="7">
        <f t="shared" si="22"/>
        <v>84.285762711864407</v>
      </c>
      <c r="HV11" s="7" t="str">
        <f t="shared" si="22"/>
        <v/>
      </c>
      <c r="HW11" s="7">
        <f t="shared" si="22"/>
        <v>88.846277663655798</v>
      </c>
      <c r="HX11" s="7">
        <f t="shared" si="22"/>
        <v>96.403543788809827</v>
      </c>
      <c r="HY11" s="7">
        <f t="shared" si="22"/>
        <v>92.842898596104888</v>
      </c>
      <c r="HZ11" s="7">
        <f t="shared" si="22"/>
        <v>90.877778718095541</v>
      </c>
      <c r="IA11" s="7">
        <f t="shared" si="22"/>
        <v>85.0758390527578</v>
      </c>
      <c r="IB11" s="7">
        <f t="shared" si="22"/>
        <v>93.610099667927614</v>
      </c>
      <c r="IC11" s="7">
        <f t="shared" si="22"/>
        <v>101.98568220101066</v>
      </c>
      <c r="ID11" s="7">
        <f t="shared" si="22"/>
        <v>71.942025409925677</v>
      </c>
      <c r="IE11" s="7">
        <f t="shared" si="22"/>
        <v>81.49063807823832</v>
      </c>
      <c r="IF11" s="7">
        <f t="shared" si="22"/>
        <v>78.888365736032043</v>
      </c>
      <c r="IG11" s="7">
        <f t="shared" si="22"/>
        <v>67.417261268694645</v>
      </c>
      <c r="IH11" s="7">
        <f t="shared" si="22"/>
        <v>75.073155399770201</v>
      </c>
      <c r="II11" s="7">
        <f t="shared" si="22"/>
        <v>81.655446761797592</v>
      </c>
      <c r="IJ11" s="7" t="str">
        <f t="shared" si="22"/>
        <v/>
      </c>
      <c r="IK11" s="7">
        <f t="shared" si="22"/>
        <v>98.853349962418591</v>
      </c>
      <c r="IL11" s="7">
        <f t="shared" si="22"/>
        <v>97.771281823873153</v>
      </c>
      <c r="IM11" s="7">
        <f t="shared" si="22"/>
        <v>95.035151775861422</v>
      </c>
      <c r="IN11" s="7">
        <f t="shared" si="22"/>
        <v>70.479751785493391</v>
      </c>
      <c r="IO11" s="7">
        <f t="shared" si="22"/>
        <v>89.486732699039209</v>
      </c>
      <c r="IP11" s="7">
        <f t="shared" si="22"/>
        <v>55.632661037304544</v>
      </c>
      <c r="IQ11" s="7">
        <f t="shared" si="22"/>
        <v>98.052618334973829</v>
      </c>
      <c r="IR11" s="7">
        <f t="shared" si="22"/>
        <v>106.13492145901493</v>
      </c>
      <c r="IS11" s="7">
        <f t="shared" si="22"/>
        <v>107.88287399996254</v>
      </c>
      <c r="IT11" s="7">
        <f t="shared" si="22"/>
        <v>98.206330545769731</v>
      </c>
      <c r="IU11" s="7">
        <f t="shared" si="22"/>
        <v>112.61530726060241</v>
      </c>
      <c r="IV11" s="7">
        <f t="shared" si="22"/>
        <v>96.935445950809566</v>
      </c>
      <c r="IW11" s="7">
        <f t="shared" si="22"/>
        <v>112.7403893378539</v>
      </c>
      <c r="IX11" s="7" t="str">
        <f t="shared" si="22"/>
        <v/>
      </c>
      <c r="IY11" s="7">
        <f t="shared" si="22"/>
        <v>101.7867928078843</v>
      </c>
      <c r="IZ11" s="7">
        <f t="shared" si="22"/>
        <v>103.03618051692455</v>
      </c>
      <c r="JA11" s="7">
        <f t="shared" ref="JA11:JS11" si="23">+IFERROR(JA10/JA9,"")</f>
        <v>102.75511952149388</v>
      </c>
      <c r="JB11" s="7">
        <f t="shared" si="23"/>
        <v>83.015203224600626</v>
      </c>
      <c r="JC11" s="7">
        <f t="shared" si="23"/>
        <v>97.703097844582715</v>
      </c>
      <c r="JD11" s="7">
        <f t="shared" si="23"/>
        <v>100.17438144160622</v>
      </c>
      <c r="JE11" s="7" t="str">
        <f t="shared" si="23"/>
        <v/>
      </c>
      <c r="JF11" s="7">
        <f t="shared" si="23"/>
        <v>104.17038384225135</v>
      </c>
      <c r="JG11" s="7">
        <f t="shared" si="23"/>
        <v>103.654229921642</v>
      </c>
      <c r="JH11" s="7">
        <f t="shared" si="23"/>
        <v>92.029565401940076</v>
      </c>
      <c r="JI11" s="7">
        <f t="shared" si="23"/>
        <v>100.21211771360024</v>
      </c>
      <c r="JJ11" s="7">
        <f t="shared" si="23"/>
        <v>85.635046901025959</v>
      </c>
      <c r="JK11" s="7">
        <f t="shared" si="23"/>
        <v>92.963065390778297</v>
      </c>
      <c r="JL11" s="7" t="str">
        <f t="shared" si="23"/>
        <v/>
      </c>
      <c r="JM11" s="7">
        <f t="shared" si="23"/>
        <v>98.437819006724439</v>
      </c>
      <c r="JN11" s="7">
        <f t="shared" si="23"/>
        <v>103.07471185559453</v>
      </c>
      <c r="JO11" s="7">
        <f t="shared" si="23"/>
        <v>93.952765699079208</v>
      </c>
      <c r="JP11" s="7">
        <f t="shared" si="23"/>
        <v>104.40271690088635</v>
      </c>
      <c r="JQ11" s="7">
        <f t="shared" si="23"/>
        <v>96.694690942582753</v>
      </c>
      <c r="JR11" s="7">
        <f t="shared" si="23"/>
        <v>87.208909558193611</v>
      </c>
      <c r="JS11" s="7" t="str">
        <f t="shared" si="23"/>
        <v/>
      </c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FZ12" s="20"/>
      <c r="GG12" s="20"/>
      <c r="GN12" s="20"/>
      <c r="GU12" s="20"/>
      <c r="HB12" s="20"/>
      <c r="HC12" s="68"/>
      <c r="HD12" s="25"/>
      <c r="HI12" s="20"/>
      <c r="HP12" s="20"/>
      <c r="ID12" s="20"/>
      <c r="IK12" s="20"/>
      <c r="IR12" s="20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FZ13" s="20"/>
      <c r="GG13" s="20"/>
      <c r="GN13" s="20"/>
      <c r="GU13" s="20"/>
      <c r="HB13" s="20"/>
      <c r="HC13" s="68"/>
      <c r="HD13" s="25"/>
      <c r="HI13" s="20"/>
      <c r="HP13" s="20"/>
      <c r="HW13" s="20"/>
      <c r="HX13" s="8"/>
      <c r="HY13" s="8"/>
      <c r="HZ13" s="8"/>
      <c r="IA13" s="8"/>
      <c r="IB13" s="8"/>
      <c r="IC13" s="8"/>
      <c r="ID13" s="20"/>
      <c r="IK13" s="20"/>
      <c r="IR13" s="20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8"/>
      <c r="CT14" s="208"/>
      <c r="DO14" s="20"/>
      <c r="DV14" s="208"/>
      <c r="DW14" s="52"/>
      <c r="FE14" s="208"/>
      <c r="FL14" s="208"/>
      <c r="FS14" s="20"/>
      <c r="FZ14" s="20"/>
      <c r="GG14" s="20"/>
      <c r="GN14" s="20"/>
      <c r="GU14" s="20"/>
      <c r="HB14" s="20"/>
      <c r="HC14" s="68"/>
      <c r="HD14" s="25"/>
      <c r="HI14" s="20"/>
      <c r="HP14" s="20"/>
      <c r="ID14" s="20"/>
      <c r="IK14" s="20"/>
      <c r="IR14" s="20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>
      <c r="IW23" s="72"/>
      <c r="IX23" s="55"/>
    </row>
    <row r="24" spans="5:367" ht="16.8">
      <c r="IW24" s="72"/>
      <c r="IX24" s="55"/>
    </row>
    <row r="25" spans="5:367" ht="16.8">
      <c r="IW25" s="72"/>
      <c r="IX25" s="55"/>
    </row>
    <row r="26" spans="5:367" ht="16.8">
      <c r="IW26" s="72"/>
      <c r="IX26" s="55"/>
    </row>
    <row r="27" spans="5:367">
      <c r="IW27" s="8"/>
      <c r="IX27" s="8"/>
    </row>
    <row r="28" spans="5:367">
      <c r="IW28" s="53"/>
      <c r="IX28" s="8"/>
    </row>
    <row r="29" spans="5:367">
      <c r="IW29" s="57"/>
      <c r="IX29" s="8"/>
    </row>
    <row r="30" spans="5:367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JF1" workbookViewId="0">
      <selection activeCell="JM12" sqref="JM12:JM16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518384.91368857148</v>
      </c>
      <c r="B3" s="14" t="s">
        <v>427</v>
      </c>
      <c r="C3" s="103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>
      <c r="IL6" s="20"/>
      <c r="LR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454475.11858482694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FZ9" s="7">
        <v>1850.8333333333333</v>
      </c>
      <c r="GA9" s="7">
        <v>1645.2801925089595</v>
      </c>
      <c r="GB9" s="7">
        <v>1775.7937120106628</v>
      </c>
      <c r="GC9" s="7">
        <v>1837.5</v>
      </c>
      <c r="GD9" s="7">
        <v>1615.9867416051591</v>
      </c>
      <c r="GE9" s="7">
        <v>1534.1508254269236</v>
      </c>
      <c r="GG9" s="7">
        <v>1552.2561924838856</v>
      </c>
      <c r="GH9" s="7">
        <v>1802.0122691935389</v>
      </c>
      <c r="GI9" s="7">
        <v>1680.9217164620518</v>
      </c>
      <c r="GJ9" s="7">
        <v>1755.6192336039094</v>
      </c>
      <c r="GK9" s="7">
        <v>1586.1983652346598</v>
      </c>
      <c r="GL9" s="7">
        <v>1615.5268798617112</v>
      </c>
      <c r="GM9" s="7">
        <v>1459.4999999999998</v>
      </c>
      <c r="GN9" s="7">
        <v>1550.2325656260557</v>
      </c>
      <c r="GO9" s="7">
        <v>1524.2224253117977</v>
      </c>
      <c r="GP9" s="7">
        <v>1709.1666666666665</v>
      </c>
      <c r="GQ9" s="7">
        <v>1655.9166666666667</v>
      </c>
      <c r="GR9" s="7">
        <v>1527.1252194756555</v>
      </c>
      <c r="GS9" s="7">
        <v>1521.3333333333333</v>
      </c>
      <c r="GU9" s="7">
        <v>1628.746854148975</v>
      </c>
      <c r="GV9" s="7">
        <v>1680.0833333333333</v>
      </c>
      <c r="GW9" s="7">
        <v>1722.6666666666665</v>
      </c>
      <c r="GX9" s="7">
        <v>1600.2007169654735</v>
      </c>
      <c r="GY9" s="7">
        <v>1792.4166666666667</v>
      </c>
      <c r="GZ9" s="7">
        <v>1671.5</v>
      </c>
      <c r="HA9" s="7">
        <v>1390.3333333333333</v>
      </c>
      <c r="HB9" s="2">
        <v>1765.6666666666665</v>
      </c>
      <c r="HC9" s="2">
        <v>1812.75</v>
      </c>
      <c r="HD9" s="2">
        <v>1833.25</v>
      </c>
      <c r="HE9" s="2">
        <v>1874.7499999999998</v>
      </c>
      <c r="HF9" s="2">
        <v>1930.0833333333333</v>
      </c>
      <c r="HG9" s="2">
        <v>1810.5833333333333</v>
      </c>
      <c r="HI9" s="7">
        <v>1863.5833333333333</v>
      </c>
      <c r="HJ9" s="7">
        <v>1843.5833333333333</v>
      </c>
      <c r="HK9" s="7">
        <v>1943.4166666666667</v>
      </c>
      <c r="HL9" s="7">
        <v>1859.9596101637262</v>
      </c>
      <c r="HM9" s="7">
        <v>1688.2988088881586</v>
      </c>
      <c r="HN9" s="7">
        <v>1835.4166666666667</v>
      </c>
      <c r="HO9" s="7">
        <v>1418.2500000000002</v>
      </c>
      <c r="HP9" s="7">
        <v>1921.1666666666667</v>
      </c>
      <c r="HQ9" s="7">
        <v>2012.9409644643229</v>
      </c>
      <c r="HR9" s="7">
        <v>2061.1855667731375</v>
      </c>
      <c r="HS9" s="7">
        <v>2150.8333333333335</v>
      </c>
      <c r="HT9" s="7">
        <v>2045.4447271573983</v>
      </c>
      <c r="HU9" s="7">
        <v>1891.5</v>
      </c>
      <c r="HV9" s="20"/>
      <c r="HW9" s="7">
        <v>2074.9003621375887</v>
      </c>
      <c r="HX9" s="7">
        <v>2114.1992248124607</v>
      </c>
      <c r="HY9" s="7">
        <v>2166.1665763851192</v>
      </c>
      <c r="HZ9" s="7">
        <v>2283.698234951039</v>
      </c>
      <c r="IA9" s="7">
        <v>2202.6962537732661</v>
      </c>
      <c r="IB9" s="7">
        <v>2059.5</v>
      </c>
      <c r="IC9" s="7">
        <v>1632.2732968266384</v>
      </c>
      <c r="ID9" s="7">
        <v>2109.75</v>
      </c>
      <c r="IE9" s="7">
        <v>2120.9658721018013</v>
      </c>
      <c r="IF9" s="7">
        <v>2057.4166666666665</v>
      </c>
      <c r="IG9" s="7">
        <v>2097.9643568983256</v>
      </c>
      <c r="IH9" s="7">
        <v>1748.4071729905759</v>
      </c>
      <c r="II9" s="7">
        <v>1758.0650104298691</v>
      </c>
      <c r="IK9" s="7">
        <v>1888.1943244642648</v>
      </c>
      <c r="IL9" s="7">
        <v>1916.3246508642073</v>
      </c>
      <c r="IM9" s="7">
        <v>1976.410186117392</v>
      </c>
      <c r="IN9" s="7">
        <v>2437.1666666666665</v>
      </c>
      <c r="IO9" s="7">
        <v>2246.1346859353125</v>
      </c>
      <c r="IP9" s="7">
        <v>2221.975077448697</v>
      </c>
      <c r="IQ9" s="7">
        <v>1534.2053581304003</v>
      </c>
      <c r="IR9" s="7">
        <v>2447.0743372744246</v>
      </c>
      <c r="IS9" s="7">
        <v>2501.3572131931542</v>
      </c>
      <c r="IT9" s="7">
        <v>2397.9649076371652</v>
      </c>
      <c r="IU9" s="7">
        <v>2437.5987016303893</v>
      </c>
      <c r="IV9" s="7">
        <v>2663.7223558826304</v>
      </c>
      <c r="IW9" s="7">
        <v>2560.166666666667</v>
      </c>
      <c r="IY9" s="7">
        <v>2266.4282627614839</v>
      </c>
      <c r="IZ9" s="7">
        <v>2843.7351991020887</v>
      </c>
      <c r="JA9" s="7">
        <v>2213.344499883739</v>
      </c>
      <c r="JB9" s="7">
        <v>2722.6335685212916</v>
      </c>
      <c r="JC9" s="7">
        <v>2368.7788760221097</v>
      </c>
      <c r="JD9" s="7">
        <v>2114.069368099601</v>
      </c>
      <c r="JF9" s="7">
        <v>1844.5306951497867</v>
      </c>
      <c r="JG9" s="7">
        <v>2732.083333333333</v>
      </c>
      <c r="JH9" s="7">
        <v>2627.1557290498613</v>
      </c>
      <c r="JI9" s="7">
        <v>2465.1464001166742</v>
      </c>
      <c r="JJ9" s="7">
        <v>2259.8004537928236</v>
      </c>
      <c r="JK9" s="7">
        <v>1972.1496731714831</v>
      </c>
      <c r="JM9" s="7">
        <v>2349.4331906764937</v>
      </c>
      <c r="JN9" s="7">
        <v>2625.020555095794</v>
      </c>
      <c r="JO9" s="7">
        <v>3022.8936490731844</v>
      </c>
      <c r="JP9" s="7">
        <v>2907.6312016736638</v>
      </c>
      <c r="JQ9" s="7">
        <v>2948.75</v>
      </c>
      <c r="JR9" s="7">
        <v>2077.5718848143329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34969252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FZ10" s="7">
        <v>157394</v>
      </c>
      <c r="GA10" s="7">
        <v>154601</v>
      </c>
      <c r="GB10" s="7">
        <v>160310</v>
      </c>
      <c r="GC10" s="7">
        <v>150825</v>
      </c>
      <c r="GD10" s="7">
        <v>119403</v>
      </c>
      <c r="GE10" s="7">
        <v>129207</v>
      </c>
      <c r="GG10" s="7">
        <v>124874</v>
      </c>
      <c r="GH10" s="7">
        <v>157042</v>
      </c>
      <c r="GI10" s="7">
        <v>101884</v>
      </c>
      <c r="GJ10" s="7">
        <v>119682</v>
      </c>
      <c r="GK10" s="7">
        <v>136897</v>
      </c>
      <c r="GL10" s="7">
        <v>139376</v>
      </c>
      <c r="GM10" s="7">
        <v>125132</v>
      </c>
      <c r="GN10" s="7">
        <v>122991</v>
      </c>
      <c r="GO10" s="7">
        <v>116526</v>
      </c>
      <c r="GP10" s="7">
        <v>137733</v>
      </c>
      <c r="GQ10" s="7">
        <v>139145</v>
      </c>
      <c r="GR10" s="7">
        <v>122538</v>
      </c>
      <c r="GS10" s="7">
        <v>129604</v>
      </c>
      <c r="GU10" s="7">
        <v>113603</v>
      </c>
      <c r="GV10" s="7">
        <v>127640</v>
      </c>
      <c r="GW10" s="7">
        <v>143939</v>
      </c>
      <c r="GX10" s="7">
        <v>132463</v>
      </c>
      <c r="GY10" s="7">
        <v>137233</v>
      </c>
      <c r="GZ10" s="7">
        <v>141765</v>
      </c>
      <c r="HA10" s="7">
        <v>117426</v>
      </c>
      <c r="HB10" s="7">
        <v>135230</v>
      </c>
      <c r="HC10" s="7">
        <v>123906</v>
      </c>
      <c r="HD10" s="7">
        <v>143739</v>
      </c>
      <c r="HE10" s="7">
        <v>132228</v>
      </c>
      <c r="HF10" s="7">
        <v>135113</v>
      </c>
      <c r="HG10" s="7">
        <v>128705</v>
      </c>
      <c r="HI10" s="7">
        <v>133177</v>
      </c>
      <c r="HJ10" s="7">
        <v>121636</v>
      </c>
      <c r="HK10" s="7">
        <v>147041</v>
      </c>
      <c r="HL10" s="7">
        <v>147125</v>
      </c>
      <c r="HM10" s="7">
        <v>124338</v>
      </c>
      <c r="HN10" s="7">
        <v>147369</v>
      </c>
      <c r="HO10" s="7">
        <v>120187</v>
      </c>
      <c r="HP10" s="7">
        <v>128815</v>
      </c>
      <c r="HQ10" s="7">
        <v>135823</v>
      </c>
      <c r="HR10" s="7">
        <v>139700</v>
      </c>
      <c r="HS10" s="7">
        <v>170366</v>
      </c>
      <c r="HT10" s="7">
        <v>150495</v>
      </c>
      <c r="HU10" s="7">
        <v>152560</v>
      </c>
      <c r="HW10" s="7">
        <v>161134</v>
      </c>
      <c r="HX10" s="7">
        <v>162830</v>
      </c>
      <c r="HY10" s="7">
        <v>156686</v>
      </c>
      <c r="HZ10" s="7">
        <v>137432</v>
      </c>
      <c r="IA10" s="7">
        <v>170077</v>
      </c>
      <c r="IB10" s="7">
        <v>173281</v>
      </c>
      <c r="IC10" s="7">
        <v>137938</v>
      </c>
      <c r="ID10" s="47">
        <v>131016</v>
      </c>
      <c r="IE10" s="7">
        <v>144370</v>
      </c>
      <c r="IF10" s="7">
        <v>143393</v>
      </c>
      <c r="IG10" s="7">
        <v>126956</v>
      </c>
      <c r="IH10" s="7">
        <v>139658</v>
      </c>
      <c r="II10" s="7">
        <v>135259</v>
      </c>
      <c r="IK10" s="7">
        <v>117074</v>
      </c>
      <c r="IL10" s="7">
        <v>140331</v>
      </c>
      <c r="IM10" s="7">
        <v>162264</v>
      </c>
      <c r="IN10" s="7">
        <v>122468</v>
      </c>
      <c r="IO10" s="7">
        <v>126421</v>
      </c>
      <c r="IP10" s="7">
        <v>136455</v>
      </c>
      <c r="IQ10" s="7">
        <v>109569</v>
      </c>
      <c r="IR10" s="7">
        <v>154411</v>
      </c>
      <c r="IS10" s="7">
        <v>160734</v>
      </c>
      <c r="IT10" s="7">
        <v>143808</v>
      </c>
      <c r="IU10" s="7">
        <v>165843</v>
      </c>
      <c r="IV10" s="7">
        <v>173468</v>
      </c>
      <c r="IW10" s="7">
        <v>180638</v>
      </c>
      <c r="IY10" s="7">
        <v>151755</v>
      </c>
      <c r="IZ10" s="7">
        <v>174306</v>
      </c>
      <c r="JA10" s="7">
        <v>167256</v>
      </c>
      <c r="JB10" s="7">
        <v>158802</v>
      </c>
      <c r="JC10" s="7">
        <v>165204</v>
      </c>
      <c r="JD10" s="7">
        <v>154978</v>
      </c>
      <c r="JF10" s="7">
        <v>149993</v>
      </c>
      <c r="JG10" s="7">
        <v>161496</v>
      </c>
      <c r="JH10" s="7">
        <v>167565</v>
      </c>
      <c r="JI10" s="7">
        <v>157557</v>
      </c>
      <c r="JJ10" s="7">
        <v>136662</v>
      </c>
      <c r="JK10" s="7">
        <v>141428</v>
      </c>
      <c r="JM10" s="7">
        <v>151455</v>
      </c>
      <c r="JN10" s="7">
        <v>168029</v>
      </c>
      <c r="JO10" s="7">
        <v>180552</v>
      </c>
      <c r="JP10" s="7">
        <v>178984</v>
      </c>
      <c r="JQ10" s="7">
        <v>169036</v>
      </c>
      <c r="JR10" s="7">
        <v>167590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76.94426068667839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HX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FZ11" s="20">
        <f t="shared" si="23"/>
        <v>85.039531742458351</v>
      </c>
      <c r="GA11" s="20">
        <f t="shared" si="23"/>
        <v>93.966365549105774</v>
      </c>
      <c r="GB11" s="20">
        <f t="shared" si="23"/>
        <v>90.275125379561771</v>
      </c>
      <c r="GC11" s="20">
        <f t="shared" si="23"/>
        <v>82.08163265306122</v>
      </c>
      <c r="GD11" s="20">
        <f t="shared" si="23"/>
        <v>73.888601265006074</v>
      </c>
      <c r="GE11" s="20">
        <f t="shared" si="23"/>
        <v>84.220532856698924</v>
      </c>
      <c r="GF11" s="20"/>
      <c r="GG11" s="20">
        <f t="shared" si="23"/>
        <v>80.446771998492991</v>
      </c>
      <c r="GH11" s="20">
        <f t="shared" si="23"/>
        <v>87.148130278980602</v>
      </c>
      <c r="GI11" s="20">
        <f t="shared" si="23"/>
        <v>60.6119838908632</v>
      </c>
      <c r="GJ11" s="20">
        <f t="shared" si="23"/>
        <v>68.170818426452612</v>
      </c>
      <c r="GK11" s="20">
        <f t="shared" si="23"/>
        <v>86.305094621471042</v>
      </c>
      <c r="GL11" s="20">
        <f t="shared" si="23"/>
        <v>86.272783039011117</v>
      </c>
      <c r="GM11" s="20">
        <f t="shared" si="23"/>
        <v>85.736211031175074</v>
      </c>
      <c r="GN11" s="20">
        <f t="shared" si="23"/>
        <v>79.337128329729381</v>
      </c>
      <c r="GO11" s="20">
        <f t="shared" si="23"/>
        <v>76.449472245603019</v>
      </c>
      <c r="GP11" s="20">
        <f t="shared" si="23"/>
        <v>80.584885421745497</v>
      </c>
      <c r="GQ11" s="20">
        <f t="shared" si="23"/>
        <v>84.028986965930244</v>
      </c>
      <c r="GR11" s="20">
        <f t="shared" si="23"/>
        <v>80.240964157525937</v>
      </c>
      <c r="GS11" s="20">
        <f t="shared" si="23"/>
        <v>85.191060473269062</v>
      </c>
      <c r="GT11" s="20"/>
      <c r="GU11" s="20">
        <f t="shared" si="23"/>
        <v>69.748714915773633</v>
      </c>
      <c r="GV11" s="20">
        <f t="shared" si="23"/>
        <v>75.97242200287684</v>
      </c>
      <c r="GW11" s="20">
        <f t="shared" si="23"/>
        <v>83.555921052631589</v>
      </c>
      <c r="GX11" s="20">
        <f t="shared" si="23"/>
        <v>82.77899053263458</v>
      </c>
      <c r="GY11" s="20">
        <f t="shared" si="23"/>
        <v>76.563113115440046</v>
      </c>
      <c r="GZ11" s="20">
        <f t="shared" si="23"/>
        <v>84.813042177684721</v>
      </c>
      <c r="HA11" s="20">
        <f t="shared" si="23"/>
        <v>84.458882761927597</v>
      </c>
      <c r="HB11" s="20">
        <f t="shared" si="23"/>
        <v>76.588635076458374</v>
      </c>
      <c r="HC11" s="20">
        <f t="shared" si="23"/>
        <v>68.352503103020268</v>
      </c>
      <c r="HD11" s="20">
        <f t="shared" si="23"/>
        <v>78.406654847947635</v>
      </c>
      <c r="HE11" s="20">
        <f t="shared" si="23"/>
        <v>70.531004133884522</v>
      </c>
      <c r="HF11" s="20">
        <f t="shared" si="23"/>
        <v>70.003713138465528</v>
      </c>
      <c r="HG11" s="20">
        <f t="shared" si="23"/>
        <v>71.084825332535559</v>
      </c>
      <c r="HH11" s="20"/>
      <c r="HI11" s="20">
        <f t="shared" si="23"/>
        <v>71.462862764387609</v>
      </c>
      <c r="HJ11" s="20">
        <f t="shared" si="23"/>
        <v>65.978031912489271</v>
      </c>
      <c r="HK11" s="20">
        <f t="shared" si="23"/>
        <v>75.661077998370558</v>
      </c>
      <c r="HL11" s="20">
        <f t="shared" si="23"/>
        <v>79.101180045005961</v>
      </c>
      <c r="HM11" s="20">
        <f t="shared" si="23"/>
        <v>73.646915667661744</v>
      </c>
      <c r="HN11" s="20">
        <f t="shared" si="23"/>
        <v>80.291850170261057</v>
      </c>
      <c r="HO11" s="20">
        <f t="shared" si="23"/>
        <v>84.743169398907085</v>
      </c>
      <c r="HP11" s="20">
        <f t="shared" si="23"/>
        <v>67.050403400711375</v>
      </c>
      <c r="HQ11" s="20">
        <f t="shared" si="23"/>
        <v>67.474904827198827</v>
      </c>
      <c r="HR11" s="20">
        <f t="shared" si="23"/>
        <v>67.776527379194462</v>
      </c>
      <c r="HS11" s="20">
        <f t="shared" si="23"/>
        <v>79.209298721425796</v>
      </c>
      <c r="HT11" s="20">
        <f t="shared" si="23"/>
        <v>73.575686500776953</v>
      </c>
      <c r="HU11" s="20">
        <f t="shared" si="23"/>
        <v>80.655564366904571</v>
      </c>
      <c r="HV11" s="20"/>
      <c r="HW11" s="20">
        <f t="shared" si="23"/>
        <v>77.658668792171639</v>
      </c>
      <c r="HX11" s="20">
        <f t="shared" si="23"/>
        <v>77.017339751623354</v>
      </c>
      <c r="HY11" s="20">
        <f t="shared" ref="HY11:JR11" si="24">+HY10/HY9</f>
        <v>72.333310701098668</v>
      </c>
      <c r="HZ11" s="20">
        <f t="shared" si="24"/>
        <v>60.179579725841691</v>
      </c>
      <c r="IA11" s="20">
        <f t="shared" si="24"/>
        <v>77.21309722511873</v>
      </c>
      <c r="IB11" s="20">
        <f t="shared" si="24"/>
        <v>84.137411993202235</v>
      </c>
      <c r="IC11" s="20">
        <f t="shared" si="24"/>
        <v>84.506681735325969</v>
      </c>
      <c r="ID11" s="20">
        <f t="shared" si="24"/>
        <v>62.10024884464984</v>
      </c>
      <c r="IE11" s="20">
        <f t="shared" si="24"/>
        <v>68.068044799294427</v>
      </c>
      <c r="IF11" s="20">
        <f t="shared" si="24"/>
        <v>69.695653934950798</v>
      </c>
      <c r="IG11" s="20">
        <f t="shared" si="24"/>
        <v>60.513897475214691</v>
      </c>
      <c r="IH11" s="20">
        <f t="shared" si="24"/>
        <v>79.877274674594787</v>
      </c>
      <c r="II11" s="20">
        <f t="shared" si="24"/>
        <v>76.936290295048565</v>
      </c>
      <c r="IJ11" s="20"/>
      <c r="IK11" s="20">
        <f t="shared" si="24"/>
        <v>62.003152156077618</v>
      </c>
      <c r="IL11" s="20">
        <f t="shared" si="24"/>
        <v>73.229241160528176</v>
      </c>
      <c r="IM11" s="20">
        <f t="shared" si="24"/>
        <v>82.10036617892743</v>
      </c>
      <c r="IN11" s="20">
        <f t="shared" si="24"/>
        <v>50.250153867195515</v>
      </c>
      <c r="IO11" s="20">
        <f t="shared" si="24"/>
        <v>56.283802031825644</v>
      </c>
      <c r="IP11" s="20">
        <f t="shared" si="24"/>
        <v>61.411579897952571</v>
      </c>
      <c r="IQ11" s="20">
        <f t="shared" si="24"/>
        <v>71.417427542765196</v>
      </c>
      <c r="IR11" s="20">
        <f t="shared" si="24"/>
        <v>63.100248998559024</v>
      </c>
      <c r="IS11" s="20">
        <f t="shared" si="24"/>
        <v>64.258714889750593</v>
      </c>
      <c r="IT11" s="20">
        <f t="shared" si="24"/>
        <v>59.97085259337728</v>
      </c>
      <c r="IU11" s="20">
        <f t="shared" si="24"/>
        <v>68.035398890340645</v>
      </c>
      <c r="IV11" s="20">
        <f t="shared" si="24"/>
        <v>65.122402722231527</v>
      </c>
      <c r="IW11" s="20">
        <f t="shared" si="24"/>
        <v>70.557125187162285</v>
      </c>
      <c r="IX11" s="20"/>
      <c r="IY11" s="20">
        <f t="shared" si="24"/>
        <v>66.957777792224135</v>
      </c>
      <c r="IZ11" s="20">
        <f t="shared" si="24"/>
        <v>61.294736603829087</v>
      </c>
      <c r="JA11" s="20">
        <f t="shared" si="24"/>
        <v>75.567088633868565</v>
      </c>
      <c r="JB11" s="20">
        <f t="shared" si="24"/>
        <v>58.326615023059475</v>
      </c>
      <c r="JC11" s="20">
        <f t="shared" si="24"/>
        <v>69.742263270021667</v>
      </c>
      <c r="JD11" s="20">
        <f t="shared" si="24"/>
        <v>73.307906702850659</v>
      </c>
      <c r="JE11" s="20"/>
      <c r="JF11" s="20">
        <f t="shared" si="24"/>
        <v>81.317703410633513</v>
      </c>
      <c r="JG11" s="20">
        <f t="shared" si="24"/>
        <v>59.110934878755536</v>
      </c>
      <c r="JH11" s="20">
        <f t="shared" si="24"/>
        <v>63.781906092259575</v>
      </c>
      <c r="JI11" s="20">
        <f t="shared" si="24"/>
        <v>63.913851117541299</v>
      </c>
      <c r="JJ11" s="20">
        <f t="shared" si="24"/>
        <v>60.475251153537933</v>
      </c>
      <c r="JK11" s="20">
        <f t="shared" si="24"/>
        <v>71.712609810473808</v>
      </c>
      <c r="JL11" s="20"/>
      <c r="JM11" s="20">
        <f t="shared" si="24"/>
        <v>64.464484711050744</v>
      </c>
      <c r="JN11" s="20">
        <f t="shared" si="24"/>
        <v>64.010546383652283</v>
      </c>
      <c r="JO11" s="20">
        <f t="shared" si="24"/>
        <v>59.728201174181905</v>
      </c>
      <c r="JP11" s="20">
        <f t="shared" si="24"/>
        <v>61.556637546389958</v>
      </c>
      <c r="JQ11" s="20">
        <f t="shared" si="24"/>
        <v>57.324629080118697</v>
      </c>
      <c r="JR11" s="20">
        <f t="shared" si="24"/>
        <v>80.666282223479882</v>
      </c>
      <c r="JS11" s="20"/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K12" s="20"/>
      <c r="IR12" s="20"/>
      <c r="IY12" s="20"/>
      <c r="JF12" s="20"/>
      <c r="JM12" s="20"/>
      <c r="JX12" s="68"/>
      <c r="JY12" s="25"/>
      <c r="MS12" s="23"/>
    </row>
    <row r="13" spans="1:367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E13" s="20"/>
      <c r="IK13" s="20"/>
      <c r="IR13" s="20"/>
      <c r="IY13" s="20"/>
      <c r="JF13" s="20"/>
      <c r="JM13" s="20"/>
      <c r="JX13" s="68"/>
      <c r="JY13" s="25"/>
      <c r="MS13" s="23"/>
    </row>
    <row r="14" spans="1:367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HW14" s="20"/>
      <c r="HX14" s="20"/>
      <c r="HY14" s="20"/>
      <c r="HZ14" s="20"/>
      <c r="IA14" s="20"/>
      <c r="IB14" s="20"/>
      <c r="IC14" s="20"/>
      <c r="ID14" s="20"/>
      <c r="IK14" s="20"/>
      <c r="IR14" s="20"/>
      <c r="IY14" s="20"/>
      <c r="JF14" s="20"/>
      <c r="JM14" s="20"/>
      <c r="JX14" s="68"/>
      <c r="JY14" s="25"/>
      <c r="MS14" s="23"/>
    </row>
    <row r="15" spans="1:367">
      <c r="F15" s="7"/>
      <c r="G15" s="20"/>
      <c r="AB15" s="20"/>
      <c r="AI15" s="20"/>
      <c r="BK15" s="20"/>
      <c r="CI15" s="20"/>
      <c r="DV15" s="20"/>
      <c r="DW15" s="20"/>
      <c r="HW15" s="7"/>
      <c r="HX15" s="7"/>
      <c r="HY15" s="7"/>
      <c r="HZ15" s="7"/>
      <c r="IA15" s="7"/>
      <c r="IB15" s="7"/>
      <c r="IC15" s="7"/>
      <c r="ID15" s="20"/>
      <c r="IE15" s="20"/>
      <c r="JX15" s="68"/>
      <c r="JY15" s="25"/>
      <c r="MD15" s="20"/>
      <c r="MS15" s="23"/>
    </row>
    <row r="16" spans="1:367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237">
      <c r="F17" s="7"/>
      <c r="N17" s="7"/>
      <c r="O17" s="7"/>
      <c r="P17" s="7"/>
      <c r="Q17" s="7"/>
      <c r="R17" s="7"/>
      <c r="S17" s="7"/>
      <c r="HW17" s="230"/>
      <c r="HX17" s="230"/>
      <c r="HY17" s="230"/>
      <c r="HZ17" s="230"/>
      <c r="IA17" s="230"/>
      <c r="IB17" s="230"/>
      <c r="IC17" s="230"/>
    </row>
    <row r="18" spans="6:237">
      <c r="F18" s="47"/>
      <c r="N18" s="20"/>
      <c r="O18" s="20"/>
      <c r="P18" s="20"/>
      <c r="Q18" s="20"/>
      <c r="R18" s="20"/>
      <c r="S18" s="20"/>
      <c r="U18" s="20"/>
      <c r="HW18" s="7"/>
      <c r="HX18" s="7"/>
      <c r="HY18" s="7"/>
      <c r="HZ18" s="7"/>
      <c r="IA18" s="7"/>
      <c r="IB18" s="7"/>
      <c r="IC18" s="7"/>
    </row>
    <row r="19" spans="6:237">
      <c r="N19" s="7"/>
      <c r="O19" s="7"/>
      <c r="P19" s="7"/>
      <c r="Q19" s="7"/>
      <c r="R19" s="7"/>
      <c r="S19" s="7"/>
      <c r="U19" s="20"/>
      <c r="HW19" s="20"/>
      <c r="HX19" s="20"/>
      <c r="HY19" s="20"/>
      <c r="HZ19" s="20"/>
      <c r="IA19" s="20"/>
      <c r="IB19" s="20"/>
      <c r="IC19" s="20"/>
    </row>
    <row r="20" spans="6:237">
      <c r="N20" s="20"/>
      <c r="O20" s="20"/>
      <c r="P20" s="20"/>
      <c r="Q20" s="20"/>
      <c r="R20" s="20"/>
      <c r="S20" s="20"/>
    </row>
    <row r="21" spans="6:237">
      <c r="HY21" s="20"/>
    </row>
    <row r="22" spans="6:237">
      <c r="HY22" s="20"/>
    </row>
    <row r="23" spans="6:237">
      <c r="HY23" s="20"/>
    </row>
    <row r="24" spans="6:237">
      <c r="HZ24" s="31"/>
      <c r="IA24" s="31"/>
    </row>
    <row r="25" spans="6:237">
      <c r="AH25" s="7"/>
    </row>
    <row r="39" spans="21:2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>
      <c r="A1" s="79" t="s">
        <v>59</v>
      </c>
      <c r="B1" s="79" t="s">
        <v>56</v>
      </c>
      <c r="C1" s="137" t="s">
        <v>1834</v>
      </c>
      <c r="D1" s="137" t="s">
        <v>453</v>
      </c>
      <c r="E1" s="79" t="s">
        <v>1422</v>
      </c>
      <c r="J1" s="114" t="s">
        <v>1894</v>
      </c>
      <c r="K1" t="s">
        <v>1893</v>
      </c>
    </row>
    <row r="2" spans="1:12">
      <c r="A2" s="62" t="s">
        <v>1835</v>
      </c>
      <c r="B2" s="62"/>
      <c r="C2" s="101">
        <v>11</v>
      </c>
      <c r="D2" s="2">
        <v>82.5</v>
      </c>
      <c r="E2" t="s">
        <v>450</v>
      </c>
      <c r="F2" s="111" t="s">
        <v>1890</v>
      </c>
      <c r="G2" s="111" t="s">
        <v>1891</v>
      </c>
      <c r="H2" s="49" t="s">
        <v>1433</v>
      </c>
      <c r="I2" t="s">
        <v>1423</v>
      </c>
      <c r="J2" t="s">
        <v>1436</v>
      </c>
      <c r="K2" t="s">
        <v>1892</v>
      </c>
    </row>
    <row r="3" spans="1:12">
      <c r="A3" s="62" t="s">
        <v>1836</v>
      </c>
      <c r="B3" s="62"/>
      <c r="C3" s="101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3">
        <f>+J3*68502</f>
        <v>246607.2</v>
      </c>
      <c r="L3" t="s">
        <v>1895</v>
      </c>
    </row>
    <row r="4" spans="1:12">
      <c r="A4" s="62" t="s">
        <v>1837</v>
      </c>
      <c r="B4" s="62"/>
      <c r="C4" s="101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3">
        <f t="shared" ref="K4:K6" si="1">+J4*68502</f>
        <v>1027530</v>
      </c>
      <c r="L4" t="s">
        <v>1896</v>
      </c>
    </row>
    <row r="5" spans="1:12">
      <c r="A5" s="62" t="s">
        <v>1838</v>
      </c>
      <c r="B5" s="62"/>
      <c r="C5" s="101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3">
        <f t="shared" si="1"/>
        <v>1552712</v>
      </c>
      <c r="L5" t="s">
        <v>1897</v>
      </c>
    </row>
    <row r="6" spans="1:12">
      <c r="A6" s="62" t="s">
        <v>1839</v>
      </c>
      <c r="B6" s="62"/>
      <c r="C6" s="101">
        <v>52</v>
      </c>
      <c r="D6" s="2">
        <v>390</v>
      </c>
      <c r="E6" t="s">
        <v>450</v>
      </c>
      <c r="H6" s="48" t="s">
        <v>1434</v>
      </c>
      <c r="I6" s="50">
        <v>9285</v>
      </c>
      <c r="J6" s="2">
        <f>+I6/7.5/30</f>
        <v>41.266666666666666</v>
      </c>
      <c r="K6" s="113">
        <f t="shared" si="1"/>
        <v>2826849.1999999997</v>
      </c>
    </row>
    <row r="7" spans="1:12">
      <c r="A7" s="62" t="s">
        <v>1840</v>
      </c>
      <c r="B7" s="62"/>
      <c r="C7" s="101">
        <v>33</v>
      </c>
      <c r="D7" s="2">
        <v>247.5</v>
      </c>
      <c r="E7" t="s">
        <v>451</v>
      </c>
    </row>
    <row r="8" spans="1:12">
      <c r="A8" s="62" t="s">
        <v>1841</v>
      </c>
      <c r="B8" s="62"/>
      <c r="C8" s="101">
        <v>148</v>
      </c>
      <c r="D8" s="2">
        <v>1110</v>
      </c>
      <c r="E8" t="s">
        <v>451</v>
      </c>
    </row>
    <row r="9" spans="1:12">
      <c r="A9" s="62" t="s">
        <v>1842</v>
      </c>
      <c r="B9" s="62"/>
      <c r="C9" s="101">
        <v>163</v>
      </c>
      <c r="D9" s="2">
        <v>1222.5</v>
      </c>
      <c r="E9" t="s">
        <v>451</v>
      </c>
    </row>
    <row r="10" spans="1:12">
      <c r="A10" s="62" t="s">
        <v>1843</v>
      </c>
      <c r="B10" s="62"/>
      <c r="C10" s="101">
        <v>106</v>
      </c>
      <c r="D10" s="2">
        <v>795</v>
      </c>
      <c r="E10" t="s">
        <v>451</v>
      </c>
    </row>
    <row r="11" spans="1:12">
      <c r="A11" s="62" t="s">
        <v>1846</v>
      </c>
      <c r="B11" s="1">
        <v>45993</v>
      </c>
      <c r="C11" s="101">
        <v>8</v>
      </c>
      <c r="D11" s="7">
        <v>60</v>
      </c>
      <c r="E11" t="s">
        <v>452</v>
      </c>
    </row>
    <row r="12" spans="1:12">
      <c r="A12" s="62" t="s">
        <v>1846</v>
      </c>
      <c r="B12" s="1">
        <v>45994</v>
      </c>
      <c r="C12" s="101">
        <v>4</v>
      </c>
      <c r="D12" s="7">
        <v>30</v>
      </c>
      <c r="E12" t="s">
        <v>452</v>
      </c>
    </row>
    <row r="13" spans="1:12">
      <c r="A13" s="62" t="s">
        <v>1846</v>
      </c>
      <c r="B13" s="1">
        <v>45995</v>
      </c>
      <c r="C13" s="101">
        <v>13</v>
      </c>
      <c r="D13" s="7">
        <v>97.5</v>
      </c>
      <c r="E13" t="s">
        <v>452</v>
      </c>
    </row>
    <row r="14" spans="1:12">
      <c r="A14" s="62" t="s">
        <v>1846</v>
      </c>
      <c r="B14" s="1">
        <v>45996</v>
      </c>
      <c r="C14" s="101">
        <v>7</v>
      </c>
      <c r="D14" s="7">
        <v>52.5</v>
      </c>
      <c r="E14" t="s">
        <v>452</v>
      </c>
    </row>
    <row r="15" spans="1:12">
      <c r="A15" s="62" t="s">
        <v>1849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>
      <c r="A16" s="62" t="s">
        <v>1849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>
      <c r="A17" s="62" t="s">
        <v>1849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>
      <c r="A18" s="62" t="s">
        <v>1849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>
      <c r="A19" s="62" t="s">
        <v>1849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>
      <c r="A20" s="62" t="s">
        <v>1849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>
      <c r="A21" s="62" t="s">
        <v>1849</v>
      </c>
      <c r="B21" s="1">
        <v>46005</v>
      </c>
      <c r="E21" t="s">
        <v>452</v>
      </c>
    </row>
    <row r="22" spans="1:5">
      <c r="A22" s="62" t="s">
        <v>1850</v>
      </c>
      <c r="B22" s="1">
        <v>46006</v>
      </c>
      <c r="C22" s="101">
        <v>116</v>
      </c>
      <c r="D22" s="2">
        <v>870</v>
      </c>
      <c r="E22" t="s">
        <v>452</v>
      </c>
    </row>
    <row r="23" spans="1:5">
      <c r="A23" s="62" t="s">
        <v>1850</v>
      </c>
      <c r="B23" s="1">
        <v>46007</v>
      </c>
      <c r="C23" s="101">
        <v>115</v>
      </c>
      <c r="D23" s="2">
        <v>862.5</v>
      </c>
      <c r="E23" t="s">
        <v>452</v>
      </c>
    </row>
    <row r="24" spans="1:5">
      <c r="A24" s="62" t="s">
        <v>1850</v>
      </c>
      <c r="B24" s="1">
        <v>46008</v>
      </c>
      <c r="C24" s="101">
        <v>79</v>
      </c>
      <c r="D24" s="2">
        <v>592.5</v>
      </c>
      <c r="E24" t="s">
        <v>452</v>
      </c>
    </row>
    <row r="25" spans="1:5">
      <c r="A25" s="62" t="s">
        <v>1850</v>
      </c>
      <c r="B25" s="1">
        <v>46009</v>
      </c>
      <c r="C25" s="101">
        <v>30</v>
      </c>
      <c r="D25" s="2">
        <v>225</v>
      </c>
      <c r="E25" t="s">
        <v>452</v>
      </c>
    </row>
    <row r="26" spans="1:5">
      <c r="A26" s="62" t="s">
        <v>1850</v>
      </c>
      <c r="B26" s="1">
        <v>46010</v>
      </c>
      <c r="C26" s="101">
        <v>19</v>
      </c>
      <c r="D26" s="2">
        <v>142.5</v>
      </c>
      <c r="E26" t="s">
        <v>452</v>
      </c>
    </row>
    <row r="27" spans="1:5">
      <c r="A27" s="62" t="s">
        <v>1850</v>
      </c>
      <c r="B27" s="1">
        <v>46011</v>
      </c>
      <c r="C27" s="101">
        <v>12</v>
      </c>
      <c r="D27" s="2">
        <v>90</v>
      </c>
      <c r="E27" t="s">
        <v>452</v>
      </c>
    </row>
    <row r="28" spans="1:5">
      <c r="A28" s="62" t="s">
        <v>1850</v>
      </c>
      <c r="B28" s="1">
        <v>46012</v>
      </c>
      <c r="C28" s="101">
        <v>28</v>
      </c>
      <c r="D28" s="2">
        <v>210</v>
      </c>
      <c r="E28" t="s">
        <v>452</v>
      </c>
    </row>
    <row r="29" spans="1:5">
      <c r="A29" s="62" t="s">
        <v>2242</v>
      </c>
      <c r="B29" s="115">
        <v>46013</v>
      </c>
      <c r="C29" s="50">
        <v>30</v>
      </c>
      <c r="D29" s="2">
        <f>+C29*7.5</f>
        <v>225</v>
      </c>
    </row>
    <row r="30" spans="1:5">
      <c r="A30" s="62" t="s">
        <v>2242</v>
      </c>
      <c r="B30" s="115">
        <v>46014</v>
      </c>
      <c r="C30" s="50">
        <v>10</v>
      </c>
      <c r="D30" s="2">
        <f t="shared" ref="D30:D35" si="3">+C30*7.5</f>
        <v>75</v>
      </c>
    </row>
    <row r="31" spans="1:5">
      <c r="A31" s="62" t="s">
        <v>2242</v>
      </c>
      <c r="B31" s="115">
        <v>46015</v>
      </c>
      <c r="C31" s="50">
        <v>11</v>
      </c>
      <c r="D31" s="2">
        <f t="shared" si="3"/>
        <v>82.5</v>
      </c>
    </row>
    <row r="32" spans="1:5">
      <c r="A32" s="62" t="s">
        <v>2242</v>
      </c>
      <c r="B32" s="115">
        <v>46016</v>
      </c>
      <c r="C32" s="50">
        <v>13</v>
      </c>
      <c r="D32" s="2">
        <f t="shared" si="3"/>
        <v>97.5</v>
      </c>
    </row>
    <row r="33" spans="1:4">
      <c r="A33" s="62" t="s">
        <v>2242</v>
      </c>
      <c r="B33" s="115">
        <v>46017</v>
      </c>
      <c r="C33" s="50">
        <v>3</v>
      </c>
      <c r="D33" s="2">
        <f t="shared" si="3"/>
        <v>22.5</v>
      </c>
    </row>
    <row r="34" spans="1:4">
      <c r="A34" s="62" t="s">
        <v>2242</v>
      </c>
      <c r="B34" s="115">
        <v>46018</v>
      </c>
      <c r="C34" s="50">
        <v>0</v>
      </c>
      <c r="D34" s="2">
        <f t="shared" si="3"/>
        <v>0</v>
      </c>
    </row>
    <row r="35" spans="1:4">
      <c r="A35" s="62" t="s">
        <v>2242</v>
      </c>
      <c r="B35" s="115">
        <v>46019</v>
      </c>
      <c r="C35" s="50">
        <v>0</v>
      </c>
      <c r="D35" s="2">
        <f t="shared" si="3"/>
        <v>0</v>
      </c>
    </row>
    <row r="36" spans="1:4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>
      <c r="A43" t="s">
        <v>425</v>
      </c>
      <c r="B43" s="115">
        <v>46027</v>
      </c>
      <c r="C43" s="2">
        <v>16</v>
      </c>
      <c r="D43" s="2">
        <f>+C43*7.5</f>
        <v>120</v>
      </c>
    </row>
    <row r="44" spans="1:4">
      <c r="A44" t="s">
        <v>425</v>
      </c>
      <c r="B44" s="115">
        <v>46028</v>
      </c>
      <c r="C44" s="2">
        <v>5</v>
      </c>
      <c r="D44" s="2">
        <f t="shared" ref="D44:D48" si="5">+C44*7.5</f>
        <v>37.5</v>
      </c>
    </row>
    <row r="45" spans="1:4">
      <c r="A45" t="s">
        <v>425</v>
      </c>
      <c r="B45" s="115">
        <v>46029</v>
      </c>
      <c r="C45" s="2">
        <v>4</v>
      </c>
      <c r="D45" s="2">
        <f t="shared" si="5"/>
        <v>30</v>
      </c>
    </row>
    <row r="46" spans="1:4">
      <c r="A46" t="s">
        <v>425</v>
      </c>
      <c r="B46" s="115">
        <v>46030</v>
      </c>
      <c r="C46" s="2">
        <v>1</v>
      </c>
      <c r="D46" s="2">
        <f t="shared" si="5"/>
        <v>7.5</v>
      </c>
    </row>
    <row r="47" spans="1:4">
      <c r="A47" t="s">
        <v>425</v>
      </c>
      <c r="B47" s="115">
        <v>46031</v>
      </c>
      <c r="C47" s="2">
        <v>8</v>
      </c>
      <c r="D47" s="2">
        <f t="shared" si="5"/>
        <v>60</v>
      </c>
    </row>
    <row r="48" spans="1:4">
      <c r="A48" t="s">
        <v>425</v>
      </c>
      <c r="B48" s="115">
        <v>46032</v>
      </c>
      <c r="C48" s="2">
        <v>10</v>
      </c>
      <c r="D48" s="2">
        <f t="shared" si="5"/>
        <v>75</v>
      </c>
    </row>
    <row r="49" spans="1:4">
      <c r="A49" t="s">
        <v>425</v>
      </c>
      <c r="B49" s="115">
        <v>46033</v>
      </c>
    </row>
    <row r="50" spans="1:4">
      <c r="A50" t="s">
        <v>2</v>
      </c>
      <c r="B50" s="115">
        <v>46034</v>
      </c>
      <c r="D50" s="2">
        <v>135</v>
      </c>
    </row>
    <row r="51" spans="1:4">
      <c r="A51" t="s">
        <v>2</v>
      </c>
      <c r="B51" s="115">
        <v>46035</v>
      </c>
      <c r="D51" s="2">
        <v>166.5</v>
      </c>
    </row>
    <row r="52" spans="1:4">
      <c r="A52" t="s">
        <v>2</v>
      </c>
      <c r="B52" s="115">
        <v>46036</v>
      </c>
      <c r="D52" s="2">
        <v>289.5</v>
      </c>
    </row>
    <row r="53" spans="1:4">
      <c r="A53" t="s">
        <v>2</v>
      </c>
      <c r="B53" s="115">
        <v>46037</v>
      </c>
      <c r="D53" s="2">
        <v>210</v>
      </c>
    </row>
    <row r="54" spans="1:4">
      <c r="A54" t="s">
        <v>2</v>
      </c>
      <c r="B54" s="115">
        <v>46038</v>
      </c>
      <c r="D54" s="2">
        <v>379</v>
      </c>
    </row>
    <row r="55" spans="1:4">
      <c r="A55" t="s">
        <v>2</v>
      </c>
      <c r="B55" s="115">
        <v>46039</v>
      </c>
      <c r="D55" s="2">
        <v>351</v>
      </c>
    </row>
    <row r="56" spans="1:4">
      <c r="A56" t="s">
        <v>2</v>
      </c>
      <c r="B56" s="115">
        <v>46040</v>
      </c>
    </row>
    <row r="57" spans="1:4">
      <c r="A57" t="s">
        <v>3</v>
      </c>
      <c r="B57" s="115">
        <v>46041</v>
      </c>
      <c r="D57" s="2">
        <v>228</v>
      </c>
    </row>
    <row r="58" spans="1:4">
      <c r="A58" t="s">
        <v>3</v>
      </c>
      <c r="B58" s="115">
        <v>46042</v>
      </c>
      <c r="D58">
        <v>324</v>
      </c>
    </row>
    <row r="59" spans="1:4">
      <c r="A59" t="s">
        <v>3</v>
      </c>
      <c r="B59" s="115">
        <v>46043</v>
      </c>
      <c r="D59">
        <v>210</v>
      </c>
    </row>
    <row r="60" spans="1:4">
      <c r="A60" t="s">
        <v>3</v>
      </c>
      <c r="B60" s="115">
        <v>46044</v>
      </c>
      <c r="D60">
        <v>174</v>
      </c>
    </row>
    <row r="61" spans="1:4">
      <c r="A61" t="s">
        <v>3</v>
      </c>
      <c r="B61" s="115">
        <v>46045</v>
      </c>
      <c r="D61">
        <v>210</v>
      </c>
    </row>
    <row r="62" spans="1:4">
      <c r="A62" t="s">
        <v>3</v>
      </c>
      <c r="B62" s="115">
        <v>46046</v>
      </c>
      <c r="D62">
        <v>246</v>
      </c>
    </row>
    <row r="63" spans="1:4">
      <c r="A63" t="s">
        <v>3</v>
      </c>
      <c r="B63" s="115">
        <v>46047</v>
      </c>
    </row>
    <row r="64" spans="1:4">
      <c r="A64" t="s">
        <v>4</v>
      </c>
      <c r="B64" s="115">
        <v>46048</v>
      </c>
      <c r="D64" s="2">
        <v>292.5</v>
      </c>
    </row>
    <row r="65" spans="1:4">
      <c r="A65" t="s">
        <v>4</v>
      </c>
      <c r="B65" s="115">
        <v>46049</v>
      </c>
      <c r="D65" s="2">
        <v>204.75</v>
      </c>
    </row>
    <row r="66" spans="1:4">
      <c r="A66" t="s">
        <v>4</v>
      </c>
      <c r="B66" s="115">
        <v>46050</v>
      </c>
      <c r="D66" s="2">
        <v>92.625</v>
      </c>
    </row>
    <row r="67" spans="1:4">
      <c r="A67" t="s">
        <v>4</v>
      </c>
      <c r="B67" s="115">
        <v>46051</v>
      </c>
      <c r="D67" s="2">
        <v>180.375</v>
      </c>
    </row>
    <row r="68" spans="1:4">
      <c r="A68" t="s">
        <v>4</v>
      </c>
      <c r="B68" s="115">
        <v>46052</v>
      </c>
      <c r="D68" s="2">
        <v>355.875</v>
      </c>
    </row>
    <row r="69" spans="1:4">
      <c r="A69" t="s">
        <v>4</v>
      </c>
      <c r="B69" s="115">
        <v>46053</v>
      </c>
      <c r="D69" s="2">
        <v>87.75</v>
      </c>
    </row>
    <row r="70" spans="1:4">
      <c r="A70" t="s">
        <v>4</v>
      </c>
      <c r="B70" s="115">
        <v>46054</v>
      </c>
    </row>
  </sheetData>
  <phoneticPr fontId="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JH1" workbookViewId="0">
      <selection activeCell="JM16" sqref="JM16"/>
    </sheetView>
  </sheetViews>
  <sheetFormatPr defaultColWidth="8.88671875" defaultRowHeight="14.4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39072.683333333334</v>
      </c>
      <c r="B3" s="14" t="s">
        <v>427</v>
      </c>
      <c r="C3" s="103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/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>
      <c r="JU6" s="47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43298.416666666657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FZ9" s="7">
        <v>133</v>
      </c>
      <c r="GA9" s="7">
        <v>143.41666666666669</v>
      </c>
      <c r="GB9" s="7">
        <v>120.83333333333333</v>
      </c>
      <c r="GC9" s="7">
        <v>129.83333333333331</v>
      </c>
      <c r="GD9" s="7">
        <v>113.5</v>
      </c>
      <c r="GE9" s="7">
        <v>108.83333333333333</v>
      </c>
      <c r="GG9" s="2">
        <v>133</v>
      </c>
      <c r="GH9" s="2">
        <v>127</v>
      </c>
      <c r="GI9" s="2">
        <v>136</v>
      </c>
      <c r="GJ9" s="2">
        <v>123.58333333333333</v>
      </c>
      <c r="GK9" s="2">
        <v>125</v>
      </c>
      <c r="GL9" s="2">
        <v>104.75</v>
      </c>
      <c r="GM9" s="2">
        <v>82.5</v>
      </c>
      <c r="GN9" s="7">
        <v>119.5</v>
      </c>
      <c r="GO9" s="7">
        <v>110.75</v>
      </c>
      <c r="GP9" s="7">
        <v>97.5</v>
      </c>
      <c r="GQ9" s="7">
        <v>132.33333333333331</v>
      </c>
      <c r="GR9" s="7">
        <v>127</v>
      </c>
      <c r="GS9" s="7">
        <v>112</v>
      </c>
      <c r="GU9" s="7">
        <v>105.25</v>
      </c>
      <c r="GV9" s="7">
        <v>122.5</v>
      </c>
      <c r="GW9" s="7">
        <v>132.58333333333334</v>
      </c>
      <c r="GX9" s="7">
        <v>118</v>
      </c>
      <c r="GY9" s="7">
        <v>106.99999999999999</v>
      </c>
      <c r="GZ9" s="7">
        <v>97.5</v>
      </c>
      <c r="HA9" s="7">
        <v>81.666666666666671</v>
      </c>
      <c r="HB9" s="2">
        <v>107.5</v>
      </c>
      <c r="HC9" s="2">
        <v>118</v>
      </c>
      <c r="HD9" s="2">
        <v>114.58333333333333</v>
      </c>
      <c r="HE9" s="2">
        <v>129.16666666666669</v>
      </c>
      <c r="HF9" s="2">
        <v>133</v>
      </c>
      <c r="HG9" s="2">
        <v>104.49999999999999</v>
      </c>
      <c r="HI9" s="2">
        <v>117</v>
      </c>
      <c r="HJ9" s="2">
        <v>111.08333333333333</v>
      </c>
      <c r="HK9" s="2">
        <v>113.24999999999999</v>
      </c>
      <c r="HL9" s="2">
        <v>97.5</v>
      </c>
      <c r="HM9" s="2">
        <v>117</v>
      </c>
      <c r="HN9" s="2">
        <v>82.5</v>
      </c>
      <c r="HO9" s="2">
        <v>90</v>
      </c>
      <c r="HP9" s="2">
        <v>110.25</v>
      </c>
      <c r="HQ9" s="2">
        <v>110.5</v>
      </c>
      <c r="HR9" s="2">
        <v>88</v>
      </c>
      <c r="HS9" s="2">
        <v>95.5</v>
      </c>
      <c r="HT9" s="2">
        <v>100</v>
      </c>
      <c r="HU9" s="2">
        <v>82.5</v>
      </c>
      <c r="HV9" s="20"/>
      <c r="HW9" s="3">
        <v>208</v>
      </c>
      <c r="HX9" s="3">
        <v>149.5</v>
      </c>
      <c r="HY9" s="3">
        <v>137.5</v>
      </c>
      <c r="HZ9" s="3">
        <v>185.5</v>
      </c>
      <c r="IA9" s="3">
        <v>130.75</v>
      </c>
      <c r="IB9" s="3">
        <v>185.5</v>
      </c>
      <c r="IC9" s="3">
        <v>90</v>
      </c>
      <c r="ID9" s="3">
        <v>106</v>
      </c>
      <c r="IE9" s="3">
        <v>106</v>
      </c>
      <c r="IF9" s="3">
        <v>97</v>
      </c>
      <c r="IG9" s="3">
        <v>105.75</v>
      </c>
      <c r="IH9" s="3">
        <v>112</v>
      </c>
      <c r="II9" s="3">
        <v>67.5</v>
      </c>
      <c r="IK9" s="2">
        <v>120</v>
      </c>
      <c r="IL9" s="2">
        <v>127.5</v>
      </c>
      <c r="IM9" s="2">
        <v>120</v>
      </c>
      <c r="IN9" s="2">
        <v>108</v>
      </c>
      <c r="IO9" s="2">
        <v>105</v>
      </c>
      <c r="IP9" s="2">
        <v>112.5</v>
      </c>
      <c r="IQ9" s="2">
        <v>110.58333333333333</v>
      </c>
      <c r="IR9" s="7">
        <v>126.83333333333333</v>
      </c>
      <c r="IS9" s="7">
        <v>116.5</v>
      </c>
      <c r="IT9" s="7">
        <v>133.08333333333334</v>
      </c>
      <c r="IU9" s="7">
        <v>148.08333333333334</v>
      </c>
      <c r="IV9" s="7">
        <v>143.5</v>
      </c>
      <c r="IW9" s="7">
        <v>134</v>
      </c>
      <c r="IY9" s="3">
        <v>239.58333333333334</v>
      </c>
      <c r="IZ9" s="3">
        <v>181</v>
      </c>
      <c r="JA9" s="3">
        <v>188.5</v>
      </c>
      <c r="JB9" s="3">
        <v>155.08333333333334</v>
      </c>
      <c r="JC9" s="3">
        <v>166</v>
      </c>
      <c r="JD9" s="3">
        <v>127.5</v>
      </c>
      <c r="JF9" s="7">
        <v>181</v>
      </c>
      <c r="JG9" s="7">
        <v>126.75</v>
      </c>
      <c r="JH9" s="7">
        <v>143.5</v>
      </c>
      <c r="JI9" s="7">
        <v>128.5</v>
      </c>
      <c r="JJ9" s="7">
        <v>128.5</v>
      </c>
      <c r="JK9" s="7">
        <v>112.5</v>
      </c>
      <c r="JM9" s="3">
        <v>2057.166666666667</v>
      </c>
      <c r="JN9" s="3">
        <v>1984.25</v>
      </c>
      <c r="JO9" s="3">
        <v>1834.5833333333335</v>
      </c>
      <c r="JP9" s="3">
        <v>1957.7500000000002</v>
      </c>
      <c r="JQ9" s="3">
        <v>1943.5833333333333</v>
      </c>
      <c r="JR9" s="3">
        <v>1361.8333333333333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1888159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FZ10" s="7">
        <v>6952</v>
      </c>
      <c r="GA10" s="7">
        <v>8065</v>
      </c>
      <c r="GB10" s="7">
        <v>7101</v>
      </c>
      <c r="GC10" s="7">
        <v>4628</v>
      </c>
      <c r="GD10" s="7">
        <v>3177</v>
      </c>
      <c r="GE10" s="7">
        <v>2281</v>
      </c>
      <c r="GG10" s="7">
        <v>7954</v>
      </c>
      <c r="GH10" s="7">
        <v>9019</v>
      </c>
      <c r="GI10" s="7">
        <v>8122</v>
      </c>
      <c r="GJ10" s="7">
        <v>6585</v>
      </c>
      <c r="GK10" s="7">
        <v>6608</v>
      </c>
      <c r="GL10" s="7">
        <v>4218</v>
      </c>
      <c r="GM10" s="7">
        <v>4773</v>
      </c>
      <c r="GN10" s="7">
        <v>7366</v>
      </c>
      <c r="GO10" s="7">
        <v>4545</v>
      </c>
      <c r="GP10" s="7">
        <v>11021</v>
      </c>
      <c r="GQ10" s="7">
        <v>9097</v>
      </c>
      <c r="GR10" s="7">
        <v>8031</v>
      </c>
      <c r="GS10" s="7">
        <v>7344</v>
      </c>
      <c r="GU10" s="7">
        <v>8399</v>
      </c>
      <c r="GV10" s="7">
        <v>9016</v>
      </c>
      <c r="GW10" s="7">
        <v>6355</v>
      </c>
      <c r="GX10" s="7">
        <v>4316</v>
      </c>
      <c r="GY10" s="7">
        <v>4042</v>
      </c>
      <c r="GZ10" s="7">
        <v>4140</v>
      </c>
      <c r="HA10" s="7">
        <v>3243</v>
      </c>
      <c r="HB10" s="7">
        <v>2452</v>
      </c>
      <c r="HC10" s="7">
        <v>6098</v>
      </c>
      <c r="HD10" s="7">
        <v>2651</v>
      </c>
      <c r="HE10" s="7">
        <v>5332</v>
      </c>
      <c r="HF10" s="7">
        <v>4217</v>
      </c>
      <c r="HG10" s="7">
        <v>3117</v>
      </c>
      <c r="HI10" s="7">
        <v>1799</v>
      </c>
      <c r="HJ10" s="7">
        <v>3802</v>
      </c>
      <c r="HK10" s="7">
        <v>3251</v>
      </c>
      <c r="HL10" s="7">
        <v>1583</v>
      </c>
      <c r="HM10" s="7">
        <v>8217</v>
      </c>
      <c r="HN10" s="7">
        <v>3319</v>
      </c>
      <c r="HO10" s="7">
        <v>1141</v>
      </c>
      <c r="HP10" s="7">
        <v>5650</v>
      </c>
      <c r="HQ10" s="7">
        <v>1123</v>
      </c>
      <c r="HR10" s="7">
        <v>1336</v>
      </c>
      <c r="HS10" s="7">
        <v>8589</v>
      </c>
      <c r="HT10" s="7">
        <v>7291</v>
      </c>
      <c r="HU10" s="7">
        <v>7896</v>
      </c>
      <c r="HW10" s="7">
        <v>6152</v>
      </c>
      <c r="HX10" s="7">
        <v>1618</v>
      </c>
      <c r="HY10" s="7">
        <v>40</v>
      </c>
      <c r="HZ10" s="7">
        <v>3278</v>
      </c>
      <c r="IA10" s="7">
        <v>3036</v>
      </c>
      <c r="IB10" s="7">
        <v>771</v>
      </c>
      <c r="IC10" s="7">
        <v>25</v>
      </c>
      <c r="ID10" s="8">
        <v>54</v>
      </c>
      <c r="IE10" s="8">
        <v>119</v>
      </c>
      <c r="IF10" s="8">
        <v>68</v>
      </c>
      <c r="IG10" s="8">
        <v>23</v>
      </c>
      <c r="IH10" s="8">
        <v>66</v>
      </c>
      <c r="II10" s="8">
        <v>25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43.608038015246912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GN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FZ11" s="3">
        <f t="shared" si="16"/>
        <v>52.270676691729321</v>
      </c>
      <c r="GA11" s="3">
        <f t="shared" si="16"/>
        <v>56.234747239976748</v>
      </c>
      <c r="GB11" s="3">
        <f t="shared" si="16"/>
        <v>58.766896551724138</v>
      </c>
      <c r="GC11" s="3">
        <f t="shared" si="16"/>
        <v>35.645699614890894</v>
      </c>
      <c r="GD11" s="3">
        <f t="shared" si="16"/>
        <v>27.991189427312776</v>
      </c>
      <c r="GE11" s="3">
        <f t="shared" si="16"/>
        <v>20.95865237366003</v>
      </c>
      <c r="GF11" s="3" t="str">
        <f t="shared" si="16"/>
        <v/>
      </c>
      <c r="GG11" s="3">
        <f t="shared" si="16"/>
        <v>59.804511278195491</v>
      </c>
      <c r="GH11" s="3">
        <f t="shared" si="16"/>
        <v>71.015748031496059</v>
      </c>
      <c r="GI11" s="3">
        <f t="shared" si="16"/>
        <v>59.720588235294116</v>
      </c>
      <c r="GJ11" s="3">
        <f t="shared" si="16"/>
        <v>53.283884018880649</v>
      </c>
      <c r="GK11" s="3">
        <f t="shared" si="16"/>
        <v>52.863999999999997</v>
      </c>
      <c r="GL11" s="3">
        <f t="shared" si="16"/>
        <v>40.267303102625299</v>
      </c>
      <c r="GM11" s="3">
        <f t="shared" si="16"/>
        <v>57.854545454545452</v>
      </c>
      <c r="GN11" s="3">
        <f t="shared" si="16"/>
        <v>61.640167364016733</v>
      </c>
      <c r="GO11" s="3">
        <f t="shared" ref="GO11:IZ11" si="17">+IFERROR(GO10/GO9,"")</f>
        <v>41.038374717832959</v>
      </c>
      <c r="GP11" s="3">
        <f t="shared" si="17"/>
        <v>113.03589743589744</v>
      </c>
      <c r="GQ11" s="3">
        <f t="shared" si="17"/>
        <v>68.743073047858957</v>
      </c>
      <c r="GR11" s="3">
        <f t="shared" si="17"/>
        <v>63.236220472440948</v>
      </c>
      <c r="GS11" s="3">
        <f t="shared" si="17"/>
        <v>65.571428571428569</v>
      </c>
      <c r="GT11" s="3" t="str">
        <f t="shared" si="17"/>
        <v/>
      </c>
      <c r="GU11" s="3">
        <f t="shared" si="17"/>
        <v>79.800475059382421</v>
      </c>
      <c r="GV11" s="3">
        <f t="shared" si="17"/>
        <v>73.599999999999994</v>
      </c>
      <c r="GW11" s="3">
        <f t="shared" si="17"/>
        <v>47.932118164676304</v>
      </c>
      <c r="GX11" s="3">
        <f t="shared" si="17"/>
        <v>36.576271186440678</v>
      </c>
      <c r="GY11" s="3">
        <f t="shared" si="17"/>
        <v>37.775700934579447</v>
      </c>
      <c r="GZ11" s="3">
        <f t="shared" si="17"/>
        <v>42.46153846153846</v>
      </c>
      <c r="HA11" s="3">
        <f t="shared" si="17"/>
        <v>39.710204081632654</v>
      </c>
      <c r="HB11" s="3">
        <f t="shared" si="17"/>
        <v>22.809302325581395</v>
      </c>
      <c r="HC11" s="3">
        <f t="shared" si="17"/>
        <v>51.677966101694913</v>
      </c>
      <c r="HD11" s="3">
        <f t="shared" si="17"/>
        <v>23.135999999999999</v>
      </c>
      <c r="HE11" s="3">
        <f t="shared" si="17"/>
        <v>41.279999999999994</v>
      </c>
      <c r="HF11" s="3">
        <f t="shared" si="17"/>
        <v>31.706766917293233</v>
      </c>
      <c r="HG11" s="3">
        <f t="shared" si="17"/>
        <v>29.827751196172255</v>
      </c>
      <c r="HH11" s="3" t="str">
        <f t="shared" si="17"/>
        <v/>
      </c>
      <c r="HI11" s="3">
        <f t="shared" si="17"/>
        <v>15.376068376068377</v>
      </c>
      <c r="HJ11" s="3">
        <f t="shared" si="17"/>
        <v>34.226556639159789</v>
      </c>
      <c r="HK11" s="3">
        <f t="shared" si="17"/>
        <v>28.706401766004419</v>
      </c>
      <c r="HL11" s="3">
        <f t="shared" si="17"/>
        <v>16.235897435897435</v>
      </c>
      <c r="HM11" s="3">
        <f t="shared" si="17"/>
        <v>70.230769230769226</v>
      </c>
      <c r="HN11" s="3">
        <f t="shared" si="17"/>
        <v>40.230303030303027</v>
      </c>
      <c r="HO11" s="3">
        <f t="shared" si="17"/>
        <v>12.677777777777777</v>
      </c>
      <c r="HP11" s="3">
        <f t="shared" si="17"/>
        <v>51.247165532879819</v>
      </c>
      <c r="HQ11" s="3">
        <f t="shared" si="17"/>
        <v>10.162895927601809</v>
      </c>
      <c r="HR11" s="3">
        <f t="shared" si="17"/>
        <v>15.181818181818182</v>
      </c>
      <c r="HS11" s="3">
        <f t="shared" si="17"/>
        <v>89.937172774869111</v>
      </c>
      <c r="HT11" s="3">
        <f t="shared" si="17"/>
        <v>72.91</v>
      </c>
      <c r="HU11" s="3">
        <f t="shared" si="17"/>
        <v>95.709090909090904</v>
      </c>
      <c r="HV11" s="3" t="str">
        <f t="shared" si="17"/>
        <v/>
      </c>
      <c r="HW11" s="3">
        <f t="shared" si="17"/>
        <v>29.576923076923077</v>
      </c>
      <c r="HX11" s="3">
        <f t="shared" si="17"/>
        <v>10.822742474916389</v>
      </c>
      <c r="HY11" s="3">
        <f t="shared" si="17"/>
        <v>0.29090909090909089</v>
      </c>
      <c r="HZ11" s="3">
        <f t="shared" si="17"/>
        <v>17.671159029649594</v>
      </c>
      <c r="IA11" s="3">
        <f t="shared" si="17"/>
        <v>23.219885277246654</v>
      </c>
      <c r="IB11" s="3">
        <f t="shared" si="17"/>
        <v>4.1563342318059302</v>
      </c>
      <c r="IC11" s="3">
        <f t="shared" si="17"/>
        <v>0.27777777777777779</v>
      </c>
      <c r="ID11" s="3">
        <f t="shared" si="17"/>
        <v>0.50943396226415094</v>
      </c>
      <c r="IE11" s="3">
        <f t="shared" si="17"/>
        <v>1.1226415094339623</v>
      </c>
      <c r="IF11" s="3">
        <f t="shared" si="17"/>
        <v>0.7010309278350515</v>
      </c>
      <c r="IG11" s="3">
        <f t="shared" si="17"/>
        <v>0.21749408983451538</v>
      </c>
      <c r="IH11" s="3">
        <f t="shared" si="17"/>
        <v>0.5892857142857143</v>
      </c>
      <c r="II11" s="3">
        <f t="shared" si="17"/>
        <v>0.37037037037037035</v>
      </c>
      <c r="IJ11" s="3" t="str">
        <f t="shared" si="17"/>
        <v/>
      </c>
      <c r="IK11" s="3">
        <f t="shared" si="17"/>
        <v>0</v>
      </c>
      <c r="IL11" s="3">
        <f t="shared" si="17"/>
        <v>0</v>
      </c>
      <c r="IM11" s="3">
        <f t="shared" si="17"/>
        <v>0</v>
      </c>
      <c r="IN11" s="3">
        <f t="shared" si="17"/>
        <v>0</v>
      </c>
      <c r="IO11" s="3">
        <f t="shared" si="17"/>
        <v>0</v>
      </c>
      <c r="IP11" s="3">
        <f t="shared" si="17"/>
        <v>0</v>
      </c>
      <c r="IQ11" s="3">
        <f t="shared" si="17"/>
        <v>0</v>
      </c>
      <c r="IR11" s="3">
        <f t="shared" si="17"/>
        <v>0</v>
      </c>
      <c r="IS11" s="3">
        <f t="shared" si="17"/>
        <v>0</v>
      </c>
      <c r="IT11" s="3">
        <f t="shared" si="17"/>
        <v>0</v>
      </c>
      <c r="IU11" s="3">
        <f t="shared" si="17"/>
        <v>0</v>
      </c>
      <c r="IV11" s="3">
        <f t="shared" si="17"/>
        <v>0</v>
      </c>
      <c r="IW11" s="3">
        <f t="shared" si="17"/>
        <v>0</v>
      </c>
      <c r="IX11" s="3" t="str">
        <f t="shared" si="17"/>
        <v/>
      </c>
      <c r="IY11" s="3">
        <f t="shared" si="17"/>
        <v>0</v>
      </c>
      <c r="IZ11" s="3">
        <f t="shared" si="17"/>
        <v>0</v>
      </c>
      <c r="JA11" s="3">
        <f t="shared" ref="JA11:JS11" si="18">+IFERROR(JA10/JA9,"")</f>
        <v>0</v>
      </c>
      <c r="JB11" s="3">
        <f t="shared" si="18"/>
        <v>0</v>
      </c>
      <c r="JC11" s="3">
        <f t="shared" si="18"/>
        <v>0</v>
      </c>
      <c r="JD11" s="3">
        <f t="shared" si="18"/>
        <v>0</v>
      </c>
      <c r="JE11" s="3" t="str">
        <f t="shared" si="18"/>
        <v/>
      </c>
      <c r="JF11" s="3">
        <f t="shared" si="18"/>
        <v>0</v>
      </c>
      <c r="JG11" s="3">
        <f t="shared" si="18"/>
        <v>0</v>
      </c>
      <c r="JH11" s="3">
        <f t="shared" si="18"/>
        <v>0</v>
      </c>
      <c r="JI11" s="3">
        <f t="shared" si="18"/>
        <v>0</v>
      </c>
      <c r="JJ11" s="3">
        <f t="shared" si="18"/>
        <v>0</v>
      </c>
      <c r="JK11" s="3">
        <f t="shared" si="18"/>
        <v>0</v>
      </c>
      <c r="JL11" s="3" t="str">
        <f t="shared" si="18"/>
        <v/>
      </c>
      <c r="JM11" s="3">
        <f t="shared" si="18"/>
        <v>0</v>
      </c>
      <c r="JN11" s="3">
        <f t="shared" si="18"/>
        <v>0</v>
      </c>
      <c r="JO11" s="3">
        <f t="shared" si="18"/>
        <v>0</v>
      </c>
      <c r="JP11" s="3">
        <f t="shared" si="18"/>
        <v>0</v>
      </c>
      <c r="JQ11" s="3">
        <f t="shared" si="18"/>
        <v>0</v>
      </c>
      <c r="JR11" s="3">
        <f t="shared" si="18"/>
        <v>0</v>
      </c>
      <c r="JS11" s="3" t="str">
        <f t="shared" si="18"/>
        <v/>
      </c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FZ12" s="20"/>
      <c r="GG12" s="20"/>
      <c r="GN12" s="20"/>
      <c r="GU12" s="20"/>
      <c r="HB12" s="20"/>
      <c r="HI12" s="20"/>
      <c r="HP12" s="20"/>
      <c r="HW12" s="20"/>
      <c r="ID12" s="20"/>
      <c r="LW12" s="71"/>
      <c r="LX12" s="93"/>
      <c r="LY12" s="93"/>
      <c r="LZ12" s="93"/>
      <c r="MA12" s="26"/>
    </row>
    <row r="13" spans="1:367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LW13" s="71"/>
      <c r="LX13" s="93"/>
      <c r="LY13" s="93"/>
      <c r="LZ13" s="93"/>
      <c r="MA13" s="26"/>
    </row>
    <row r="14" spans="1:367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FZ14" s="20"/>
      <c r="GG14" s="20"/>
      <c r="GN14" s="20"/>
      <c r="GU14" s="20"/>
      <c r="HB14" s="20"/>
      <c r="HI14" s="20"/>
      <c r="HP14" s="20"/>
      <c r="HW14" s="20"/>
      <c r="ID14" s="20"/>
      <c r="LW14" s="71"/>
      <c r="LX14" s="93"/>
      <c r="LY14" s="93"/>
      <c r="LZ14" s="93"/>
      <c r="MA14" s="26"/>
    </row>
    <row r="15" spans="1:367">
      <c r="AB15" s="7"/>
      <c r="BD15" s="20"/>
      <c r="LW15" s="71"/>
      <c r="LX15" s="93"/>
      <c r="LY15" s="93"/>
      <c r="LZ15" s="93"/>
      <c r="MA15" s="26"/>
    </row>
    <row r="16" spans="1:367">
      <c r="LW16" s="71"/>
      <c r="LX16" s="93"/>
      <c r="LY16" s="93"/>
      <c r="LZ16" s="93"/>
      <c r="MA16" s="26"/>
    </row>
    <row r="17" spans="335:339">
      <c r="LW17" s="71"/>
      <c r="LX17" s="93"/>
      <c r="LY17" s="93"/>
      <c r="LZ17" s="93"/>
      <c r="MA17" s="2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JI1" zoomScaleNormal="100" workbookViewId="0">
      <selection activeCell="JL30" sqref="JL30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SUM(C3:NC3)</f>
        <v>86568.833333333328</v>
      </c>
      <c r="B3" s="14" t="s">
        <v>427</v>
      </c>
      <c r="C3" s="103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2"/>
      <c r="CN3" s="102"/>
      <c r="CO3" s="102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/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66862.499999999985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FZ9" s="7">
        <v>263</v>
      </c>
      <c r="GA9" s="7">
        <v>236.83333333333334</v>
      </c>
      <c r="GB9" s="7">
        <v>269.5</v>
      </c>
      <c r="GC9" s="2">
        <v>238.83333333333334</v>
      </c>
      <c r="GD9" s="2">
        <v>224.16666666666666</v>
      </c>
      <c r="GE9" s="2">
        <v>243.74999999999997</v>
      </c>
      <c r="GF9" s="2"/>
      <c r="GG9" s="2">
        <v>245.66666666666666</v>
      </c>
      <c r="GH9" s="2">
        <v>222.83333333333334</v>
      </c>
      <c r="GI9" s="2">
        <v>229.25</v>
      </c>
      <c r="GJ9" s="2">
        <v>239.5</v>
      </c>
      <c r="GK9" s="2">
        <v>247.5</v>
      </c>
      <c r="GL9" s="2">
        <v>232</v>
      </c>
      <c r="GM9" s="2">
        <v>194.75</v>
      </c>
      <c r="GN9" s="7">
        <v>255.5</v>
      </c>
      <c r="GO9" s="7">
        <v>244.75</v>
      </c>
      <c r="GP9" s="7">
        <v>277.25</v>
      </c>
      <c r="GQ9" s="7">
        <v>240.75</v>
      </c>
      <c r="GR9" s="7">
        <v>245.16666666666666</v>
      </c>
      <c r="GS9" s="7">
        <v>217.5</v>
      </c>
      <c r="GT9" s="7"/>
      <c r="GU9" s="7">
        <v>285</v>
      </c>
      <c r="GV9" s="7">
        <v>282</v>
      </c>
      <c r="GW9" s="7">
        <v>259.5</v>
      </c>
      <c r="GX9" s="7">
        <v>287.5</v>
      </c>
      <c r="GY9" s="7">
        <v>257.58333333333337</v>
      </c>
      <c r="GZ9" s="7">
        <v>211.91666666666669</v>
      </c>
      <c r="HA9" s="7">
        <v>180</v>
      </c>
      <c r="HB9" s="2">
        <v>260.25</v>
      </c>
      <c r="HC9" s="2">
        <v>286</v>
      </c>
      <c r="HD9" s="2">
        <v>279.83333333333337</v>
      </c>
      <c r="HE9" s="2">
        <v>267</v>
      </c>
      <c r="HF9" s="2">
        <v>270.75</v>
      </c>
      <c r="HG9" s="2">
        <v>217.5</v>
      </c>
      <c r="HI9" s="2">
        <v>234.16666666666666</v>
      </c>
      <c r="HJ9" s="2">
        <v>261</v>
      </c>
      <c r="HK9" s="2">
        <v>236.75</v>
      </c>
      <c r="HL9" s="2">
        <v>263.16666666666663</v>
      </c>
      <c r="HM9" s="2">
        <v>324</v>
      </c>
      <c r="HN9" s="2">
        <v>223.5</v>
      </c>
      <c r="HO9" s="2">
        <v>186.83333333333334</v>
      </c>
      <c r="HP9" s="2">
        <v>278.25</v>
      </c>
      <c r="HQ9" s="2">
        <v>233.66666666666669</v>
      </c>
      <c r="HR9" s="2">
        <v>241.5</v>
      </c>
      <c r="HS9" s="2">
        <v>363.83333333333337</v>
      </c>
      <c r="HT9" s="2">
        <v>394.75</v>
      </c>
      <c r="HU9" s="2">
        <v>433.75</v>
      </c>
      <c r="HV9" s="20"/>
      <c r="HW9" s="3">
        <v>331.5</v>
      </c>
      <c r="HX9" s="3">
        <v>244.5</v>
      </c>
      <c r="HY9" s="3">
        <v>262.08333333333331</v>
      </c>
      <c r="HZ9" s="3">
        <v>269.75</v>
      </c>
      <c r="IA9" s="3">
        <v>300.33333333333337</v>
      </c>
      <c r="IB9" s="3">
        <v>267.08333333333337</v>
      </c>
      <c r="IC9" s="3">
        <v>217.5</v>
      </c>
      <c r="ID9" s="3">
        <v>270</v>
      </c>
      <c r="IE9" s="3">
        <v>251.16666666666666</v>
      </c>
      <c r="IF9" s="3">
        <v>247.00000000000003</v>
      </c>
      <c r="IG9" s="3">
        <v>216.91666666666666</v>
      </c>
      <c r="IH9" s="3">
        <v>235.16666666666669</v>
      </c>
      <c r="II9" s="3">
        <v>224</v>
      </c>
      <c r="IK9" s="2">
        <v>277</v>
      </c>
      <c r="IL9" s="2">
        <v>220.5</v>
      </c>
      <c r="IM9" s="2">
        <v>216</v>
      </c>
      <c r="IN9" s="2">
        <v>282.41666666666663</v>
      </c>
      <c r="IO9" s="2">
        <v>274.66666666666669</v>
      </c>
      <c r="IP9" s="2">
        <v>244.08333333333331</v>
      </c>
      <c r="IQ9" s="2">
        <v>215.5</v>
      </c>
      <c r="IR9" s="7">
        <v>341.08333333333337</v>
      </c>
      <c r="IS9" s="7">
        <v>360</v>
      </c>
      <c r="IT9" s="7">
        <v>350.91666666666663</v>
      </c>
      <c r="IU9" s="7">
        <v>339</v>
      </c>
      <c r="IV9" s="7">
        <v>429.08333333333331</v>
      </c>
      <c r="IW9" s="7">
        <v>356.25</v>
      </c>
      <c r="IY9" s="3">
        <v>477.75</v>
      </c>
      <c r="IZ9" s="3">
        <v>371.33333333333337</v>
      </c>
      <c r="JA9" s="3">
        <v>427.33333333333337</v>
      </c>
      <c r="JB9" s="3">
        <v>359.75</v>
      </c>
      <c r="JC9" s="3">
        <v>428.91666666666663</v>
      </c>
      <c r="JD9" s="3">
        <v>266.83333333333337</v>
      </c>
      <c r="JF9" s="7">
        <v>264</v>
      </c>
      <c r="JG9" s="7">
        <v>267</v>
      </c>
      <c r="JH9" s="7">
        <v>272.16666666666663</v>
      </c>
      <c r="JI9" s="7">
        <v>325.5</v>
      </c>
      <c r="JJ9" s="7">
        <v>295.5</v>
      </c>
      <c r="JK9" s="7">
        <v>216.5</v>
      </c>
      <c r="JL9" s="7"/>
      <c r="JM9" s="3">
        <v>236.91666666666669</v>
      </c>
      <c r="JN9" s="3">
        <v>269.33333333333331</v>
      </c>
      <c r="JO9" s="3">
        <v>315</v>
      </c>
      <c r="JP9" s="3">
        <v>351.66666666666663</v>
      </c>
      <c r="JQ9" s="3">
        <v>261.75</v>
      </c>
      <c r="JR9" s="3">
        <v>269.08333333333337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8782498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FZ10" s="2">
        <v>35097</v>
      </c>
      <c r="GA10" s="2">
        <v>35930</v>
      </c>
      <c r="GB10" s="2">
        <v>36510</v>
      </c>
      <c r="GC10" s="2">
        <v>32973</v>
      </c>
      <c r="GD10" s="2">
        <v>30748</v>
      </c>
      <c r="GE10" s="2">
        <v>26292</v>
      </c>
      <c r="GF10" s="2"/>
      <c r="GG10" s="2">
        <v>30357</v>
      </c>
      <c r="GH10" s="2">
        <v>39881</v>
      </c>
      <c r="GI10" s="2">
        <v>26022</v>
      </c>
      <c r="GJ10" s="2">
        <v>27362</v>
      </c>
      <c r="GK10" s="2">
        <v>29780</v>
      </c>
      <c r="GL10" s="2">
        <v>27246</v>
      </c>
      <c r="GM10" s="2">
        <v>28214</v>
      </c>
      <c r="GN10" s="2">
        <v>30663</v>
      </c>
      <c r="GO10" s="2">
        <v>28435</v>
      </c>
      <c r="GP10" s="2">
        <v>30380</v>
      </c>
      <c r="GQ10" s="2">
        <v>32081</v>
      </c>
      <c r="GR10" s="2">
        <v>23994</v>
      </c>
      <c r="GS10" s="2">
        <v>26849</v>
      </c>
      <c r="GU10" s="2">
        <v>27042</v>
      </c>
      <c r="GV10" s="2">
        <v>35296</v>
      </c>
      <c r="GW10" s="2">
        <v>31254</v>
      </c>
      <c r="GX10" s="2">
        <v>29917</v>
      </c>
      <c r="GY10" s="2">
        <v>29997</v>
      </c>
      <c r="GZ10" s="2">
        <v>28032</v>
      </c>
      <c r="HA10" s="2">
        <v>21807</v>
      </c>
      <c r="HB10" s="7">
        <v>47325</v>
      </c>
      <c r="HC10" s="7">
        <v>30235</v>
      </c>
      <c r="HD10" s="7">
        <v>26892</v>
      </c>
      <c r="HE10" s="7">
        <v>25130</v>
      </c>
      <c r="HF10" s="7">
        <v>34585</v>
      </c>
      <c r="HG10" s="7">
        <v>31115</v>
      </c>
      <c r="HI10" s="7">
        <v>39024</v>
      </c>
      <c r="HJ10" s="7">
        <v>30197</v>
      </c>
      <c r="HK10" s="7">
        <v>26999</v>
      </c>
      <c r="HL10" s="7">
        <v>31388</v>
      </c>
      <c r="HM10" s="7">
        <v>28082</v>
      </c>
      <c r="HN10" s="7">
        <v>29423</v>
      </c>
      <c r="HO10" s="7">
        <v>24177</v>
      </c>
      <c r="HP10" s="7">
        <v>29303</v>
      </c>
      <c r="HQ10" s="7">
        <v>30279</v>
      </c>
      <c r="HR10" s="7">
        <v>28181</v>
      </c>
      <c r="HS10" s="7">
        <v>39836</v>
      </c>
      <c r="HT10" s="7">
        <v>39524</v>
      </c>
      <c r="HU10" s="7">
        <v>36885</v>
      </c>
      <c r="HV10" s="7"/>
      <c r="HW10" s="7">
        <v>40818</v>
      </c>
      <c r="HX10" s="7">
        <v>31049</v>
      </c>
      <c r="HY10" s="7">
        <v>29283</v>
      </c>
      <c r="HZ10" s="7">
        <v>30842</v>
      </c>
      <c r="IA10" s="7">
        <v>29059</v>
      </c>
      <c r="IB10" s="7">
        <v>39154</v>
      </c>
      <c r="IC10" s="7">
        <v>37451</v>
      </c>
      <c r="ID10" s="7">
        <v>35331</v>
      </c>
      <c r="IE10" s="7">
        <v>27992</v>
      </c>
      <c r="IF10" s="7">
        <v>29450</v>
      </c>
      <c r="IG10" s="7">
        <v>26318</v>
      </c>
      <c r="IH10" s="7">
        <v>30074</v>
      </c>
      <c r="II10" s="7">
        <v>29139</v>
      </c>
      <c r="IK10" s="7">
        <v>29592</v>
      </c>
      <c r="IL10" s="7">
        <v>30612</v>
      </c>
      <c r="IM10" s="7">
        <v>29131</v>
      </c>
      <c r="IN10" s="7">
        <v>22593</v>
      </c>
      <c r="IO10" s="7">
        <v>35339</v>
      </c>
      <c r="IP10" s="7">
        <v>33104</v>
      </c>
      <c r="IQ10" s="7">
        <v>31750</v>
      </c>
      <c r="IR10" s="7">
        <v>31841</v>
      </c>
      <c r="IS10" s="7">
        <v>37494</v>
      </c>
      <c r="IT10" s="7">
        <v>26841</v>
      </c>
      <c r="IU10" s="7">
        <v>38681</v>
      </c>
      <c r="IV10" s="7">
        <v>41952</v>
      </c>
      <c r="IW10" s="7">
        <v>46050</v>
      </c>
      <c r="IY10" s="7">
        <v>42357</v>
      </c>
      <c r="IZ10" s="7">
        <v>52566</v>
      </c>
      <c r="JA10" s="7">
        <v>39984</v>
      </c>
      <c r="JB10" s="7">
        <v>38166</v>
      </c>
      <c r="JC10" s="7">
        <v>44444</v>
      </c>
      <c r="JD10" s="7">
        <v>34332</v>
      </c>
      <c r="JF10" s="7">
        <v>42574</v>
      </c>
      <c r="JG10" s="7">
        <v>34731</v>
      </c>
      <c r="JH10" s="7">
        <v>37442</v>
      </c>
      <c r="JI10" s="7">
        <v>38926</v>
      </c>
      <c r="JJ10" s="7">
        <v>34583</v>
      </c>
      <c r="JK10" s="7">
        <v>32472</v>
      </c>
      <c r="JL10" s="7"/>
      <c r="JM10" s="7">
        <v>36192</v>
      </c>
      <c r="JN10" s="7">
        <v>38905</v>
      </c>
      <c r="JO10" s="7">
        <v>46985</v>
      </c>
      <c r="JP10" s="7">
        <v>41425</v>
      </c>
      <c r="JQ10" s="7">
        <v>43035</v>
      </c>
      <c r="JR10" s="7">
        <v>36978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131.35162460272952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GN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FZ11" s="7">
        <f t="shared" si="17"/>
        <v>133.44866920152091</v>
      </c>
      <c r="GA11" s="7">
        <f t="shared" si="17"/>
        <v>151.71006333567908</v>
      </c>
      <c r="GB11" s="7">
        <f t="shared" si="17"/>
        <v>135.47309833024119</v>
      </c>
      <c r="GC11" s="2">
        <f t="shared" si="17"/>
        <v>138.05861828332169</v>
      </c>
      <c r="GD11" s="2">
        <f t="shared" si="17"/>
        <v>137.16579925650558</v>
      </c>
      <c r="GE11" s="2">
        <f t="shared" si="17"/>
        <v>107.86461538461539</v>
      </c>
      <c r="GF11" s="2" t="str">
        <f t="shared" si="17"/>
        <v/>
      </c>
      <c r="GG11" s="2">
        <f t="shared" si="17"/>
        <v>123.56987788331072</v>
      </c>
      <c r="GH11" s="2">
        <f t="shared" si="17"/>
        <v>178.97232610321615</v>
      </c>
      <c r="GI11" s="2">
        <f t="shared" si="17"/>
        <v>113.5092693565976</v>
      </c>
      <c r="GJ11" s="2">
        <f t="shared" si="17"/>
        <v>114.2463465553236</v>
      </c>
      <c r="GK11" s="2">
        <f t="shared" si="17"/>
        <v>120.32323232323232</v>
      </c>
      <c r="GL11" s="2">
        <f t="shared" si="17"/>
        <v>117.43965517241379</v>
      </c>
      <c r="GM11" s="2">
        <f t="shared" si="17"/>
        <v>144.87291399229781</v>
      </c>
      <c r="GN11" s="2">
        <f t="shared" si="17"/>
        <v>120.01174168297456</v>
      </c>
      <c r="GO11" s="2">
        <f t="shared" ref="GO11:IZ11" si="18">+IFERROR(GO10/GO9,"")</f>
        <v>116.17977528089888</v>
      </c>
      <c r="GP11" s="2">
        <f t="shared" si="18"/>
        <v>109.57619477006313</v>
      </c>
      <c r="GQ11" s="2">
        <f t="shared" si="18"/>
        <v>133.25441329179648</v>
      </c>
      <c r="GR11" s="2">
        <f t="shared" si="18"/>
        <v>97.868116927260374</v>
      </c>
      <c r="GS11" s="2">
        <f t="shared" si="18"/>
        <v>123.44367816091955</v>
      </c>
      <c r="GT11" s="2" t="str">
        <f t="shared" si="18"/>
        <v/>
      </c>
      <c r="GU11" s="2">
        <f t="shared" si="18"/>
        <v>94.884210526315783</v>
      </c>
      <c r="GV11" s="2">
        <f t="shared" si="18"/>
        <v>125.16312056737588</v>
      </c>
      <c r="GW11" s="2">
        <f t="shared" si="18"/>
        <v>120.4393063583815</v>
      </c>
      <c r="GX11" s="2">
        <f t="shared" si="18"/>
        <v>104.0591304347826</v>
      </c>
      <c r="GY11" s="2">
        <f t="shared" si="18"/>
        <v>116.45551601423486</v>
      </c>
      <c r="GZ11" s="2">
        <f t="shared" si="18"/>
        <v>132.27841132520643</v>
      </c>
      <c r="HA11" s="2">
        <f t="shared" si="18"/>
        <v>121.15</v>
      </c>
      <c r="HB11" s="2">
        <f t="shared" si="18"/>
        <v>181.84438040345822</v>
      </c>
      <c r="HC11" s="2">
        <f t="shared" si="18"/>
        <v>105.71678321678321</v>
      </c>
      <c r="HD11" s="2">
        <f t="shared" si="18"/>
        <v>96.100059559261453</v>
      </c>
      <c r="HE11" s="2">
        <f t="shared" si="18"/>
        <v>94.119850187265911</v>
      </c>
      <c r="HF11" s="2">
        <f t="shared" si="18"/>
        <v>127.73776546629732</v>
      </c>
      <c r="HG11" s="2">
        <f t="shared" si="18"/>
        <v>143.05747126436782</v>
      </c>
      <c r="HH11" s="2" t="str">
        <f t="shared" si="18"/>
        <v/>
      </c>
      <c r="HI11" s="2">
        <f t="shared" si="18"/>
        <v>166.65053380782919</v>
      </c>
      <c r="HJ11" s="2">
        <f t="shared" si="18"/>
        <v>115.69731800766283</v>
      </c>
      <c r="HK11" s="2">
        <f t="shared" si="18"/>
        <v>114.04012671594509</v>
      </c>
      <c r="HL11" s="2">
        <f t="shared" si="18"/>
        <v>119.27042431918937</v>
      </c>
      <c r="HM11" s="2">
        <f t="shared" si="18"/>
        <v>86.672839506172835</v>
      </c>
      <c r="HN11" s="2">
        <f t="shared" si="18"/>
        <v>131.64653243847874</v>
      </c>
      <c r="HO11" s="2">
        <f t="shared" si="18"/>
        <v>129.40410347903656</v>
      </c>
      <c r="HP11" s="2">
        <f t="shared" si="18"/>
        <v>105.31176999101527</v>
      </c>
      <c r="HQ11" s="2">
        <f t="shared" si="18"/>
        <v>129.58202567760341</v>
      </c>
      <c r="HR11" s="2">
        <f t="shared" si="18"/>
        <v>116.69151138716356</v>
      </c>
      <c r="HS11" s="2">
        <f t="shared" si="18"/>
        <v>109.4896930829134</v>
      </c>
      <c r="HT11" s="2">
        <f t="shared" si="18"/>
        <v>100.12412919569347</v>
      </c>
      <c r="HU11" s="2">
        <f t="shared" si="18"/>
        <v>85.037463976945247</v>
      </c>
      <c r="HV11" s="2" t="str">
        <f t="shared" si="18"/>
        <v/>
      </c>
      <c r="HW11" s="2">
        <f t="shared" si="18"/>
        <v>123.13122171945702</v>
      </c>
      <c r="HX11" s="2">
        <f t="shared" si="18"/>
        <v>126.98977505112474</v>
      </c>
      <c r="HY11" s="2">
        <f t="shared" si="18"/>
        <v>111.73163751987282</v>
      </c>
      <c r="HZ11" s="2">
        <f t="shared" si="18"/>
        <v>114.33549582947174</v>
      </c>
      <c r="IA11" s="2">
        <f t="shared" si="18"/>
        <v>96.755826859045499</v>
      </c>
      <c r="IB11" s="2">
        <f t="shared" si="18"/>
        <v>146.59843993759748</v>
      </c>
      <c r="IC11" s="2">
        <f t="shared" si="18"/>
        <v>172.18850574712644</v>
      </c>
      <c r="ID11" s="2">
        <f t="shared" si="18"/>
        <v>130.85555555555555</v>
      </c>
      <c r="IE11" s="2">
        <f t="shared" si="18"/>
        <v>111.4479097544791</v>
      </c>
      <c r="IF11" s="2">
        <f t="shared" si="18"/>
        <v>119.23076923076921</v>
      </c>
      <c r="IG11" s="2">
        <f t="shared" si="18"/>
        <v>121.32769880906646</v>
      </c>
      <c r="IH11" s="2">
        <f t="shared" si="18"/>
        <v>127.88377037562012</v>
      </c>
      <c r="II11" s="2">
        <f t="shared" si="18"/>
        <v>130.08482142857142</v>
      </c>
      <c r="IJ11" s="2" t="str">
        <f t="shared" si="18"/>
        <v/>
      </c>
      <c r="IK11" s="2">
        <f t="shared" si="18"/>
        <v>106.83032490974729</v>
      </c>
      <c r="IL11" s="2">
        <f t="shared" si="18"/>
        <v>138.82993197278913</v>
      </c>
      <c r="IM11" s="2">
        <f t="shared" si="18"/>
        <v>134.86574074074073</v>
      </c>
      <c r="IN11" s="2">
        <f t="shared" si="18"/>
        <v>79.998819710829167</v>
      </c>
      <c r="IO11" s="2">
        <f t="shared" si="18"/>
        <v>128.66140776699029</v>
      </c>
      <c r="IP11" s="2">
        <f t="shared" si="18"/>
        <v>135.62581085694777</v>
      </c>
      <c r="IQ11" s="2">
        <f t="shared" si="18"/>
        <v>147.33178654292342</v>
      </c>
      <c r="IR11" s="2">
        <f t="shared" si="18"/>
        <v>93.352553139506469</v>
      </c>
      <c r="IS11" s="2">
        <f t="shared" si="18"/>
        <v>104.15</v>
      </c>
      <c r="IT11" s="2">
        <f t="shared" si="18"/>
        <v>76.488245072429365</v>
      </c>
      <c r="IU11" s="2">
        <f t="shared" si="18"/>
        <v>114.10324483775811</v>
      </c>
      <c r="IV11" s="2">
        <f t="shared" si="18"/>
        <v>97.771217712177119</v>
      </c>
      <c r="IW11" s="2">
        <f t="shared" si="18"/>
        <v>129.26315789473685</v>
      </c>
      <c r="IX11" s="2" t="str">
        <f t="shared" si="18"/>
        <v/>
      </c>
      <c r="IY11" s="2">
        <f t="shared" si="18"/>
        <v>88.659340659340657</v>
      </c>
      <c r="IZ11" s="2">
        <f t="shared" si="18"/>
        <v>141.56014362657089</v>
      </c>
      <c r="JA11" s="2">
        <f t="shared" ref="JA11:JS11" si="19">+IFERROR(JA10/JA9,"")</f>
        <v>93.566302652106074</v>
      </c>
      <c r="JB11" s="2">
        <f t="shared" si="19"/>
        <v>106.09034051424601</v>
      </c>
      <c r="JC11" s="2">
        <f t="shared" si="19"/>
        <v>103.61919564795028</v>
      </c>
      <c r="JD11" s="2">
        <f t="shared" si="19"/>
        <v>128.66458463460336</v>
      </c>
      <c r="JE11" s="2" t="str">
        <f t="shared" si="19"/>
        <v/>
      </c>
      <c r="JF11" s="2">
        <f t="shared" si="19"/>
        <v>161.2651515151515</v>
      </c>
      <c r="JG11" s="2">
        <f t="shared" si="19"/>
        <v>130.07865168539325</v>
      </c>
      <c r="JH11" s="2">
        <f t="shared" si="19"/>
        <v>137.57011635027558</v>
      </c>
      <c r="JI11" s="2">
        <f t="shared" si="19"/>
        <v>119.58832565284179</v>
      </c>
      <c r="JJ11" s="2">
        <f t="shared" si="19"/>
        <v>117.0321489001692</v>
      </c>
      <c r="JK11" s="2">
        <f t="shared" si="19"/>
        <v>149.98614318706697</v>
      </c>
      <c r="JL11" s="2" t="str">
        <f t="shared" si="19"/>
        <v/>
      </c>
      <c r="JM11" s="2">
        <f t="shared" si="19"/>
        <v>152.76257474498769</v>
      </c>
      <c r="JN11" s="2">
        <f t="shared" si="19"/>
        <v>144.44925742574259</v>
      </c>
      <c r="JO11" s="2">
        <f t="shared" si="19"/>
        <v>149.15873015873015</v>
      </c>
      <c r="JP11" s="2">
        <f t="shared" si="19"/>
        <v>117.7962085308057</v>
      </c>
      <c r="JQ11" s="2">
        <f t="shared" si="19"/>
        <v>164.41260744985672</v>
      </c>
      <c r="JR11" s="2">
        <f t="shared" si="19"/>
        <v>137.42211210901206</v>
      </c>
      <c r="JS11" s="2" t="str">
        <f t="shared" si="19"/>
        <v/>
      </c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C12" s="2"/>
      <c r="GD12" s="2"/>
      <c r="GE12" s="2"/>
      <c r="GF12" s="2"/>
      <c r="GG12" s="20"/>
      <c r="GN12" s="20"/>
      <c r="GU12" s="20"/>
      <c r="HB12" s="20"/>
      <c r="HI12" s="20"/>
      <c r="HP12" s="20"/>
      <c r="HW12" s="20"/>
      <c r="ID12" s="20"/>
      <c r="IK12" s="20"/>
      <c r="IR12" s="20"/>
      <c r="IY12" s="20"/>
      <c r="JF12" s="20"/>
      <c r="JM12" s="20"/>
      <c r="LD12" s="71"/>
      <c r="LE12" s="93"/>
    </row>
    <row r="13" spans="1:371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K13" s="20"/>
      <c r="IR13" s="20"/>
      <c r="IY13" s="20"/>
      <c r="JF13" s="20"/>
      <c r="JM13" s="20"/>
      <c r="LD13" s="71"/>
      <c r="LE13" s="93"/>
    </row>
    <row r="14" spans="1:371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FZ14" s="20"/>
      <c r="GG14" s="20"/>
      <c r="GN14" s="20"/>
      <c r="GP14" s="63"/>
      <c r="GU14" s="20"/>
      <c r="HB14" s="20"/>
      <c r="HI14" s="20"/>
      <c r="HP14" s="20"/>
      <c r="HW14" s="20"/>
      <c r="HZ14" s="20"/>
      <c r="ID14" s="20"/>
      <c r="IK14" s="20"/>
      <c r="IR14" s="20"/>
      <c r="IY14" s="20"/>
      <c r="JF14" s="20"/>
      <c r="JM14" s="20"/>
      <c r="LD14" s="71"/>
      <c r="LE14" s="93"/>
    </row>
    <row r="15" spans="1:371">
      <c r="U15" s="20"/>
      <c r="AW15" s="20"/>
      <c r="BD15" s="20"/>
      <c r="BK15" s="20"/>
      <c r="LD15" s="71"/>
      <c r="LE15" s="93"/>
    </row>
    <row r="16" spans="1:371">
      <c r="AW16" s="20"/>
      <c r="LD16" s="71"/>
      <c r="LE16" s="93"/>
    </row>
    <row r="17" spans="9:317">
      <c r="I17" s="163"/>
      <c r="J17"/>
      <c r="LD17" s="93"/>
      <c r="LE17" s="93"/>
    </row>
    <row r="18" spans="9:317">
      <c r="I18"/>
      <c r="J18"/>
    </row>
    <row r="19" spans="9:317" ht="16.8">
      <c r="I19" s="164"/>
      <c r="J19" s="164"/>
    </row>
    <row r="20" spans="9:317" ht="16.8">
      <c r="I20" s="165"/>
      <c r="J20" s="164"/>
    </row>
    <row r="21" spans="9:317" ht="16.8">
      <c r="I21" s="165"/>
      <c r="J21" s="164"/>
    </row>
    <row r="22" spans="9:317" ht="16.8">
      <c r="I22" s="165"/>
      <c r="J22" s="164"/>
    </row>
    <row r="23" spans="9:317" ht="16.8">
      <c r="I23" s="165"/>
      <c r="J23" s="164"/>
    </row>
    <row r="24" spans="9:317" ht="16.8">
      <c r="I24" s="165"/>
      <c r="J24" s="164"/>
    </row>
    <row r="25" spans="9:317" ht="16.8">
      <c r="I25" s="165"/>
      <c r="J25" s="164"/>
    </row>
    <row r="26" spans="9:317" ht="16.8">
      <c r="I26" s="165"/>
      <c r="J26" s="164"/>
    </row>
    <row r="27" spans="9:317" ht="16.8">
      <c r="I27" s="164"/>
      <c r="J27" s="164"/>
    </row>
    <row r="28" spans="9:317">
      <c r="I28"/>
      <c r="J28"/>
    </row>
    <row r="29" spans="9:317">
      <c r="I29" s="163"/>
      <c r="J29"/>
    </row>
    <row r="30" spans="9:317">
      <c r="I30" s="162"/>
      <c r="J30"/>
    </row>
    <row r="31" spans="9:317">
      <c r="I31" s="162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8"/>
  <sheetViews>
    <sheetView showGridLines="0" tabSelected="1" topLeftCell="JH1" workbookViewId="0">
      <selection activeCell="JK14" sqref="JK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41289.68333333332</v>
      </c>
      <c r="B3" s="14" t="s">
        <v>427</v>
      </c>
      <c r="C3" s="103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2"/>
      <c r="CN3" s="102"/>
      <c r="CO3" s="102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/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0">
        <v>37067</v>
      </c>
      <c r="EE4" s="90">
        <v>38501</v>
      </c>
      <c r="EF4" s="90">
        <v>45107</v>
      </c>
      <c r="EG4" s="90">
        <v>41297</v>
      </c>
      <c r="EH4" s="90">
        <v>44478</v>
      </c>
      <c r="EI4" s="90">
        <v>39952</v>
      </c>
      <c r="EK4" s="90">
        <v>80588</v>
      </c>
      <c r="EL4" s="90">
        <v>62907</v>
      </c>
      <c r="EM4" s="90">
        <v>85289</v>
      </c>
      <c r="EN4" s="90">
        <v>76812</v>
      </c>
      <c r="EO4" s="90">
        <v>45215</v>
      </c>
      <c r="EP4" s="90">
        <v>75700</v>
      </c>
      <c r="ER4" s="90">
        <v>77403</v>
      </c>
      <c r="ES4" s="90">
        <v>117869</v>
      </c>
      <c r="ET4" s="90">
        <v>119626</v>
      </c>
      <c r="EU4" s="90">
        <v>127557</v>
      </c>
      <c r="EV4" s="90">
        <v>114518</v>
      </c>
      <c r="EW4" s="90">
        <v>107686</v>
      </c>
      <c r="EX4" s="90">
        <v>84895</v>
      </c>
      <c r="EY4" s="90">
        <v>200130</v>
      </c>
      <c r="EZ4" s="90">
        <v>203550</v>
      </c>
      <c r="FA4" s="90">
        <v>103602</v>
      </c>
      <c r="FB4" s="90">
        <v>14280</v>
      </c>
      <c r="FG4" s="90">
        <v>76559</v>
      </c>
      <c r="FH4" s="90">
        <v>95853</v>
      </c>
      <c r="FI4" s="90">
        <v>120800</v>
      </c>
      <c r="FJ4" s="90">
        <v>108557</v>
      </c>
      <c r="FK4" s="90">
        <v>119078</v>
      </c>
      <c r="FL4" s="90">
        <v>88094</v>
      </c>
      <c r="FM4" s="90">
        <v>147872</v>
      </c>
      <c r="FN4" s="90">
        <v>157572</v>
      </c>
      <c r="FO4" s="90">
        <v>166500</v>
      </c>
      <c r="FP4" s="90">
        <v>140854</v>
      </c>
      <c r="FQ4" s="90">
        <v>168920</v>
      </c>
      <c r="FR4" s="90">
        <v>151129</v>
      </c>
      <c r="FT4" s="97">
        <v>180720</v>
      </c>
      <c r="FU4" s="97">
        <v>189577</v>
      </c>
      <c r="FV4" s="97">
        <v>164142</v>
      </c>
      <c r="FW4" s="97">
        <v>161265</v>
      </c>
      <c r="FX4" s="97">
        <v>138291</v>
      </c>
      <c r="FY4" s="97">
        <v>145494</v>
      </c>
      <c r="GA4" s="97">
        <v>181363</v>
      </c>
      <c r="GB4" s="97">
        <v>211644</v>
      </c>
      <c r="GC4" s="97">
        <v>230659</v>
      </c>
      <c r="GD4" s="97">
        <v>222069</v>
      </c>
      <c r="GE4" s="97">
        <v>192285</v>
      </c>
      <c r="GF4" s="97">
        <v>171933</v>
      </c>
      <c r="GH4" s="97">
        <v>178058</v>
      </c>
      <c r="GI4" s="97">
        <v>194783</v>
      </c>
      <c r="GJ4" s="97">
        <v>190853</v>
      </c>
      <c r="GK4" s="97">
        <v>194243</v>
      </c>
      <c r="GL4" s="97">
        <v>215923</v>
      </c>
      <c r="GM4" s="97">
        <v>189657</v>
      </c>
      <c r="GN4" s="97"/>
      <c r="GO4" s="97">
        <v>215211</v>
      </c>
      <c r="GP4" s="97"/>
      <c r="GQ4" s="97">
        <v>189515</v>
      </c>
      <c r="GR4" s="97">
        <v>157822</v>
      </c>
      <c r="GS4" s="97">
        <v>75700</v>
      </c>
      <c r="GT4" s="97">
        <v>83842</v>
      </c>
      <c r="GU4" s="98">
        <v>69816</v>
      </c>
      <c r="GV4" s="90">
        <v>157704</v>
      </c>
      <c r="GW4" s="90">
        <v>170792</v>
      </c>
      <c r="GX4" s="90">
        <v>106916</v>
      </c>
      <c r="GY4" s="90">
        <v>22147</v>
      </c>
      <c r="GZ4" s="90">
        <v>32278</v>
      </c>
      <c r="HA4" s="90">
        <v>90648</v>
      </c>
      <c r="HC4" s="90">
        <v>149858</v>
      </c>
      <c r="HD4" s="90">
        <v>172373</v>
      </c>
      <c r="HE4" s="90">
        <v>167965</v>
      </c>
      <c r="HF4" s="90">
        <v>185015</v>
      </c>
      <c r="HG4" s="90">
        <v>199560</v>
      </c>
      <c r="HH4" s="90">
        <v>167805</v>
      </c>
      <c r="HJ4" s="97">
        <v>69563</v>
      </c>
      <c r="HK4" s="97">
        <v>162770</v>
      </c>
      <c r="HL4" s="97">
        <v>160337</v>
      </c>
      <c r="HM4" s="97">
        <v>139162</v>
      </c>
      <c r="HN4" s="97">
        <v>128163</v>
      </c>
      <c r="HO4" s="97">
        <v>13954</v>
      </c>
      <c r="HQ4" s="97">
        <v>21303</v>
      </c>
      <c r="HR4" s="97">
        <v>21778</v>
      </c>
      <c r="HS4" s="97">
        <v>19231</v>
      </c>
      <c r="HT4" s="97">
        <v>15704</v>
      </c>
      <c r="HU4" s="97">
        <v>16468</v>
      </c>
      <c r="HV4" s="97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0">
        <v>62605</v>
      </c>
      <c r="IM4" s="90">
        <v>21185</v>
      </c>
      <c r="IN4" s="90">
        <v>28883</v>
      </c>
      <c r="IO4" s="90">
        <v>29999</v>
      </c>
      <c r="IP4" s="90">
        <v>24280</v>
      </c>
      <c r="IQ4" s="90">
        <v>26123</v>
      </c>
      <c r="IR4" s="90">
        <v>34965</v>
      </c>
      <c r="IS4" s="90">
        <v>35967</v>
      </c>
      <c r="IT4" s="90">
        <v>42562</v>
      </c>
      <c r="IU4" s="90">
        <v>57006</v>
      </c>
      <c r="IV4" s="90">
        <v>43467</v>
      </c>
      <c r="IW4" s="90">
        <v>34889</v>
      </c>
      <c r="IX4" s="90">
        <v>39483</v>
      </c>
      <c r="IY4" s="90"/>
      <c r="IZ4" s="90">
        <v>50086</v>
      </c>
      <c r="JA4" s="90">
        <v>30340</v>
      </c>
      <c r="JB4" s="90">
        <v>30387</v>
      </c>
      <c r="JC4" s="90">
        <v>25542</v>
      </c>
      <c r="JD4" s="90">
        <v>44711</v>
      </c>
      <c r="JE4" s="90">
        <v>18330</v>
      </c>
      <c r="JF4" s="90"/>
      <c r="JG4" s="97">
        <v>39021</v>
      </c>
      <c r="JH4" s="97">
        <v>32041</v>
      </c>
      <c r="JI4" s="97">
        <v>46250</v>
      </c>
      <c r="JJ4" s="97">
        <v>38018</v>
      </c>
      <c r="JK4" s="97">
        <v>40688</v>
      </c>
      <c r="JL4" s="97">
        <v>19751</v>
      </c>
      <c r="JN4" s="97">
        <v>45334</v>
      </c>
      <c r="JO4" s="97">
        <v>48271</v>
      </c>
      <c r="JP4" s="97">
        <v>71968</v>
      </c>
      <c r="JQ4" s="97">
        <v>56977</v>
      </c>
      <c r="JR4" s="97">
        <v>47237</v>
      </c>
      <c r="JS4" s="97">
        <v>24314</v>
      </c>
      <c r="JU4" s="90">
        <v>36687</v>
      </c>
      <c r="JV4" s="90">
        <v>30444</v>
      </c>
      <c r="JW4" s="90">
        <v>62025</v>
      </c>
      <c r="JX4" s="90">
        <v>33948</v>
      </c>
      <c r="JY4" s="90">
        <v>60633</v>
      </c>
      <c r="JZ4" s="90">
        <v>38411</v>
      </c>
      <c r="KB4" s="90">
        <v>78114</v>
      </c>
      <c r="KC4" s="90">
        <v>80283</v>
      </c>
      <c r="KD4" s="90">
        <v>84960</v>
      </c>
      <c r="KE4" s="90">
        <v>88076</v>
      </c>
      <c r="KF4" s="90">
        <v>68667</v>
      </c>
      <c r="KG4" s="90">
        <v>72550</v>
      </c>
      <c r="KH4" s="90">
        <v>41846</v>
      </c>
      <c r="KI4" s="90">
        <v>71866</v>
      </c>
      <c r="KJ4" s="90">
        <v>76518</v>
      </c>
      <c r="KK4" s="90">
        <v>69011</v>
      </c>
      <c r="KL4" s="90">
        <v>89452</v>
      </c>
      <c r="KM4" s="90">
        <v>81476</v>
      </c>
      <c r="KN4" s="90">
        <v>56721</v>
      </c>
      <c r="KP4" s="90">
        <v>112946</v>
      </c>
      <c r="KQ4" s="90">
        <v>96047</v>
      </c>
      <c r="KR4" s="90">
        <v>135941</v>
      </c>
      <c r="KS4" s="90">
        <v>97451</v>
      </c>
      <c r="KT4" s="90">
        <v>69528</v>
      </c>
      <c r="KU4" s="90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7">
        <v>77803</v>
      </c>
      <c r="LE4" s="97">
        <v>58198</v>
      </c>
      <c r="LF4" s="97">
        <v>111407</v>
      </c>
      <c r="LG4" s="97">
        <v>88364</v>
      </c>
      <c r="LH4" s="97">
        <v>83101</v>
      </c>
      <c r="LI4" s="97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7">
        <f>+JN4/JN3</f>
        <v>616.78911564625855</v>
      </c>
      <c r="JO5" s="97">
        <f t="shared" ref="JO5:KU5" si="11">+JO4/JO3</f>
        <v>429.07555555555558</v>
      </c>
      <c r="JP5" s="97">
        <f t="shared" si="11"/>
        <v>705.56862745098044</v>
      </c>
      <c r="JQ5" s="97">
        <f t="shared" si="11"/>
        <v>690.63030303030303</v>
      </c>
      <c r="JR5" s="97">
        <f t="shared" si="11"/>
        <v>629.82666666666671</v>
      </c>
      <c r="JS5" s="97">
        <f t="shared" si="11"/>
        <v>648.37333333333333</v>
      </c>
      <c r="JU5" s="97">
        <f t="shared" si="11"/>
        <v>698.8</v>
      </c>
      <c r="JV5" s="97">
        <f t="shared" si="11"/>
        <v>702.55384615384651</v>
      </c>
      <c r="JW5" s="97">
        <f t="shared" si="11"/>
        <v>666.93548387096769</v>
      </c>
      <c r="JX5" s="97">
        <f t="shared" si="11"/>
        <v>522.27692307692303</v>
      </c>
      <c r="JY5" s="97">
        <f t="shared" si="11"/>
        <v>651.9677419354839</v>
      </c>
      <c r="JZ5" s="97">
        <f t="shared" si="11"/>
        <v>737.49119999999982</v>
      </c>
      <c r="KB5" s="97">
        <f t="shared" si="11"/>
        <v>679.25217391304352</v>
      </c>
      <c r="KC5" s="97">
        <f t="shared" si="11"/>
        <v>892.0333333333333</v>
      </c>
      <c r="KD5" s="97">
        <f t="shared" si="11"/>
        <v>566.4</v>
      </c>
      <c r="KE5" s="97">
        <f t="shared" si="11"/>
        <v>737.03765690376565</v>
      </c>
      <c r="KF5" s="97">
        <f t="shared" si="11"/>
        <v>839.96330275229354</v>
      </c>
      <c r="KG5" s="97">
        <f t="shared" si="11"/>
        <v>604.58333333333337</v>
      </c>
      <c r="KH5" s="97">
        <f t="shared" si="11"/>
        <v>674.93548387096769</v>
      </c>
      <c r="KI5" s="97">
        <f t="shared" si="11"/>
        <v>798.51111111111106</v>
      </c>
      <c r="KJ5" s="97">
        <f t="shared" si="11"/>
        <v>850.2</v>
      </c>
      <c r="KK5" s="97">
        <f t="shared" si="11"/>
        <v>711.45360824742272</v>
      </c>
      <c r="KL5" s="97">
        <f t="shared" si="11"/>
        <v>745.43333333333328</v>
      </c>
      <c r="KM5" s="97">
        <f t="shared" si="11"/>
        <v>678.9666666666667</v>
      </c>
      <c r="KN5" s="97">
        <f t="shared" si="11"/>
        <v>844.48138957816388</v>
      </c>
      <c r="KP5" s="97">
        <f t="shared" si="11"/>
        <v>613.83695652173913</v>
      </c>
      <c r="KQ5" s="97">
        <f t="shared" si="11"/>
        <v>553.05374280230319</v>
      </c>
      <c r="KR5" s="97">
        <f t="shared" si="11"/>
        <v>789.58954501452081</v>
      </c>
      <c r="KS5" s="97">
        <f t="shared" si="11"/>
        <v>974.51</v>
      </c>
      <c r="KT5" s="97">
        <f t="shared" si="11"/>
        <v>579.4</v>
      </c>
      <c r="KU5" s="97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IY8" s="8" t="s">
        <v>39</v>
      </c>
      <c r="IZ8" s="8" t="s">
        <v>39</v>
      </c>
      <c r="JA8" s="8" t="s">
        <v>39</v>
      </c>
      <c r="JB8" s="8" t="s">
        <v>39</v>
      </c>
      <c r="JC8" s="8" t="s">
        <v>39</v>
      </c>
      <c r="JD8" s="8" t="s">
        <v>39</v>
      </c>
      <c r="JE8" s="8" t="s">
        <v>39</v>
      </c>
      <c r="JF8" s="8" t="s">
        <v>40</v>
      </c>
      <c r="JG8" s="8" t="s">
        <v>40</v>
      </c>
      <c r="JH8" s="8" t="s">
        <v>40</v>
      </c>
      <c r="JI8" s="8" t="s">
        <v>40</v>
      </c>
      <c r="JJ8" s="8" t="s">
        <v>40</v>
      </c>
      <c r="JK8" s="8" t="s">
        <v>40</v>
      </c>
      <c r="JL8" s="8" t="s">
        <v>40</v>
      </c>
      <c r="JM8" s="8" t="s">
        <v>41</v>
      </c>
      <c r="JN8" s="8" t="s">
        <v>41</v>
      </c>
      <c r="JO8" s="8" t="s">
        <v>41</v>
      </c>
      <c r="JP8" s="8" t="s">
        <v>41</v>
      </c>
      <c r="JQ8" s="8" t="s">
        <v>41</v>
      </c>
      <c r="JR8" s="8" t="s">
        <v>41</v>
      </c>
      <c r="JS8" s="8" t="s">
        <v>41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42746.583333333328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FZ9" s="7">
        <v>74.25</v>
      </c>
      <c r="GA9" s="7">
        <v>82.5</v>
      </c>
      <c r="GB9" s="7">
        <v>78.916666666666686</v>
      </c>
      <c r="GC9" s="7">
        <v>66.25</v>
      </c>
      <c r="GD9" s="7">
        <v>82.5</v>
      </c>
      <c r="GE9" s="7">
        <v>80.083333333333343</v>
      </c>
      <c r="GF9" s="7"/>
      <c r="GG9" s="2">
        <v>78</v>
      </c>
      <c r="GH9" s="2">
        <v>93</v>
      </c>
      <c r="GI9" s="2">
        <v>103</v>
      </c>
      <c r="GJ9" s="2">
        <v>82.5</v>
      </c>
      <c r="GK9" s="2">
        <v>75</v>
      </c>
      <c r="GL9" s="2">
        <v>82.5</v>
      </c>
      <c r="GM9" s="2">
        <v>81.75</v>
      </c>
      <c r="GN9" s="3">
        <v>67.5</v>
      </c>
      <c r="GO9" s="3">
        <v>79.916666666666686</v>
      </c>
      <c r="GP9" s="3">
        <v>67</v>
      </c>
      <c r="GQ9" s="3">
        <v>134.66666666666666</v>
      </c>
      <c r="GR9" s="3">
        <v>118.5</v>
      </c>
      <c r="GS9" s="3">
        <v>59.333333333333314</v>
      </c>
      <c r="GT9" s="3"/>
      <c r="GU9" s="3">
        <v>127.5</v>
      </c>
      <c r="GV9" s="3">
        <v>210</v>
      </c>
      <c r="GW9" s="3">
        <v>201.08333333333334</v>
      </c>
      <c r="GX9" s="3">
        <v>202.5</v>
      </c>
      <c r="GY9" s="3">
        <v>217</v>
      </c>
      <c r="GZ9" s="3">
        <v>206.75000000000003</v>
      </c>
      <c r="HA9" s="3">
        <v>165</v>
      </c>
      <c r="HB9" s="7">
        <v>225</v>
      </c>
      <c r="HC9" s="7">
        <v>202.5</v>
      </c>
      <c r="HD9" s="7">
        <v>135</v>
      </c>
      <c r="HE9" s="7">
        <v>212.91666666666669</v>
      </c>
      <c r="HF9" s="7">
        <v>139.91666666666666</v>
      </c>
      <c r="HG9" s="7">
        <v>135.99999999999997</v>
      </c>
      <c r="HI9" s="2">
        <v>195</v>
      </c>
      <c r="HJ9" s="2">
        <v>225</v>
      </c>
      <c r="HK9" s="2">
        <v>217.5</v>
      </c>
      <c r="HL9" s="2">
        <v>207.66666666666666</v>
      </c>
      <c r="HM9" s="2">
        <v>209.25</v>
      </c>
      <c r="HN9" s="2">
        <v>202.5</v>
      </c>
      <c r="HO9" s="2">
        <v>150</v>
      </c>
      <c r="HP9" s="2">
        <v>225</v>
      </c>
      <c r="HQ9" s="2">
        <v>223.75000000000003</v>
      </c>
      <c r="HR9" s="2">
        <v>202.5</v>
      </c>
      <c r="HS9" s="2">
        <v>202.5</v>
      </c>
      <c r="HT9" s="2">
        <v>217.5</v>
      </c>
      <c r="HU9" s="2">
        <v>210</v>
      </c>
      <c r="HV9" s="20"/>
      <c r="HW9" s="3">
        <v>195</v>
      </c>
      <c r="HX9" s="3">
        <v>180</v>
      </c>
      <c r="HY9" s="3">
        <v>200.33333333333331</v>
      </c>
      <c r="HZ9" s="3">
        <v>157.5</v>
      </c>
      <c r="IA9" s="3">
        <v>187.5</v>
      </c>
      <c r="IB9" s="3">
        <v>180</v>
      </c>
      <c r="IC9" s="3">
        <v>150</v>
      </c>
      <c r="ID9" s="3">
        <v>198</v>
      </c>
      <c r="IE9" s="3">
        <v>193.5</v>
      </c>
      <c r="IF9" s="3">
        <v>201</v>
      </c>
      <c r="IG9" s="3">
        <v>189</v>
      </c>
      <c r="IH9" s="3">
        <v>295.5</v>
      </c>
      <c r="II9" s="3">
        <v>180</v>
      </c>
      <c r="IK9" s="2">
        <v>210.08333333333334</v>
      </c>
      <c r="IL9" s="2">
        <v>179.24999999999997</v>
      </c>
      <c r="IM9" s="2">
        <v>195</v>
      </c>
      <c r="IN9" s="2">
        <v>202.5</v>
      </c>
      <c r="IO9" s="2">
        <v>180</v>
      </c>
      <c r="IP9" s="2">
        <v>184.5</v>
      </c>
      <c r="IQ9" s="2">
        <v>127.5</v>
      </c>
      <c r="IR9" s="7">
        <v>195</v>
      </c>
      <c r="IS9" s="7">
        <v>187.5</v>
      </c>
      <c r="IT9" s="7">
        <v>187.5</v>
      </c>
      <c r="IU9" s="7">
        <v>202.5</v>
      </c>
      <c r="IV9" s="7">
        <v>207</v>
      </c>
      <c r="IW9" s="7">
        <v>202.5</v>
      </c>
      <c r="IY9" s="7">
        <v>195</v>
      </c>
      <c r="IZ9" s="7">
        <v>187.5</v>
      </c>
      <c r="JA9" s="7">
        <v>194.58333333333334</v>
      </c>
      <c r="JB9" s="7">
        <v>376</v>
      </c>
      <c r="JC9" s="7">
        <v>329.66666666666663</v>
      </c>
      <c r="JD9" s="7">
        <v>217.5</v>
      </c>
      <c r="JF9" s="3">
        <v>244.41666666666669</v>
      </c>
      <c r="JG9" s="3">
        <v>270</v>
      </c>
      <c r="JH9" s="3">
        <v>392.58333333333331</v>
      </c>
      <c r="JI9" s="3">
        <v>373.41666666666663</v>
      </c>
      <c r="JJ9" s="3">
        <v>297</v>
      </c>
      <c r="JK9" s="3">
        <v>257.5</v>
      </c>
      <c r="JM9" s="3">
        <v>328.25</v>
      </c>
      <c r="JN9" s="3">
        <v>304</v>
      </c>
      <c r="JO9" s="3">
        <v>307.5</v>
      </c>
      <c r="JP9" s="3">
        <v>287.91666666666663</v>
      </c>
      <c r="JQ9" s="3">
        <v>247.5</v>
      </c>
      <c r="JR9" s="3">
        <v>352.25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>
      <c r="A10" s="15">
        <f>+SUM(C10:NC10)</f>
        <v>24654521</v>
      </c>
      <c r="B10" s="16" t="s">
        <v>423</v>
      </c>
      <c r="C10" s="2"/>
      <c r="D10" s="101">
        <v>137319</v>
      </c>
      <c r="E10" s="101">
        <v>166111</v>
      </c>
      <c r="F10" s="7"/>
      <c r="G10" s="101">
        <v>154355</v>
      </c>
      <c r="H10" s="101">
        <v>124443</v>
      </c>
      <c r="I10" s="101">
        <v>138883</v>
      </c>
      <c r="J10" s="101">
        <v>127380</v>
      </c>
      <c r="K10" s="101">
        <v>120022</v>
      </c>
      <c r="L10" s="101">
        <v>94570</v>
      </c>
      <c r="M10" s="101"/>
      <c r="N10" s="101">
        <v>114865</v>
      </c>
      <c r="O10" s="101">
        <v>137777</v>
      </c>
      <c r="P10" s="101">
        <v>117658</v>
      </c>
      <c r="Q10" s="101">
        <v>160469</v>
      </c>
      <c r="R10" s="101">
        <v>155643</v>
      </c>
      <c r="S10" s="101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0">
        <v>23890</v>
      </c>
      <c r="ED10" s="90">
        <v>27101</v>
      </c>
      <c r="EE10" s="90">
        <v>32283</v>
      </c>
      <c r="EF10" s="90">
        <v>32443</v>
      </c>
      <c r="EG10" s="90">
        <v>36174</v>
      </c>
      <c r="EH10" s="90">
        <v>41986</v>
      </c>
      <c r="EI10" s="90">
        <v>47196</v>
      </c>
      <c r="EJ10" s="90">
        <v>46479</v>
      </c>
      <c r="EK10" s="90">
        <v>51207</v>
      </c>
      <c r="EL10" s="90">
        <v>33736</v>
      </c>
      <c r="EM10" s="90">
        <v>35377</v>
      </c>
      <c r="EN10" s="90">
        <v>30712</v>
      </c>
      <c r="EO10" s="90">
        <v>14306</v>
      </c>
      <c r="EP10" s="90"/>
      <c r="EQ10" s="90">
        <v>128447</v>
      </c>
      <c r="ER10" s="90">
        <v>36185</v>
      </c>
      <c r="ES10" s="90"/>
      <c r="ET10" s="90"/>
      <c r="EU10" s="90"/>
      <c r="EV10" s="90">
        <v>89565</v>
      </c>
      <c r="EW10" s="90"/>
      <c r="EX10" s="90">
        <v>112270</v>
      </c>
      <c r="EY10" s="90">
        <v>107869</v>
      </c>
      <c r="EZ10" s="90">
        <v>59370</v>
      </c>
      <c r="FA10" s="90">
        <v>19609</v>
      </c>
      <c r="FB10" s="90">
        <v>27789</v>
      </c>
      <c r="FC10" s="90">
        <v>26340</v>
      </c>
      <c r="FE10" s="90">
        <v>30882</v>
      </c>
      <c r="FF10" s="90">
        <v>17074</v>
      </c>
      <c r="FG10" s="90">
        <v>61679</v>
      </c>
      <c r="FH10" s="90">
        <v>21938</v>
      </c>
      <c r="FI10" s="90">
        <v>30082</v>
      </c>
      <c r="FJ10" s="90">
        <v>37727</v>
      </c>
      <c r="FK10" s="90">
        <v>44485</v>
      </c>
      <c r="FL10" s="90">
        <v>27829</v>
      </c>
      <c r="FM10" s="90">
        <v>28609</v>
      </c>
      <c r="FN10" s="90">
        <v>35021</v>
      </c>
      <c r="FO10" s="90">
        <v>28650</v>
      </c>
      <c r="FP10" s="90">
        <v>25737</v>
      </c>
      <c r="FQ10" s="90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FZ10" s="7">
        <v>29621</v>
      </c>
      <c r="GA10" s="7">
        <v>36964</v>
      </c>
      <c r="GB10" s="7">
        <v>37559</v>
      </c>
      <c r="GC10" s="7">
        <v>34044</v>
      </c>
      <c r="GD10" s="7">
        <v>38505</v>
      </c>
      <c r="GE10" s="7">
        <v>25952</v>
      </c>
      <c r="GG10" s="7">
        <v>41978</v>
      </c>
      <c r="GH10" s="7">
        <v>44326</v>
      </c>
      <c r="GI10" s="7">
        <v>56674</v>
      </c>
      <c r="GJ10" s="7">
        <v>42127</v>
      </c>
      <c r="GK10" s="7">
        <v>37117</v>
      </c>
      <c r="GL10" s="7">
        <v>33167</v>
      </c>
      <c r="GM10" s="7">
        <v>42817</v>
      </c>
      <c r="GN10" s="7">
        <v>36908</v>
      </c>
      <c r="GO10" s="7">
        <v>23949</v>
      </c>
      <c r="GP10" s="7">
        <v>36349</v>
      </c>
      <c r="GQ10" s="7">
        <v>62340</v>
      </c>
      <c r="GR10" s="7">
        <v>69131</v>
      </c>
      <c r="GS10" s="7">
        <v>30356</v>
      </c>
      <c r="GU10" s="7">
        <v>58260</v>
      </c>
      <c r="GV10" s="7">
        <v>118337</v>
      </c>
      <c r="GW10" s="7">
        <v>120502</v>
      </c>
      <c r="GX10" s="7">
        <v>118001</v>
      </c>
      <c r="GY10" s="7">
        <v>116765</v>
      </c>
      <c r="GZ10" s="7">
        <v>115132</v>
      </c>
      <c r="HA10" s="7">
        <v>96137</v>
      </c>
      <c r="HB10" s="101">
        <v>124804</v>
      </c>
      <c r="HC10" s="101">
        <v>147073</v>
      </c>
      <c r="HD10" s="101">
        <v>82644</v>
      </c>
      <c r="HE10" s="101">
        <v>137438</v>
      </c>
      <c r="HF10" s="101">
        <v>81617</v>
      </c>
      <c r="HG10" s="101">
        <v>81112</v>
      </c>
      <c r="HI10" s="101">
        <v>124029</v>
      </c>
      <c r="HJ10" s="101">
        <v>130322</v>
      </c>
      <c r="HK10" s="101">
        <v>136082</v>
      </c>
      <c r="HL10" s="101">
        <v>135872</v>
      </c>
      <c r="HM10" s="101">
        <v>131643</v>
      </c>
      <c r="HN10" s="101">
        <v>135759</v>
      </c>
      <c r="HO10" s="101">
        <v>95744</v>
      </c>
      <c r="HP10" s="101">
        <v>142511</v>
      </c>
      <c r="HQ10" s="101">
        <v>133653</v>
      </c>
      <c r="HR10" s="101">
        <v>112844</v>
      </c>
      <c r="HS10" s="101">
        <v>128778</v>
      </c>
      <c r="HT10" s="101">
        <v>118888</v>
      </c>
      <c r="HU10" s="101">
        <v>127675</v>
      </c>
      <c r="HW10" s="101">
        <v>106987</v>
      </c>
      <c r="HX10" s="101">
        <v>115413</v>
      </c>
      <c r="HY10" s="101">
        <v>134815</v>
      </c>
      <c r="HZ10" s="101">
        <v>93013</v>
      </c>
      <c r="IA10" s="101">
        <v>103397</v>
      </c>
      <c r="IB10" s="101">
        <v>107158</v>
      </c>
      <c r="IC10" s="101">
        <v>87959</v>
      </c>
      <c r="ID10" s="101">
        <v>82829</v>
      </c>
      <c r="IE10" s="101">
        <v>84692</v>
      </c>
      <c r="IF10" s="101">
        <v>81294</v>
      </c>
      <c r="IG10" s="101">
        <v>94984</v>
      </c>
      <c r="IH10" s="101">
        <v>114963</v>
      </c>
      <c r="II10" s="101">
        <v>89485</v>
      </c>
      <c r="IK10" s="101">
        <v>101906</v>
      </c>
      <c r="IL10" s="101">
        <v>87498</v>
      </c>
      <c r="IM10" s="101">
        <v>109463</v>
      </c>
      <c r="IN10" s="101">
        <v>116305</v>
      </c>
      <c r="IO10" s="101">
        <v>97431</v>
      </c>
      <c r="IP10" s="101">
        <v>112114</v>
      </c>
      <c r="IQ10" s="101">
        <v>78470</v>
      </c>
      <c r="IR10" s="101">
        <v>120285</v>
      </c>
      <c r="IS10" s="101">
        <v>109348</v>
      </c>
      <c r="IT10" s="101">
        <v>109136</v>
      </c>
      <c r="IU10" s="101">
        <v>65087</v>
      </c>
      <c r="IV10" s="101">
        <v>122691</v>
      </c>
      <c r="IW10" s="101">
        <v>117362</v>
      </c>
      <c r="IY10" s="101">
        <v>124760</v>
      </c>
      <c r="IZ10" s="101">
        <v>122129</v>
      </c>
      <c r="JA10" s="101">
        <v>120099</v>
      </c>
      <c r="JB10" s="101">
        <v>177431</v>
      </c>
      <c r="JC10" s="101">
        <v>146361</v>
      </c>
      <c r="JD10" s="101">
        <v>128911</v>
      </c>
      <c r="JF10" s="101">
        <v>147902</v>
      </c>
      <c r="JG10" s="101">
        <v>150166</v>
      </c>
      <c r="JH10" s="101">
        <v>208470</v>
      </c>
      <c r="JI10" s="101">
        <v>235054</v>
      </c>
      <c r="JJ10" s="101">
        <v>153890</v>
      </c>
      <c r="JK10" s="101">
        <v>151992</v>
      </c>
      <c r="JM10" s="101">
        <v>182544</v>
      </c>
      <c r="JN10" s="101">
        <v>154408</v>
      </c>
      <c r="JO10" s="101">
        <v>165180</v>
      </c>
      <c r="JP10" s="101">
        <v>133401</v>
      </c>
      <c r="JQ10" s="101">
        <v>112026</v>
      </c>
      <c r="JR10" s="101">
        <v>134139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>
      <c r="A11" s="17">
        <f>+A10/A9</f>
        <v>576.76003735191318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GN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FZ11" s="7">
        <f t="shared" si="23"/>
        <v>398.93602693602696</v>
      </c>
      <c r="GA11" s="7">
        <f t="shared" si="23"/>
        <v>448.04848484848486</v>
      </c>
      <c r="GB11" s="7">
        <f t="shared" si="23"/>
        <v>475.93241816261866</v>
      </c>
      <c r="GC11" s="7">
        <f t="shared" si="23"/>
        <v>513.87169811320757</v>
      </c>
      <c r="GD11" s="7">
        <f t="shared" si="23"/>
        <v>466.72727272727275</v>
      </c>
      <c r="GE11" s="7">
        <f t="shared" si="23"/>
        <v>324.06243496357956</v>
      </c>
      <c r="GF11" s="7" t="str">
        <f t="shared" si="23"/>
        <v/>
      </c>
      <c r="GG11" s="7">
        <f t="shared" si="23"/>
        <v>538.17948717948718</v>
      </c>
      <c r="GH11" s="7">
        <f t="shared" si="23"/>
        <v>476.6236559139785</v>
      </c>
      <c r="GI11" s="7">
        <f t="shared" si="23"/>
        <v>550.23300970873788</v>
      </c>
      <c r="GJ11" s="7">
        <f t="shared" si="23"/>
        <v>510.63030303030303</v>
      </c>
      <c r="GK11" s="7">
        <f t="shared" si="23"/>
        <v>494.89333333333332</v>
      </c>
      <c r="GL11" s="7">
        <f t="shared" si="23"/>
        <v>402.0242424242424</v>
      </c>
      <c r="GM11" s="7">
        <f t="shared" si="23"/>
        <v>523.75535168195722</v>
      </c>
      <c r="GN11" s="7">
        <f t="shared" si="23"/>
        <v>546.78518518518524</v>
      </c>
      <c r="GO11" s="7">
        <f t="shared" ref="GO11:IZ11" si="24">+IFERROR(GO10/GO9,"")</f>
        <v>299.67466110531797</v>
      </c>
      <c r="GP11" s="7">
        <f t="shared" si="24"/>
        <v>542.52238805970148</v>
      </c>
      <c r="GQ11" s="7">
        <f t="shared" si="24"/>
        <v>462.92079207920796</v>
      </c>
      <c r="GR11" s="7">
        <f t="shared" si="24"/>
        <v>583.38396624472568</v>
      </c>
      <c r="GS11" s="7">
        <f t="shared" si="24"/>
        <v>511.61797752809002</v>
      </c>
      <c r="GT11" s="7" t="str">
        <f t="shared" si="24"/>
        <v/>
      </c>
      <c r="GU11" s="7">
        <f t="shared" si="24"/>
        <v>456.94117647058823</v>
      </c>
      <c r="GV11" s="7">
        <f t="shared" si="24"/>
        <v>563.50952380952378</v>
      </c>
      <c r="GW11" s="7">
        <f t="shared" si="24"/>
        <v>599.26398673849974</v>
      </c>
      <c r="GX11" s="7">
        <f t="shared" si="24"/>
        <v>582.72098765432099</v>
      </c>
      <c r="GY11" s="7">
        <f t="shared" si="24"/>
        <v>538.08755760368661</v>
      </c>
      <c r="GZ11" s="7">
        <f t="shared" si="24"/>
        <v>556.86577992744856</v>
      </c>
      <c r="HA11" s="7">
        <f t="shared" si="24"/>
        <v>582.64848484848483</v>
      </c>
      <c r="HB11" s="7">
        <f t="shared" si="24"/>
        <v>554.68444444444447</v>
      </c>
      <c r="HC11" s="7">
        <f t="shared" si="24"/>
        <v>726.28641975308642</v>
      </c>
      <c r="HD11" s="7">
        <f t="shared" si="24"/>
        <v>612.17777777777781</v>
      </c>
      <c r="HE11" s="7">
        <f t="shared" si="24"/>
        <v>645.50136986301368</v>
      </c>
      <c r="HF11" s="7">
        <f t="shared" si="24"/>
        <v>583.32578916021441</v>
      </c>
      <c r="HG11" s="7">
        <f t="shared" si="24"/>
        <v>596.41176470588243</v>
      </c>
      <c r="HH11" s="7" t="str">
        <f t="shared" si="24"/>
        <v/>
      </c>
      <c r="HI11" s="7">
        <f t="shared" si="24"/>
        <v>636.04615384615386</v>
      </c>
      <c r="HJ11" s="7">
        <f t="shared" si="24"/>
        <v>579.20888888888885</v>
      </c>
      <c r="HK11" s="7">
        <f t="shared" si="24"/>
        <v>625.66436781609195</v>
      </c>
      <c r="HL11" s="7">
        <f t="shared" si="24"/>
        <v>654.2792937399679</v>
      </c>
      <c r="HM11" s="7">
        <f t="shared" si="24"/>
        <v>629.11827956989248</v>
      </c>
      <c r="HN11" s="7">
        <f t="shared" si="24"/>
        <v>670.4148148148148</v>
      </c>
      <c r="HO11" s="7">
        <f t="shared" si="24"/>
        <v>638.29333333333329</v>
      </c>
      <c r="HP11" s="7">
        <f t="shared" si="24"/>
        <v>633.38222222222225</v>
      </c>
      <c r="HQ11" s="7">
        <f t="shared" si="24"/>
        <v>597.33184357541893</v>
      </c>
      <c r="HR11" s="7">
        <f t="shared" si="24"/>
        <v>557.2543209876543</v>
      </c>
      <c r="HS11" s="7">
        <f t="shared" si="24"/>
        <v>635.94074074074069</v>
      </c>
      <c r="HT11" s="7">
        <f t="shared" si="24"/>
        <v>546.61149425287351</v>
      </c>
      <c r="HU11" s="7">
        <f t="shared" si="24"/>
        <v>607.97619047619048</v>
      </c>
      <c r="HV11" s="7" t="str">
        <f t="shared" si="24"/>
        <v/>
      </c>
      <c r="HW11" s="7">
        <f t="shared" si="24"/>
        <v>548.65128205128201</v>
      </c>
      <c r="HX11" s="7">
        <f t="shared" si="24"/>
        <v>641.18333333333328</v>
      </c>
      <c r="HY11" s="7">
        <f t="shared" si="24"/>
        <v>672.95341098169729</v>
      </c>
      <c r="HZ11" s="7">
        <f t="shared" si="24"/>
        <v>590.55873015873021</v>
      </c>
      <c r="IA11" s="7">
        <f t="shared" si="24"/>
        <v>551.45066666666662</v>
      </c>
      <c r="IB11" s="7">
        <f t="shared" si="24"/>
        <v>595.32222222222219</v>
      </c>
      <c r="IC11" s="7">
        <f t="shared" si="24"/>
        <v>586.39333333333332</v>
      </c>
      <c r="ID11" s="7">
        <f t="shared" si="24"/>
        <v>418.32828282828285</v>
      </c>
      <c r="IE11" s="7">
        <f t="shared" si="24"/>
        <v>437.68475452196384</v>
      </c>
      <c r="IF11" s="7">
        <f t="shared" si="24"/>
        <v>404.44776119402985</v>
      </c>
      <c r="IG11" s="7">
        <f t="shared" si="24"/>
        <v>502.56084656084658</v>
      </c>
      <c r="IH11" s="7">
        <f t="shared" si="24"/>
        <v>389.04568527918781</v>
      </c>
      <c r="II11" s="7">
        <f t="shared" si="24"/>
        <v>497.13888888888891</v>
      </c>
      <c r="IJ11" s="7" t="str">
        <f t="shared" si="24"/>
        <v/>
      </c>
      <c r="IK11" s="7">
        <f t="shared" si="24"/>
        <v>485.074176913923</v>
      </c>
      <c r="IL11" s="7">
        <f t="shared" si="24"/>
        <v>488.13389121338918</v>
      </c>
      <c r="IM11" s="7">
        <f t="shared" si="24"/>
        <v>561.34871794871799</v>
      </c>
      <c r="IN11" s="7">
        <f t="shared" si="24"/>
        <v>574.34567901234573</v>
      </c>
      <c r="IO11" s="7">
        <f t="shared" si="24"/>
        <v>541.2833333333333</v>
      </c>
      <c r="IP11" s="7">
        <f t="shared" si="24"/>
        <v>607.66395663956644</v>
      </c>
      <c r="IQ11" s="7">
        <f t="shared" si="24"/>
        <v>615.45098039215691</v>
      </c>
      <c r="IR11" s="7">
        <f t="shared" si="24"/>
        <v>616.84615384615381</v>
      </c>
      <c r="IS11" s="7">
        <f t="shared" si="24"/>
        <v>583.18933333333337</v>
      </c>
      <c r="IT11" s="7">
        <f t="shared" si="24"/>
        <v>582.05866666666668</v>
      </c>
      <c r="IU11" s="7">
        <f t="shared" si="24"/>
        <v>321.41728395061727</v>
      </c>
      <c r="IV11" s="7">
        <f t="shared" si="24"/>
        <v>592.71014492753625</v>
      </c>
      <c r="IW11" s="7">
        <f t="shared" si="24"/>
        <v>579.56543209876543</v>
      </c>
      <c r="IX11" s="7" t="str">
        <f t="shared" si="24"/>
        <v/>
      </c>
      <c r="IY11" s="7">
        <f t="shared" si="24"/>
        <v>639.79487179487182</v>
      </c>
      <c r="IZ11" s="7">
        <f t="shared" si="24"/>
        <v>651.35466666666662</v>
      </c>
      <c r="JA11" s="7">
        <f t="shared" ref="JA11:JS11" si="25">+IFERROR(JA10/JA9,"")</f>
        <v>617.21113490364019</v>
      </c>
      <c r="JB11" s="7">
        <f t="shared" si="25"/>
        <v>471.8909574468085</v>
      </c>
      <c r="JC11" s="7">
        <f t="shared" si="25"/>
        <v>443.96663296258851</v>
      </c>
      <c r="JD11" s="7">
        <f t="shared" si="25"/>
        <v>592.69425287356319</v>
      </c>
      <c r="JE11" s="7" t="str">
        <f t="shared" si="25"/>
        <v/>
      </c>
      <c r="JF11" s="7">
        <f t="shared" si="25"/>
        <v>605.12240027275823</v>
      </c>
      <c r="JG11" s="7">
        <f t="shared" si="25"/>
        <v>556.17037037037039</v>
      </c>
      <c r="JH11" s="7">
        <f t="shared" si="25"/>
        <v>531.02101464657187</v>
      </c>
      <c r="JI11" s="7">
        <f t="shared" si="25"/>
        <v>629.46842222718146</v>
      </c>
      <c r="JJ11" s="7">
        <f t="shared" si="25"/>
        <v>518.14814814814815</v>
      </c>
      <c r="JK11" s="7">
        <f t="shared" si="25"/>
        <v>590.26019417475732</v>
      </c>
      <c r="JL11" s="7" t="str">
        <f t="shared" si="25"/>
        <v/>
      </c>
      <c r="JM11" s="7">
        <f t="shared" si="25"/>
        <v>556.11271896420408</v>
      </c>
      <c r="JN11" s="7">
        <f t="shared" si="25"/>
        <v>507.92105263157896</v>
      </c>
      <c r="JO11" s="7">
        <f t="shared" si="25"/>
        <v>537.17073170731703</v>
      </c>
      <c r="JP11" s="7">
        <f t="shared" si="25"/>
        <v>463.33198263386402</v>
      </c>
      <c r="JQ11" s="7">
        <f t="shared" si="25"/>
        <v>452.63030303030303</v>
      </c>
      <c r="JR11" s="7">
        <f t="shared" si="25"/>
        <v>380.80624556422993</v>
      </c>
      <c r="JS11" s="7" t="str">
        <f t="shared" si="25"/>
        <v/>
      </c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3"/>
      <c r="DA12" s="20"/>
      <c r="DH12" s="20"/>
      <c r="DI12" s="25"/>
      <c r="DM12" s="241"/>
      <c r="DN12" s="241"/>
      <c r="DO12" s="20"/>
      <c r="DV12" s="20"/>
      <c r="EC12" s="20"/>
      <c r="EF12" s="241"/>
      <c r="EG12" s="241"/>
      <c r="EI12" s="54"/>
      <c r="EJ12" s="20"/>
      <c r="EQ12" s="20"/>
      <c r="ER12" s="93"/>
      <c r="EX12" s="20"/>
      <c r="FS12" s="20"/>
      <c r="FZ12" s="20"/>
      <c r="GD12" s="24"/>
      <c r="GE12" s="41"/>
      <c r="GS12" s="24"/>
      <c r="GT12" s="25"/>
      <c r="GU12" s="20"/>
      <c r="GX12" s="93"/>
      <c r="GY12" s="93"/>
      <c r="HB12" s="20"/>
      <c r="HI12" s="20"/>
      <c r="HK12" s="24"/>
      <c r="HL12" s="41"/>
      <c r="HN12" s="24"/>
      <c r="HO12" s="25"/>
      <c r="HP12" s="20"/>
      <c r="HW12" s="20"/>
      <c r="ID12" s="20"/>
      <c r="IJ12" s="24"/>
      <c r="IK12" s="20"/>
      <c r="IR12" s="20"/>
      <c r="IS12" s="93"/>
      <c r="IT12" s="25"/>
      <c r="IY12" s="20"/>
      <c r="JF12" s="20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2"/>
      <c r="MY12" s="77"/>
      <c r="MZ12" s="112"/>
    </row>
    <row r="13" spans="1:367" ht="14.4" customHeight="1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3"/>
      <c r="BV13"/>
      <c r="BW13" s="24"/>
      <c r="BX13" s="26"/>
      <c r="BY13" s="20"/>
      <c r="CB13" s="163"/>
      <c r="CC13"/>
      <c r="CF13" s="20"/>
      <c r="CR13" s="26"/>
      <c r="CU13" s="25"/>
      <c r="DI13" s="25"/>
      <c r="DM13" s="93"/>
      <c r="DN13" s="93"/>
      <c r="DO13" s="20"/>
      <c r="DS13" s="241"/>
      <c r="DT13" s="241"/>
      <c r="DV13" s="20"/>
      <c r="EC13" s="20"/>
      <c r="EE13" s="74"/>
      <c r="EF13" s="74"/>
      <c r="EG13" s="93"/>
      <c r="EI13" s="54"/>
      <c r="EJ13" s="20"/>
      <c r="EQ13" s="20"/>
      <c r="ER13" s="25"/>
      <c r="EX13" s="20"/>
      <c r="FG13" s="74"/>
      <c r="FH13" s="74"/>
      <c r="FO13" s="163"/>
      <c r="FP13"/>
      <c r="FS13" s="20"/>
      <c r="FZ13" s="20"/>
      <c r="GD13" s="24"/>
      <c r="GE13" s="41"/>
      <c r="GG13" s="20"/>
      <c r="GM13" s="93"/>
      <c r="GN13" s="224"/>
      <c r="GS13" s="24"/>
      <c r="GT13" s="25"/>
      <c r="GU13" s="20"/>
      <c r="GX13" s="24"/>
      <c r="GY13" s="41"/>
      <c r="HB13" s="20"/>
      <c r="HI13" s="20"/>
      <c r="HK13" s="24"/>
      <c r="HL13" s="41"/>
      <c r="HN13" s="24"/>
      <c r="HO13" s="25"/>
      <c r="HP13" s="20"/>
      <c r="HW13" s="20"/>
      <c r="IC13" s="93"/>
      <c r="ID13" s="20"/>
      <c r="IJ13" s="24"/>
      <c r="IK13" s="20"/>
      <c r="IR13" s="20"/>
      <c r="IS13" s="93"/>
      <c r="IT13" s="25"/>
      <c r="IY13" s="20"/>
      <c r="IZ13" s="74"/>
      <c r="JF13" s="20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2"/>
      <c r="MY13" s="77"/>
      <c r="MZ13" s="112"/>
    </row>
    <row r="14" spans="1:367" ht="16.8">
      <c r="E14" s="77"/>
      <c r="F14" s="78"/>
      <c r="G14" s="20"/>
      <c r="K14" s="77"/>
      <c r="L14" s="112"/>
      <c r="N14" s="20"/>
      <c r="U14" s="20"/>
      <c r="AB14" s="20"/>
      <c r="AC14" s="74"/>
      <c r="AI14" s="20"/>
      <c r="AP14" s="20"/>
      <c r="AU14" s="77"/>
      <c r="AV14" s="112"/>
      <c r="AW14" s="20"/>
      <c r="BD14" s="184"/>
      <c r="BE14" s="74"/>
      <c r="BG14" s="77"/>
      <c r="BH14" s="112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3"/>
      <c r="DT14" s="93"/>
      <c r="DV14" s="20"/>
      <c r="DZ14" s="28"/>
      <c r="EA14" s="27"/>
      <c r="EC14" s="20"/>
      <c r="ED14" s="74"/>
      <c r="EE14" s="74"/>
      <c r="EF14" s="112"/>
      <c r="EG14" s="25"/>
      <c r="EI14" s="54"/>
      <c r="EJ14" s="20"/>
      <c r="EQ14" s="20"/>
      <c r="ER14" s="25"/>
      <c r="EV14" s="93"/>
      <c r="EW14" s="93"/>
      <c r="EX14" s="20"/>
      <c r="EZ14" s="74"/>
      <c r="FA14" s="74"/>
      <c r="FE14" s="6"/>
      <c r="FG14" s="77"/>
      <c r="FH14" s="112"/>
      <c r="FL14" s="6"/>
      <c r="FM14" s="6"/>
      <c r="FO14"/>
      <c r="FP14"/>
      <c r="FS14" s="20"/>
      <c r="FW14" s="93"/>
      <c r="FX14" s="93"/>
      <c r="FZ14" s="20"/>
      <c r="GD14" s="24"/>
      <c r="GE14" s="41"/>
      <c r="GG14" s="20"/>
      <c r="GH14" s="93"/>
      <c r="GM14" s="24"/>
      <c r="GN14" s="224"/>
      <c r="GS14" s="24"/>
      <c r="GT14" s="26"/>
      <c r="GU14" s="20"/>
      <c r="GW14" s="77"/>
      <c r="GX14" s="112"/>
      <c r="GY14" s="41"/>
      <c r="HA14" s="93"/>
      <c r="HB14" s="20"/>
      <c r="HC14" s="93"/>
      <c r="HH14" s="74"/>
      <c r="HI14" s="20"/>
      <c r="HK14" s="24"/>
      <c r="HL14" s="41"/>
      <c r="HN14" s="24"/>
      <c r="HO14" s="25"/>
      <c r="HP14" s="20"/>
      <c r="HU14" s="93"/>
      <c r="HV14" s="93"/>
      <c r="HW14" s="20"/>
      <c r="IC14" s="24"/>
      <c r="ID14" s="20"/>
      <c r="IE14" s="74"/>
      <c r="IJ14" s="24"/>
      <c r="IK14" s="20"/>
      <c r="IR14" s="20"/>
      <c r="IS14" s="93"/>
      <c r="IT14" s="25"/>
      <c r="IY14" s="219"/>
      <c r="IZ14" s="112"/>
      <c r="JF14" s="20"/>
      <c r="JG14" s="24"/>
      <c r="JH14" s="26"/>
      <c r="JJ14" s="24"/>
      <c r="JK14" s="41"/>
      <c r="JL14" s="24"/>
      <c r="JM14" s="41"/>
      <c r="JN14"/>
      <c r="JO14"/>
      <c r="JQ14" s="24"/>
      <c r="JR14" s="25"/>
      <c r="JZ14" s="24"/>
      <c r="KA14" s="25"/>
      <c r="KH14" s="24"/>
      <c r="KI14" s="26"/>
      <c r="KO14" s="24"/>
      <c r="KP14" s="93"/>
      <c r="KY14" s="24"/>
      <c r="KZ14" s="41"/>
      <c r="LG14" s="24"/>
      <c r="LH14" s="93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2"/>
      <c r="MY14" s="77"/>
      <c r="MZ14" s="112"/>
    </row>
    <row r="15" spans="1:367" ht="16.8">
      <c r="E15" s="77"/>
      <c r="F15" s="78"/>
      <c r="G15" s="74"/>
      <c r="H15" s="74"/>
      <c r="K15" s="77"/>
      <c r="L15" s="112"/>
      <c r="U15" s="20"/>
      <c r="AB15" s="184"/>
      <c r="AC15" s="112"/>
      <c r="AU15" s="77"/>
      <c r="AV15" s="112"/>
      <c r="AW15" s="20"/>
      <c r="BA15" s="20"/>
      <c r="BD15" s="184"/>
      <c r="BE15" s="112"/>
      <c r="BG15" s="77"/>
      <c r="BH15" s="112"/>
      <c r="BK15" s="20"/>
      <c r="BN15" s="77"/>
      <c r="BO15" s="112"/>
      <c r="BU15" s="164"/>
      <c r="BV15" s="164"/>
      <c r="BW15" s="112"/>
      <c r="BX15" s="26"/>
      <c r="BZ15" s="93"/>
      <c r="CA15" s="93"/>
      <c r="CB15" s="164"/>
      <c r="CC15" s="164"/>
      <c r="CR15" s="26"/>
      <c r="CT15" s="24"/>
      <c r="CU15" s="25"/>
      <c r="CW15" s="163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2"/>
      <c r="EF15" s="112"/>
      <c r="EG15" s="25"/>
      <c r="EI15" s="54"/>
      <c r="EJ15" s="55"/>
      <c r="EQ15" s="24"/>
      <c r="ER15" s="25"/>
      <c r="EV15" s="24"/>
      <c r="EW15" s="25"/>
      <c r="EZ15" s="77"/>
      <c r="FA15" s="112"/>
      <c r="FG15" s="77"/>
      <c r="FH15" s="112"/>
      <c r="FL15" s="54"/>
      <c r="FM15" s="61"/>
      <c r="FO15" s="164"/>
      <c r="FP15" s="164"/>
      <c r="FS15" s="20"/>
      <c r="FW15" s="24"/>
      <c r="FX15" s="41"/>
      <c r="GD15" s="24"/>
      <c r="GE15" s="74"/>
      <c r="GF15" s="74"/>
      <c r="GG15" s="223"/>
      <c r="GH15" s="41"/>
      <c r="GM15" s="24"/>
      <c r="GN15" s="184"/>
      <c r="GO15" s="74"/>
      <c r="GS15" s="24"/>
      <c r="GT15" s="26"/>
      <c r="GW15" s="77"/>
      <c r="GX15" s="112"/>
      <c r="GY15" s="41"/>
      <c r="HA15" s="24"/>
      <c r="HB15" s="93"/>
      <c r="HC15" s="25"/>
      <c r="HD15" s="74"/>
      <c r="HE15" s="74"/>
      <c r="HH15" s="222"/>
      <c r="HI15" s="78"/>
      <c r="HK15" s="24"/>
      <c r="HL15" s="93"/>
      <c r="HN15" s="24"/>
      <c r="HO15" s="25"/>
      <c r="HU15" s="24"/>
      <c r="HV15" s="74"/>
      <c r="HW15" s="74"/>
      <c r="IC15" s="24"/>
      <c r="ID15" s="77"/>
      <c r="IE15" s="112"/>
      <c r="IJ15" s="24"/>
      <c r="IK15" s="163"/>
      <c r="IL15"/>
      <c r="IR15" s="24"/>
      <c r="IS15" s="93"/>
      <c r="IT15" s="25"/>
      <c r="IX15"/>
      <c r="IY15" s="77"/>
      <c r="IZ15" s="112"/>
      <c r="JJ15" s="24"/>
      <c r="JK15" s="41"/>
      <c r="JL15" s="24"/>
      <c r="JM15" s="41"/>
      <c r="JN15"/>
      <c r="JO15"/>
      <c r="JQ15" s="24"/>
      <c r="JR15" s="25"/>
      <c r="JZ15" s="24"/>
      <c r="KA15" s="25"/>
      <c r="KQ15" s="42"/>
      <c r="KR15" s="42"/>
      <c r="KY15" s="24"/>
      <c r="KZ15" s="93"/>
      <c r="LM15" s="24"/>
      <c r="LN15" s="93"/>
      <c r="LP15" s="24"/>
      <c r="LQ15" s="26"/>
      <c r="LU15" s="54"/>
      <c r="LV15" s="55"/>
      <c r="MB15" s="54"/>
      <c r="MC15" s="61"/>
      <c r="MN15" s="24"/>
      <c r="MO15" s="41"/>
      <c r="MT15" s="77"/>
      <c r="MU15" s="112"/>
      <c r="MY15" s="77"/>
      <c r="MZ15" s="112"/>
    </row>
    <row r="16" spans="1:367" ht="16.8">
      <c r="E16" s="77"/>
      <c r="F16" s="78"/>
      <c r="G16" s="77"/>
      <c r="H16" s="112"/>
      <c r="K16" s="77"/>
      <c r="L16" s="112"/>
      <c r="AB16" s="185"/>
      <c r="AC16" s="112"/>
      <c r="AO16" s="74"/>
      <c r="AP16" s="74"/>
      <c r="AQ16" s="74"/>
      <c r="AR16" s="74"/>
      <c r="AU16" s="77"/>
      <c r="AV16" s="74"/>
      <c r="AW16" s="74"/>
      <c r="AX16" s="74"/>
      <c r="BD16" s="185"/>
      <c r="BE16" s="112"/>
      <c r="BG16" s="77"/>
      <c r="BH16" s="112"/>
      <c r="BN16" s="77"/>
      <c r="BO16" s="112"/>
      <c r="BU16" s="168"/>
      <c r="BV16" s="207"/>
      <c r="BW16" s="112"/>
      <c r="BX16" s="26"/>
      <c r="BY16" s="20"/>
      <c r="BZ16" s="24"/>
      <c r="CA16" s="25"/>
      <c r="CB16" s="168"/>
      <c r="CC16" s="164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2"/>
      <c r="DS16" s="24"/>
      <c r="DT16" s="25"/>
      <c r="DZ16" s="28"/>
      <c r="EA16" s="27"/>
      <c r="ED16" s="77"/>
      <c r="EE16" s="112"/>
      <c r="EF16" s="112"/>
      <c r="EG16" s="25"/>
      <c r="EI16" s="54"/>
      <c r="EJ16" s="55"/>
      <c r="EQ16" s="24"/>
      <c r="ER16" s="25"/>
      <c r="EV16" s="24"/>
      <c r="EW16" s="25"/>
      <c r="EZ16" s="77"/>
      <c r="FA16" s="112"/>
      <c r="FC16" s="28"/>
      <c r="FD16" s="27"/>
      <c r="FG16" s="77"/>
      <c r="FH16" s="112"/>
      <c r="FL16" s="54"/>
      <c r="FM16" s="61"/>
      <c r="FO16" s="168"/>
      <c r="FP16" s="207"/>
      <c r="FT16" s="74"/>
      <c r="FU16" s="74"/>
      <c r="FW16" s="24"/>
      <c r="FX16" s="41"/>
      <c r="GE16" s="77"/>
      <c r="GF16" s="78"/>
      <c r="GG16" s="24"/>
      <c r="GH16" s="74"/>
      <c r="GI16" s="74"/>
      <c r="GM16" s="24"/>
      <c r="GN16" s="77"/>
      <c r="GO16" s="112"/>
      <c r="GS16" s="24"/>
      <c r="GT16" s="26"/>
      <c r="GW16" s="77"/>
      <c r="GX16" s="112"/>
      <c r="GY16" s="41"/>
      <c r="HA16" s="24"/>
      <c r="HB16" s="93"/>
      <c r="HC16" s="25"/>
      <c r="HD16" s="77"/>
      <c r="HE16" s="78"/>
      <c r="HH16" s="222"/>
      <c r="HI16" s="78"/>
      <c r="HN16" s="24"/>
      <c r="HO16" s="26"/>
      <c r="HR16" s="74"/>
      <c r="HS16" s="74"/>
      <c r="HU16" s="24"/>
      <c r="HV16" s="77"/>
      <c r="HW16" s="112"/>
      <c r="IC16" s="24"/>
      <c r="ID16" s="77"/>
      <c r="IE16" s="112"/>
      <c r="IJ16" s="24"/>
      <c r="IK16"/>
      <c r="IL16"/>
      <c r="IR16" s="163"/>
      <c r="IS16"/>
      <c r="IT16" s="25"/>
      <c r="IX16"/>
      <c r="IY16" s="77"/>
      <c r="IZ16" s="112"/>
      <c r="JF16" s="74"/>
      <c r="JG16" s="74"/>
      <c r="JJ16" s="24"/>
      <c r="JK16" s="41"/>
      <c r="JL16" s="24"/>
      <c r="JM16" s="93"/>
      <c r="JN16" s="74"/>
      <c r="JO16" s="7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>
      <c r="E17" s="77"/>
      <c r="F17" s="78"/>
      <c r="G17" s="77"/>
      <c r="H17" s="112"/>
      <c r="K17" s="77"/>
      <c r="L17" s="112"/>
      <c r="AB17" s="77"/>
      <c r="AC17" s="112"/>
      <c r="AI17" s="74"/>
      <c r="AJ17" s="74"/>
      <c r="AO17" s="77"/>
      <c r="AP17" s="112"/>
      <c r="AQ17" s="77"/>
      <c r="AR17" s="112"/>
      <c r="AW17" s="77"/>
      <c r="AX17" s="112"/>
      <c r="BD17" s="77"/>
      <c r="BE17" s="74"/>
      <c r="BG17" s="77"/>
      <c r="BH17" s="112"/>
      <c r="BN17" s="77"/>
      <c r="BO17" s="112"/>
      <c r="BU17" s="168"/>
      <c r="BV17" s="207"/>
      <c r="BW17" s="112"/>
      <c r="BZ17" s="24"/>
      <c r="CA17" s="25"/>
      <c r="CB17" s="168"/>
      <c r="CC17" s="164"/>
      <c r="CO17" s="77"/>
      <c r="CP17" s="74"/>
      <c r="CT17" s="24"/>
      <c r="CU17" s="25"/>
      <c r="CW17" s="164"/>
      <c r="CX17" s="164"/>
      <c r="DE17" s="77"/>
      <c r="DF17" s="112"/>
      <c r="DH17" s="24"/>
      <c r="DI17" s="25"/>
      <c r="DK17" s="77"/>
      <c r="DL17" s="112"/>
      <c r="DM17" s="24"/>
      <c r="DN17" s="93"/>
      <c r="DQ17" s="77"/>
      <c r="DR17" s="112"/>
      <c r="DS17" s="24"/>
      <c r="DT17" s="25"/>
      <c r="DZ17" s="28"/>
      <c r="EA17" s="27"/>
      <c r="ED17" s="77"/>
      <c r="EE17" s="112"/>
      <c r="EF17" s="112"/>
      <c r="EG17" s="25"/>
      <c r="EI17" s="54"/>
      <c r="EJ17" s="56"/>
      <c r="EQ17" s="24"/>
      <c r="ER17" s="25"/>
      <c r="EV17" s="24"/>
      <c r="EW17" s="25"/>
      <c r="EZ17" s="77"/>
      <c r="FA17" s="112"/>
      <c r="FC17" s="28"/>
      <c r="FD17" s="27"/>
      <c r="FG17" s="77"/>
      <c r="FH17" s="112"/>
      <c r="FL17" s="54"/>
      <c r="FM17" s="61"/>
      <c r="FO17" s="168"/>
      <c r="FP17" s="207"/>
      <c r="FT17" s="77"/>
      <c r="FU17" s="78"/>
      <c r="FW17" s="24"/>
      <c r="FX17" s="41"/>
      <c r="GE17" s="77"/>
      <c r="GF17" s="78"/>
      <c r="GG17" s="24"/>
      <c r="GH17" s="77"/>
      <c r="GI17" s="112"/>
      <c r="GM17" s="24"/>
      <c r="GN17" s="77"/>
      <c r="GO17" s="112"/>
      <c r="GW17" s="77"/>
      <c r="GX17" s="112"/>
      <c r="GY17" s="41"/>
      <c r="HA17" s="24"/>
      <c r="HB17" s="93"/>
      <c r="HC17" s="25"/>
      <c r="HD17" s="77"/>
      <c r="HE17" s="78"/>
      <c r="HH17" s="222"/>
      <c r="HI17" s="78"/>
      <c r="HR17" s="77"/>
      <c r="HS17" s="112"/>
      <c r="HU17" s="24"/>
      <c r="HV17" s="77"/>
      <c r="HW17" s="112"/>
      <c r="IC17" s="24"/>
      <c r="ID17" s="77"/>
      <c r="IE17" s="112"/>
      <c r="IJ17" s="24"/>
      <c r="IK17" s="164"/>
      <c r="IL17" s="164"/>
      <c r="IR17"/>
      <c r="IS17"/>
      <c r="IT17" s="25"/>
      <c r="IY17" s="77"/>
      <c r="IZ17" s="112"/>
      <c r="JF17" s="77"/>
      <c r="JG17" s="112"/>
      <c r="JJ17" s="24"/>
      <c r="JK17" s="93"/>
      <c r="JN17" s="77"/>
      <c r="JO17" s="112"/>
      <c r="JQ17" s="24"/>
      <c r="JR17" s="26"/>
      <c r="JZ17" s="24"/>
      <c r="KA17" s="25"/>
      <c r="KQ17" s="76"/>
      <c r="KR17" s="56"/>
      <c r="LU17" s="54"/>
      <c r="LV17" s="55"/>
      <c r="MN17" s="24"/>
      <c r="MO17" s="93"/>
      <c r="MT17"/>
      <c r="MU17"/>
      <c r="MY17"/>
      <c r="MZ17"/>
    </row>
    <row r="18" spans="5:364" ht="16.8">
      <c r="E18" s="77"/>
      <c r="F18" s="78"/>
      <c r="G18" s="77"/>
      <c r="H18" s="112"/>
      <c r="K18" s="77"/>
      <c r="L18" s="112"/>
      <c r="U18" s="74"/>
      <c r="V18" s="74"/>
      <c r="AB18" s="77"/>
      <c r="AC18" s="112"/>
      <c r="AI18" s="77"/>
      <c r="AJ18" s="112"/>
      <c r="AO18" s="77"/>
      <c r="AP18" s="112"/>
      <c r="AQ18" s="77"/>
      <c r="AR18" s="112"/>
      <c r="AW18" s="77"/>
      <c r="AX18" s="112"/>
      <c r="BG18" s="77"/>
      <c r="BH18" s="112"/>
      <c r="BN18" s="77"/>
      <c r="BO18" s="112"/>
      <c r="BU18" s="168"/>
      <c r="BV18" s="207"/>
      <c r="BW18" s="74"/>
      <c r="BZ18" s="24"/>
      <c r="CA18" s="25"/>
      <c r="CB18" s="168"/>
      <c r="CC18" s="164"/>
      <c r="CO18" s="77"/>
      <c r="CP18" s="74"/>
      <c r="CT18" s="24"/>
      <c r="CU18" s="26"/>
      <c r="CW18" s="168"/>
      <c r="CX18" s="207"/>
      <c r="DE18" s="77"/>
      <c r="DF18" s="112"/>
      <c r="DK18" s="77"/>
      <c r="DL18" s="112"/>
      <c r="DM18" s="24"/>
      <c r="DN18" s="41"/>
      <c r="DQ18" s="77"/>
      <c r="DR18" s="112"/>
      <c r="DS18" s="24"/>
      <c r="DT18" s="25"/>
      <c r="DZ18" s="28"/>
      <c r="EA18" s="27"/>
      <c r="ED18" s="77"/>
      <c r="EE18" s="112"/>
      <c r="EF18" s="112"/>
      <c r="EG18" s="25"/>
      <c r="EI18" s="56"/>
      <c r="EJ18" s="56"/>
      <c r="EQ18" s="24"/>
      <c r="ER18" s="25"/>
      <c r="EV18" s="24"/>
      <c r="EW18" s="26"/>
      <c r="EZ18" s="77"/>
      <c r="FA18" s="112"/>
      <c r="FC18" s="28"/>
      <c r="FD18" s="27"/>
      <c r="FG18" s="77"/>
      <c r="FH18" s="112"/>
      <c r="FL18" s="54"/>
      <c r="FM18" s="61"/>
      <c r="FO18" s="168"/>
      <c r="FP18" s="207"/>
      <c r="FT18" s="77"/>
      <c r="FU18" s="78"/>
      <c r="FW18" s="24"/>
      <c r="FX18" s="41"/>
      <c r="GE18" s="77"/>
      <c r="GF18" s="78"/>
      <c r="GG18" s="24"/>
      <c r="GH18" s="77"/>
      <c r="GI18" s="112"/>
      <c r="GM18" s="24"/>
      <c r="GN18" s="77"/>
      <c r="GO18" s="112"/>
      <c r="GW18" s="77"/>
      <c r="GX18" s="112"/>
      <c r="GY18" s="93"/>
      <c r="HA18" s="24"/>
      <c r="HB18" s="93"/>
      <c r="HC18" s="25"/>
      <c r="HD18" s="77"/>
      <c r="HE18" s="78"/>
      <c r="HH18" s="222"/>
      <c r="HI18" s="78"/>
      <c r="HR18" s="77"/>
      <c r="HS18" s="112"/>
      <c r="HU18" s="24"/>
      <c r="HV18" s="77"/>
      <c r="HW18" s="112"/>
      <c r="IC18" s="24"/>
      <c r="ID18" s="77"/>
      <c r="IE18" s="112"/>
      <c r="IJ18" s="24"/>
      <c r="IK18" s="168"/>
      <c r="IL18" s="207"/>
      <c r="IR18" s="164"/>
      <c r="IS18" s="164"/>
      <c r="IT18" s="26"/>
      <c r="IY18" s="77"/>
      <c r="IZ18" s="112"/>
      <c r="JF18" s="77"/>
      <c r="JG18" s="112"/>
      <c r="JN18" s="77"/>
      <c r="JO18" s="112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>
      <c r="E19" s="77"/>
      <c r="F19" s="62"/>
      <c r="G19" s="77"/>
      <c r="H19" s="112"/>
      <c r="K19" s="77"/>
      <c r="L19" s="74"/>
      <c r="U19" s="77"/>
      <c r="V19" s="112"/>
      <c r="AB19" s="77"/>
      <c r="AC19" s="112"/>
      <c r="AI19" s="77"/>
      <c r="AJ19" s="112"/>
      <c r="AO19" s="77"/>
      <c r="AP19" s="112"/>
      <c r="AQ19" s="77"/>
      <c r="AR19" s="112"/>
      <c r="AW19" s="77"/>
      <c r="AX19" s="112"/>
      <c r="BG19" s="77"/>
      <c r="BH19" s="74"/>
      <c r="BN19" s="77"/>
      <c r="BO19" s="112"/>
      <c r="BU19" s="168"/>
      <c r="BV19" s="207"/>
      <c r="BZ19" s="24"/>
      <c r="CA19" s="25"/>
      <c r="CB19" s="168"/>
      <c r="CC19" s="164"/>
      <c r="CO19" s="77"/>
      <c r="CP19" s="74"/>
      <c r="CW19" s="168"/>
      <c r="CX19" s="207"/>
      <c r="DE19" s="77"/>
      <c r="DF19" s="112"/>
      <c r="DK19" s="77"/>
      <c r="DL19" s="112"/>
      <c r="DM19" s="24"/>
      <c r="DN19" s="93"/>
      <c r="DQ19" s="77"/>
      <c r="DR19" s="112"/>
      <c r="DS19" s="24"/>
      <c r="DT19" s="25"/>
      <c r="DZ19" s="28"/>
      <c r="ED19" s="77"/>
      <c r="EE19" s="112"/>
      <c r="EF19" s="112"/>
      <c r="EG19" s="26"/>
      <c r="EQ19" s="24"/>
      <c r="ER19" s="26"/>
      <c r="EZ19" s="77"/>
      <c r="FA19" s="112"/>
      <c r="FC19" s="28"/>
      <c r="FD19" s="27"/>
      <c r="FG19" s="77"/>
      <c r="FH19" s="112"/>
      <c r="FL19" s="54"/>
      <c r="FM19" s="61"/>
      <c r="FO19" s="168"/>
      <c r="FP19" s="207"/>
      <c r="FT19" s="77"/>
      <c r="FU19" s="78"/>
      <c r="FW19" s="24"/>
      <c r="FX19" s="41"/>
      <c r="GE19" s="77"/>
      <c r="GF19" s="78"/>
      <c r="GG19" s="24"/>
      <c r="GH19" s="77"/>
      <c r="GI19" s="112"/>
      <c r="GM19" s="24"/>
      <c r="GN19" s="77"/>
      <c r="GO19" s="112"/>
      <c r="GW19" s="77"/>
      <c r="GX19" s="112"/>
      <c r="HA19" s="24"/>
      <c r="HB19" s="93"/>
      <c r="HC19" s="25"/>
      <c r="HD19" s="77"/>
      <c r="HE19" s="78"/>
      <c r="HH19" s="222"/>
      <c r="HI19" s="78"/>
      <c r="HR19" s="77"/>
      <c r="HS19" s="112"/>
      <c r="HU19" s="24"/>
      <c r="HV19" s="77"/>
      <c r="HW19" s="112"/>
      <c r="IC19" s="24"/>
      <c r="ID19" s="77"/>
      <c r="IE19" s="112"/>
      <c r="IK19" s="168"/>
      <c r="IL19" s="207"/>
      <c r="IR19" s="168"/>
      <c r="IS19" s="207"/>
      <c r="IT19" s="25"/>
      <c r="IY19" s="77"/>
      <c r="IZ19" s="74"/>
      <c r="JF19" s="77"/>
      <c r="JG19" s="112"/>
      <c r="JN19" s="77"/>
      <c r="JO19" s="112"/>
      <c r="KQ19" s="76"/>
      <c r="KR19" s="56"/>
      <c r="MB19" s="57"/>
    </row>
    <row r="20" spans="5:364" ht="16.8">
      <c r="E20" s="77"/>
      <c r="F20" s="62"/>
      <c r="G20" s="77"/>
      <c r="H20" s="112"/>
      <c r="K20"/>
      <c r="L20"/>
      <c r="U20" s="77"/>
      <c r="V20" s="112"/>
      <c r="AB20" s="77"/>
      <c r="AC20" s="74"/>
      <c r="AI20" s="77"/>
      <c r="AJ20" s="112"/>
      <c r="AO20" s="77"/>
      <c r="AP20" s="74"/>
      <c r="AQ20" s="77"/>
      <c r="AR20" s="112"/>
      <c r="AW20" s="77"/>
      <c r="AX20" s="112"/>
      <c r="BN20" s="77"/>
      <c r="BO20" s="74"/>
      <c r="BU20" s="168"/>
      <c r="BV20" s="207"/>
      <c r="BZ20" s="24"/>
      <c r="CA20" s="25"/>
      <c r="CB20" s="168"/>
      <c r="CC20" s="164"/>
      <c r="CO20" s="77"/>
      <c r="CP20" s="74"/>
      <c r="CW20" s="168"/>
      <c r="CX20" s="207"/>
      <c r="DE20" s="77"/>
      <c r="DF20" s="112"/>
      <c r="DK20" s="77"/>
      <c r="DL20" s="112"/>
      <c r="DQ20" s="77"/>
      <c r="DR20" s="74"/>
      <c r="DS20" s="24"/>
      <c r="DT20" s="26"/>
      <c r="ED20" s="77"/>
      <c r="EE20" s="112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8"/>
      <c r="FP20" s="207"/>
      <c r="FT20" s="77"/>
      <c r="FU20" s="78"/>
      <c r="FW20" s="24"/>
      <c r="FX20" s="93"/>
      <c r="GE20" s="77"/>
      <c r="GF20" s="78"/>
      <c r="GG20" s="24"/>
      <c r="GH20" s="77"/>
      <c r="GI20" s="112"/>
      <c r="GN20" s="77"/>
      <c r="GO20" s="112"/>
      <c r="GW20" s="77"/>
      <c r="GX20" s="74"/>
      <c r="HA20" s="24"/>
      <c r="HB20" s="93"/>
      <c r="HC20" s="26"/>
      <c r="HD20" s="77"/>
      <c r="HE20" s="78"/>
      <c r="HH20" s="222"/>
      <c r="HI20" s="190"/>
      <c r="HR20" s="77"/>
      <c r="HS20" s="112"/>
      <c r="HU20" s="24"/>
      <c r="HV20" s="77"/>
      <c r="HW20" s="112"/>
      <c r="ID20" s="77"/>
      <c r="IE20" s="74"/>
      <c r="IK20" s="168"/>
      <c r="IL20" s="207"/>
      <c r="IR20" s="168"/>
      <c r="IS20" s="207"/>
      <c r="IT20" s="25"/>
      <c r="JF20" s="77"/>
      <c r="JG20" s="112"/>
      <c r="JN20" s="77"/>
      <c r="JO20" s="112"/>
      <c r="KQ20" s="76"/>
      <c r="KR20" s="56"/>
      <c r="LU20" s="53"/>
      <c r="MB20" s="57"/>
    </row>
    <row r="21" spans="5:364" ht="16.8">
      <c r="G21" s="77"/>
      <c r="H21" s="74"/>
      <c r="K21"/>
      <c r="L21"/>
      <c r="U21" s="77"/>
      <c r="V21" s="112"/>
      <c r="AI21" s="77"/>
      <c r="AJ21" s="112"/>
      <c r="AQ21" s="77"/>
      <c r="AR21" s="112"/>
      <c r="AW21" s="77"/>
      <c r="AX21" s="112"/>
      <c r="BU21" s="168"/>
      <c r="BV21" s="164"/>
      <c r="BZ21" s="24"/>
      <c r="CA21" s="25"/>
      <c r="CB21" s="168"/>
      <c r="CC21" s="164"/>
      <c r="CO21" s="77"/>
      <c r="CP21" s="74"/>
      <c r="CW21" s="168"/>
      <c r="CX21" s="207"/>
      <c r="DE21" s="77"/>
      <c r="DF21" s="112"/>
      <c r="DK21" s="77"/>
      <c r="DL21" s="112"/>
      <c r="DQ21" s="77"/>
      <c r="DR21" s="112"/>
      <c r="ED21" s="77"/>
      <c r="EE21" s="74"/>
      <c r="EF21" s="112"/>
      <c r="EI21" s="57"/>
      <c r="FC21" s="28"/>
      <c r="FO21" s="168"/>
      <c r="FP21" s="164"/>
      <c r="FT21" s="77"/>
      <c r="FU21" s="78"/>
      <c r="GE21" s="77"/>
      <c r="GF21" s="190"/>
      <c r="GH21" s="77"/>
      <c r="GI21" s="112"/>
      <c r="GN21" s="77"/>
      <c r="GO21" s="74"/>
      <c r="HD21" s="77"/>
      <c r="HE21" s="190"/>
      <c r="HH21" s="222"/>
      <c r="HI21" s="190"/>
      <c r="HR21" s="77"/>
      <c r="HS21" s="112"/>
      <c r="HV21" s="77"/>
      <c r="HW21" s="112"/>
      <c r="IK21" s="168"/>
      <c r="IL21" s="207"/>
      <c r="IR21" s="168"/>
      <c r="IS21" s="207"/>
      <c r="IT21" s="25"/>
      <c r="JF21" s="77"/>
      <c r="JG21" s="112"/>
      <c r="JN21" s="77"/>
      <c r="JO21" s="112"/>
      <c r="KQ21" s="76"/>
      <c r="KR21" s="56"/>
      <c r="LU21" s="57"/>
    </row>
    <row r="22" spans="5:364" ht="16.8">
      <c r="U22" s="77"/>
      <c r="V22" s="112"/>
      <c r="AI22" s="77"/>
      <c r="AJ22" s="112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8"/>
      <c r="CX22" s="207"/>
      <c r="DE22" s="77"/>
      <c r="DF22" s="112"/>
      <c r="DK22" s="77"/>
      <c r="DL22" s="74"/>
      <c r="DQ22" s="77"/>
      <c r="DR22" s="74"/>
      <c r="EE22" s="217"/>
      <c r="EF22" s="112"/>
      <c r="EI22" s="57"/>
      <c r="FL22" s="53"/>
      <c r="FO22"/>
      <c r="FP22"/>
      <c r="FT22" s="77"/>
      <c r="FU22" s="78"/>
      <c r="GE22"/>
      <c r="GF22"/>
      <c r="GH22" s="77"/>
      <c r="GI22" s="112"/>
      <c r="HR22" s="77"/>
      <c r="HS22" s="74"/>
      <c r="HV22" s="77"/>
      <c r="HW22" s="74"/>
      <c r="IK22" s="168"/>
      <c r="IL22" s="207"/>
      <c r="IR22" s="168"/>
      <c r="IS22" s="207"/>
      <c r="IT22" s="25"/>
      <c r="JF22" s="77"/>
      <c r="JG22" s="74"/>
      <c r="JN22" s="77"/>
      <c r="JO22" s="74"/>
      <c r="KQ22" s="42"/>
      <c r="KR22" s="42"/>
      <c r="LU22" s="57"/>
    </row>
    <row r="23" spans="5:364" ht="16.8">
      <c r="U23" s="77"/>
      <c r="V23" s="112"/>
      <c r="AI23" s="77"/>
      <c r="AJ23" s="74"/>
      <c r="BU23" s="163"/>
      <c r="BV23"/>
      <c r="CB23" s="163"/>
      <c r="CC23"/>
      <c r="CW23" s="168"/>
      <c r="CX23" s="164"/>
      <c r="DE23" s="77"/>
      <c r="DF23" s="74"/>
      <c r="EE23" s="217"/>
      <c r="EF23" s="74"/>
      <c r="FL23" s="57"/>
      <c r="FO23" s="163"/>
      <c r="FP23"/>
      <c r="FT23" s="77"/>
      <c r="FU23" s="190"/>
      <c r="GE23"/>
      <c r="GF23"/>
      <c r="GH23" s="77"/>
      <c r="GI23" s="74"/>
      <c r="IK23" s="168"/>
      <c r="IL23" s="207"/>
      <c r="IR23" s="168"/>
      <c r="IS23" s="207"/>
      <c r="IT23" s="25"/>
      <c r="KQ23" s="53"/>
    </row>
    <row r="24" spans="5:364" ht="16.8">
      <c r="U24" s="77"/>
      <c r="V24" s="74"/>
      <c r="BU24" s="162"/>
      <c r="BV24"/>
      <c r="CB24" s="162"/>
      <c r="CC24"/>
      <c r="CW24"/>
      <c r="CX24"/>
      <c r="EE24" s="217"/>
      <c r="EF24" s="74"/>
      <c r="FL24" s="57"/>
      <c r="FO24" s="162"/>
      <c r="FP24"/>
      <c r="IK24" s="168"/>
      <c r="IL24" s="164"/>
      <c r="IR24" s="168"/>
      <c r="IS24" s="164"/>
      <c r="IT24" s="26"/>
      <c r="KQ24" s="57"/>
    </row>
    <row r="25" spans="5:364">
      <c r="BU25" s="162"/>
      <c r="BV25"/>
      <c r="CB25" s="162"/>
      <c r="CC25"/>
      <c r="CW25" s="163"/>
      <c r="CX25"/>
      <c r="EE25" s="217"/>
      <c r="EF25" s="74"/>
      <c r="FO25" s="162"/>
      <c r="FP25"/>
      <c r="IK25"/>
      <c r="IL25"/>
      <c r="IR25"/>
      <c r="IS25"/>
      <c r="IT25" s="70"/>
      <c r="KQ25" s="57"/>
    </row>
    <row r="26" spans="5:364">
      <c r="CW26" s="162"/>
      <c r="CX26"/>
      <c r="EE26" s="217"/>
      <c r="EF26" s="74"/>
      <c r="IK26" s="163"/>
      <c r="IL26"/>
      <c r="IR26" s="163"/>
      <c r="IS26"/>
    </row>
    <row r="27" spans="5:364">
      <c r="CW27" s="162"/>
      <c r="CX27"/>
      <c r="IK27" s="162"/>
      <c r="IL27"/>
      <c r="IR27" s="162"/>
      <c r="IS27"/>
    </row>
    <row r="28" spans="5:364">
      <c r="IK28" s="162"/>
      <c r="IL28"/>
      <c r="IR28" s="162"/>
      <c r="IS28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opLeftCell="JG1" workbookViewId="0">
      <selection activeCell="JM12" sqref="JM12:JM16"/>
    </sheetView>
  </sheetViews>
  <sheetFormatPr defaultColWidth="8.88671875" defaultRowHeight="14.4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>
      <c r="A1" s="99" t="s">
        <v>57</v>
      </c>
      <c r="B1" s="99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>
      <c r="B2" s="84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>
      <c r="A3" s="85">
        <f>SUM(C3:NC3)</f>
        <v>105428.83333333334</v>
      </c>
      <c r="B3" s="86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>
      <c r="A4" s="87">
        <f>SUM(C4:NC4)</f>
        <v>2378722</v>
      </c>
      <c r="B4" s="88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0">
        <v>6592</v>
      </c>
      <c r="DW4" s="90">
        <v>9755</v>
      </c>
      <c r="DX4" s="90">
        <v>5820</v>
      </c>
      <c r="DY4" s="90">
        <v>7916</v>
      </c>
      <c r="DZ4" s="90">
        <v>8694</v>
      </c>
      <c r="EA4" s="90">
        <v>8970</v>
      </c>
      <c r="EB4" s="90">
        <v>7685</v>
      </c>
      <c r="ED4" s="90">
        <v>10558</v>
      </c>
      <c r="EE4" s="90">
        <v>6312</v>
      </c>
      <c r="EF4" s="90">
        <v>10895</v>
      </c>
      <c r="EG4" s="90">
        <v>10657</v>
      </c>
      <c r="EH4" s="90">
        <v>9737</v>
      </c>
      <c r="EI4" s="90">
        <v>8266</v>
      </c>
      <c r="EK4" s="90">
        <v>11439</v>
      </c>
      <c r="EL4" s="90">
        <v>3881</v>
      </c>
      <c r="EM4" s="90">
        <v>9300</v>
      </c>
      <c r="EN4" s="90">
        <v>10643</v>
      </c>
      <c r="EO4" s="90">
        <v>9797</v>
      </c>
      <c r="EP4" s="90">
        <v>10405</v>
      </c>
      <c r="ER4" s="90">
        <v>10814</v>
      </c>
      <c r="ES4" s="90">
        <v>6689</v>
      </c>
      <c r="ET4" s="90">
        <v>9623</v>
      </c>
      <c r="EU4" s="90">
        <v>10650</v>
      </c>
      <c r="EV4" s="90">
        <v>9029</v>
      </c>
      <c r="EW4" s="90">
        <v>11235</v>
      </c>
      <c r="EY4" s="90">
        <v>12198</v>
      </c>
      <c r="EZ4" s="90">
        <v>9263</v>
      </c>
      <c r="FA4" s="90">
        <v>13929</v>
      </c>
      <c r="FB4" s="90">
        <v>3017</v>
      </c>
      <c r="FC4" s="90"/>
      <c r="FG4" s="90">
        <v>14394</v>
      </c>
      <c r="FH4" s="90">
        <v>16392</v>
      </c>
      <c r="FI4" s="90">
        <v>8010</v>
      </c>
      <c r="FJ4" s="90">
        <v>9058</v>
      </c>
      <c r="FK4" s="90">
        <v>7961</v>
      </c>
      <c r="FM4" s="90">
        <v>9180</v>
      </c>
      <c r="FN4" s="90">
        <v>7200</v>
      </c>
      <c r="FO4" s="90">
        <v>10069</v>
      </c>
      <c r="FP4" s="90">
        <v>11490</v>
      </c>
      <c r="FQ4" s="90">
        <v>10615</v>
      </c>
      <c r="FR4" s="90">
        <v>10700</v>
      </c>
      <c r="FT4" s="90">
        <v>11191</v>
      </c>
      <c r="FU4" s="90">
        <v>6923</v>
      </c>
      <c r="FV4" s="90">
        <v>10575</v>
      </c>
      <c r="FW4" s="90">
        <v>10088</v>
      </c>
      <c r="FX4" s="90">
        <v>10136</v>
      </c>
      <c r="FY4" s="90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0">
        <v>10467</v>
      </c>
      <c r="GI4" s="90">
        <v>6769</v>
      </c>
      <c r="GJ4" s="90">
        <v>8479</v>
      </c>
      <c r="GK4" s="90">
        <v>8687</v>
      </c>
      <c r="GL4" s="90">
        <v>7700</v>
      </c>
      <c r="GM4" s="90">
        <v>8431</v>
      </c>
      <c r="GO4" s="90">
        <v>7675</v>
      </c>
      <c r="GP4" s="90"/>
      <c r="GQ4" s="90">
        <v>9209</v>
      </c>
      <c r="GR4" s="90">
        <v>5990</v>
      </c>
      <c r="GS4" s="90">
        <v>10125</v>
      </c>
      <c r="GT4" s="90">
        <v>9440</v>
      </c>
      <c r="GV4" s="100">
        <v>8577</v>
      </c>
      <c r="GW4" s="100">
        <v>6203</v>
      </c>
      <c r="GX4" s="100">
        <v>8272</v>
      </c>
      <c r="GY4" s="100">
        <v>8851</v>
      </c>
      <c r="GZ4" s="100">
        <v>7912</v>
      </c>
      <c r="HA4" s="100">
        <v>8289</v>
      </c>
      <c r="HC4" s="90">
        <v>8296</v>
      </c>
      <c r="HD4" s="90">
        <v>7066</v>
      </c>
      <c r="HE4" s="90">
        <v>6318</v>
      </c>
      <c r="HF4" s="90">
        <v>7272</v>
      </c>
      <c r="HG4" s="90">
        <v>6688</v>
      </c>
      <c r="HH4" s="90">
        <v>7581</v>
      </c>
      <c r="HJ4" s="90">
        <v>6841</v>
      </c>
      <c r="HK4" s="90">
        <v>5390</v>
      </c>
      <c r="HL4" s="90">
        <v>6734</v>
      </c>
      <c r="HM4" s="90">
        <v>7053</v>
      </c>
      <c r="HN4" s="90">
        <v>6455</v>
      </c>
      <c r="HO4" s="90">
        <v>7228</v>
      </c>
      <c r="HP4" s="7"/>
      <c r="HQ4" s="90">
        <v>6938</v>
      </c>
      <c r="HR4" s="90">
        <v>4801</v>
      </c>
      <c r="HS4" s="90">
        <v>7048</v>
      </c>
      <c r="HT4" s="90">
        <v>7271</v>
      </c>
      <c r="HU4" s="90">
        <v>6622</v>
      </c>
      <c r="HV4" s="90">
        <v>7849</v>
      </c>
      <c r="HX4" s="100">
        <v>7517</v>
      </c>
      <c r="HY4" s="100">
        <v>5541</v>
      </c>
      <c r="HZ4" s="100">
        <v>7015</v>
      </c>
      <c r="IA4" s="100">
        <v>7196</v>
      </c>
      <c r="IB4" s="100">
        <v>6171</v>
      </c>
      <c r="IC4" s="100">
        <v>6868</v>
      </c>
      <c r="IE4" s="90">
        <v>6676</v>
      </c>
      <c r="IF4" s="90">
        <v>6306</v>
      </c>
      <c r="IG4" s="90">
        <v>7657</v>
      </c>
      <c r="IH4" s="90">
        <v>7891</v>
      </c>
      <c r="II4" s="90">
        <v>7875</v>
      </c>
      <c r="IJ4" s="90">
        <v>7733</v>
      </c>
      <c r="IL4" s="90">
        <v>8089</v>
      </c>
      <c r="IM4" s="90">
        <v>5601</v>
      </c>
      <c r="IN4" s="90">
        <v>7866</v>
      </c>
      <c r="IO4" s="90">
        <v>9917</v>
      </c>
      <c r="IP4" s="90">
        <v>7500</v>
      </c>
      <c r="IQ4" s="90">
        <v>7559</v>
      </c>
      <c r="IS4" s="90">
        <v>9623</v>
      </c>
      <c r="IT4" s="90">
        <v>6827</v>
      </c>
      <c r="IU4" s="90">
        <v>6833</v>
      </c>
      <c r="IV4" s="90">
        <v>9233</v>
      </c>
      <c r="IW4" s="90">
        <v>7235</v>
      </c>
      <c r="IX4" s="90">
        <v>8390</v>
      </c>
      <c r="IY4" s="90"/>
      <c r="IZ4" s="90">
        <v>8079</v>
      </c>
      <c r="JA4" s="90">
        <v>6129</v>
      </c>
      <c r="JB4" s="90">
        <v>7671</v>
      </c>
      <c r="JC4" s="90">
        <v>9469</v>
      </c>
      <c r="JD4" s="90">
        <v>7195</v>
      </c>
      <c r="JE4" s="90">
        <v>8019</v>
      </c>
      <c r="JF4" s="90"/>
      <c r="JG4" s="90">
        <v>7658</v>
      </c>
      <c r="JH4" s="90">
        <v>5378</v>
      </c>
      <c r="JI4" s="90">
        <v>7066</v>
      </c>
      <c r="JJ4" s="90">
        <v>7635</v>
      </c>
      <c r="JK4" s="90">
        <v>7243</v>
      </c>
      <c r="JL4" s="90">
        <v>7777</v>
      </c>
      <c r="JN4" s="90">
        <v>8601</v>
      </c>
      <c r="JO4" s="90">
        <v>5982</v>
      </c>
      <c r="JP4" s="90">
        <v>9368</v>
      </c>
      <c r="JQ4" s="90">
        <v>8959</v>
      </c>
      <c r="JR4" s="90">
        <v>8508</v>
      </c>
      <c r="JS4" s="90">
        <v>8412</v>
      </c>
      <c r="JU4" s="90">
        <v>8161</v>
      </c>
      <c r="JV4" s="90">
        <v>6495</v>
      </c>
      <c r="JW4" s="90">
        <v>7800</v>
      </c>
      <c r="JX4" s="90">
        <v>8997</v>
      </c>
      <c r="JY4" s="90">
        <v>7678</v>
      </c>
      <c r="JZ4" s="90">
        <v>7977</v>
      </c>
      <c r="KB4" s="90">
        <v>8218</v>
      </c>
      <c r="KC4" s="90">
        <v>6310</v>
      </c>
      <c r="KD4" s="90">
        <v>9063</v>
      </c>
      <c r="KE4" s="90">
        <v>8681</v>
      </c>
      <c r="KF4" s="90">
        <v>8571</v>
      </c>
      <c r="KG4" s="90">
        <v>8768</v>
      </c>
      <c r="KI4" s="90">
        <v>10105</v>
      </c>
      <c r="KJ4" s="90">
        <v>6951</v>
      </c>
      <c r="KK4" s="90">
        <v>10009</v>
      </c>
      <c r="KL4" s="90">
        <v>10398</v>
      </c>
      <c r="KM4" s="90">
        <v>9302</v>
      </c>
      <c r="KN4" s="90">
        <v>10240</v>
      </c>
      <c r="KP4" s="90">
        <v>11818</v>
      </c>
      <c r="KQ4" s="90">
        <v>7678</v>
      </c>
      <c r="KR4" s="90">
        <v>1978</v>
      </c>
      <c r="KS4" s="90">
        <v>11781</v>
      </c>
      <c r="KT4" s="90">
        <v>10375</v>
      </c>
      <c r="KU4" s="90">
        <v>13147</v>
      </c>
      <c r="KW4" s="101">
        <v>12512</v>
      </c>
      <c r="KX4" s="101">
        <v>6805</v>
      </c>
      <c r="KY4" s="101">
        <v>10122</v>
      </c>
      <c r="KZ4" s="101">
        <v>10912</v>
      </c>
      <c r="LA4" s="101">
        <v>8737</v>
      </c>
      <c r="LB4" s="101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0">
        <v>9658</v>
      </c>
      <c r="LS4" s="90">
        <v>5231</v>
      </c>
      <c r="LT4" s="90">
        <v>7017</v>
      </c>
      <c r="LU4" s="90">
        <v>8838</v>
      </c>
      <c r="LV4" s="90">
        <v>7924</v>
      </c>
      <c r="LW4" s="90">
        <v>7520</v>
      </c>
      <c r="LY4" s="90">
        <v>8322</v>
      </c>
      <c r="LZ4" s="90">
        <v>3493</v>
      </c>
      <c r="MA4" s="90">
        <v>6193</v>
      </c>
      <c r="MB4" s="90">
        <v>6583</v>
      </c>
      <c r="MC4" s="90">
        <v>8877</v>
      </c>
      <c r="MD4" s="90">
        <v>7140</v>
      </c>
      <c r="MF4" s="90">
        <v>9181</v>
      </c>
      <c r="MG4" s="90">
        <v>5062</v>
      </c>
      <c r="MH4" s="90">
        <v>7710</v>
      </c>
      <c r="MI4" s="90">
        <v>7678</v>
      </c>
      <c r="MJ4" s="90">
        <v>7654</v>
      </c>
      <c r="MK4" s="90">
        <v>7372</v>
      </c>
      <c r="MM4" s="90">
        <v>10554</v>
      </c>
      <c r="MN4" s="90">
        <v>5652</v>
      </c>
      <c r="MO4" s="90">
        <v>7650</v>
      </c>
      <c r="MP4" s="90">
        <v>9504</v>
      </c>
      <c r="MQ4" s="90">
        <v>7662</v>
      </c>
      <c r="MR4" s="90">
        <v>8035</v>
      </c>
      <c r="MT4" s="90">
        <v>8392</v>
      </c>
      <c r="MU4" s="90">
        <v>4381</v>
      </c>
      <c r="MV4" s="90">
        <v>7248</v>
      </c>
      <c r="MW4" s="90">
        <v>8081</v>
      </c>
      <c r="MX4" s="90">
        <v>7789</v>
      </c>
      <c r="MY4" s="90">
        <v>6923</v>
      </c>
      <c r="NA4" s="90">
        <v>3393</v>
      </c>
      <c r="NB4" s="90">
        <v>5205</v>
      </c>
      <c r="NC4" s="90">
        <v>6219</v>
      </c>
    </row>
    <row r="5" spans="1:371">
      <c r="A5" s="91">
        <f>+A4/A3</f>
        <v>22.562347744845258</v>
      </c>
      <c r="B5" s="92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32" t="s">
        <v>28</v>
      </c>
      <c r="GA8" s="32" t="s">
        <v>28</v>
      </c>
      <c r="GB8" s="32" t="s">
        <v>28</v>
      </c>
      <c r="GC8" s="32" t="s">
        <v>28</v>
      </c>
      <c r="GD8" s="32" t="s">
        <v>28</v>
      </c>
      <c r="GE8" s="32" t="s">
        <v>28</v>
      </c>
      <c r="GF8" s="32" t="s">
        <v>28</v>
      </c>
      <c r="GG8" s="32" t="s">
        <v>29</v>
      </c>
      <c r="GH8" s="32" t="s">
        <v>29</v>
      </c>
      <c r="GI8" s="32" t="s">
        <v>29</v>
      </c>
      <c r="GJ8" s="32" t="s">
        <v>29</v>
      </c>
      <c r="GK8" s="32" t="s">
        <v>29</v>
      </c>
      <c r="GL8" s="32" t="s">
        <v>29</v>
      </c>
      <c r="GM8" s="32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32" t="s">
        <v>33</v>
      </c>
      <c r="HJ8" s="32" t="s">
        <v>33</v>
      </c>
      <c r="HK8" s="32" t="s">
        <v>33</v>
      </c>
      <c r="HL8" s="32" t="s">
        <v>33</v>
      </c>
      <c r="HM8" s="32" t="s">
        <v>33</v>
      </c>
      <c r="HN8" s="32" t="s">
        <v>33</v>
      </c>
      <c r="HO8" s="32" t="s">
        <v>33</v>
      </c>
      <c r="HP8" s="32" t="s">
        <v>34</v>
      </c>
      <c r="HQ8" s="32" t="s">
        <v>34</v>
      </c>
      <c r="HR8" s="32" t="s">
        <v>34</v>
      </c>
      <c r="HS8" s="32" t="s">
        <v>34</v>
      </c>
      <c r="HT8" s="32" t="s">
        <v>34</v>
      </c>
      <c r="HU8" s="32" t="s">
        <v>34</v>
      </c>
      <c r="HV8" s="32" t="s">
        <v>34</v>
      </c>
      <c r="HW8" s="32" t="s">
        <v>35</v>
      </c>
      <c r="HX8" s="32" t="s">
        <v>35</v>
      </c>
      <c r="HY8" s="32" t="s">
        <v>35</v>
      </c>
      <c r="HZ8" s="32" t="s">
        <v>35</v>
      </c>
      <c r="IA8" s="32" t="s">
        <v>35</v>
      </c>
      <c r="IB8" s="32" t="s">
        <v>35</v>
      </c>
      <c r="IC8" s="32" t="s">
        <v>35</v>
      </c>
      <c r="ID8" s="32" t="s">
        <v>36</v>
      </c>
      <c r="IE8" s="32" t="s">
        <v>36</v>
      </c>
      <c r="IF8" s="32" t="s">
        <v>36</v>
      </c>
      <c r="IG8" s="32" t="s">
        <v>36</v>
      </c>
      <c r="IH8" s="32" t="s">
        <v>36</v>
      </c>
      <c r="II8" s="32" t="s">
        <v>36</v>
      </c>
      <c r="IJ8" s="32" t="s">
        <v>36</v>
      </c>
      <c r="IK8" s="32" t="s">
        <v>37</v>
      </c>
      <c r="IL8" s="32" t="s">
        <v>37</v>
      </c>
      <c r="IM8" s="32" t="s">
        <v>37</v>
      </c>
      <c r="IN8" s="32" t="s">
        <v>37</v>
      </c>
      <c r="IO8" s="32" t="s">
        <v>37</v>
      </c>
      <c r="IP8" s="32" t="s">
        <v>37</v>
      </c>
      <c r="IQ8" s="32" t="s">
        <v>37</v>
      </c>
      <c r="IR8" s="32" t="s">
        <v>38</v>
      </c>
      <c r="IS8" s="32" t="s">
        <v>38</v>
      </c>
      <c r="IT8" s="32" t="s">
        <v>38</v>
      </c>
      <c r="IU8" s="32" t="s">
        <v>38</v>
      </c>
      <c r="IV8" s="32" t="s">
        <v>38</v>
      </c>
      <c r="IW8" s="32" t="s">
        <v>38</v>
      </c>
      <c r="IX8" s="32" t="s">
        <v>38</v>
      </c>
      <c r="IY8" s="32" t="s">
        <v>39</v>
      </c>
      <c r="IZ8" s="32" t="s">
        <v>39</v>
      </c>
      <c r="JA8" s="32" t="s">
        <v>39</v>
      </c>
      <c r="JB8" s="32" t="s">
        <v>39</v>
      </c>
      <c r="JC8" s="32" t="s">
        <v>39</v>
      </c>
      <c r="JD8" s="32" t="s">
        <v>39</v>
      </c>
      <c r="JE8" s="32" t="s">
        <v>39</v>
      </c>
      <c r="JF8" s="32" t="s">
        <v>40</v>
      </c>
      <c r="JG8" s="32" t="s">
        <v>40</v>
      </c>
      <c r="JH8" s="32" t="s">
        <v>40</v>
      </c>
      <c r="JI8" s="32" t="s">
        <v>40</v>
      </c>
      <c r="JJ8" s="32" t="s">
        <v>40</v>
      </c>
      <c r="JK8" s="32" t="s">
        <v>40</v>
      </c>
      <c r="JL8" s="32" t="s">
        <v>40</v>
      </c>
      <c r="JM8" s="32" t="s">
        <v>41</v>
      </c>
      <c r="JN8" s="32" t="s">
        <v>41</v>
      </c>
      <c r="JO8" s="32" t="s">
        <v>41</v>
      </c>
      <c r="JP8" s="32" t="s">
        <v>41</v>
      </c>
      <c r="JQ8" s="32" t="s">
        <v>41</v>
      </c>
      <c r="JR8" s="32" t="s">
        <v>41</v>
      </c>
      <c r="JS8" s="32" t="s">
        <v>41</v>
      </c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>
      <c r="A9" s="13">
        <f>+SUM(C9:NC9)</f>
        <v>92548.958333333328</v>
      </c>
      <c r="B9" s="14" t="s">
        <v>427</v>
      </c>
      <c r="C9" s="101"/>
      <c r="D9" s="101">
        <v>401.91666666666669</v>
      </c>
      <c r="E9" s="101">
        <v>382.5</v>
      </c>
      <c r="F9" s="101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7">
        <v>489.41666666666674</v>
      </c>
      <c r="GA9" s="7">
        <v>489.41666666666674</v>
      </c>
      <c r="GB9" s="7">
        <v>476.08333333333337</v>
      </c>
      <c r="GC9" s="7">
        <v>466.66666666666669</v>
      </c>
      <c r="GD9" s="7">
        <v>465.5</v>
      </c>
      <c r="GE9" s="7">
        <v>236.33333333333337</v>
      </c>
      <c r="GF9" s="7"/>
      <c r="GG9" s="2">
        <v>413.58333333333331</v>
      </c>
      <c r="GH9" s="2">
        <v>434.16666666666663</v>
      </c>
      <c r="GI9" s="2">
        <v>448.33333333333331</v>
      </c>
      <c r="GJ9" s="2">
        <v>405.83333333333331</v>
      </c>
      <c r="GK9" s="2">
        <v>350.41666666666663</v>
      </c>
      <c r="GL9" s="2">
        <v>262.5</v>
      </c>
      <c r="GM9" s="2">
        <v>60</v>
      </c>
      <c r="GN9" s="3">
        <v>373.08333333333331</v>
      </c>
      <c r="GO9" s="3">
        <v>338.08333333333331</v>
      </c>
      <c r="GP9" s="3">
        <v>50.75</v>
      </c>
      <c r="GQ9" s="3">
        <v>397.16666666666663</v>
      </c>
      <c r="GR9" s="3">
        <v>354.83333333333331</v>
      </c>
      <c r="GS9" s="3">
        <v>232.33333333333331</v>
      </c>
      <c r="GT9" s="3"/>
      <c r="GU9" s="7">
        <v>438.25000000000006</v>
      </c>
      <c r="GV9" s="7">
        <v>460.25000000000006</v>
      </c>
      <c r="GW9" s="7">
        <v>461.41666666666674</v>
      </c>
      <c r="GX9" s="7">
        <v>434.16666666666663</v>
      </c>
      <c r="GY9" s="7">
        <v>457.66666666666674</v>
      </c>
      <c r="GZ9" s="7">
        <v>269.5</v>
      </c>
      <c r="HA9" s="7">
        <v>30</v>
      </c>
      <c r="HB9" s="2">
        <v>455.1666666666668</v>
      </c>
      <c r="HC9" s="2">
        <v>434.4166666666668</v>
      </c>
      <c r="HD9" s="2">
        <v>444.25000000000006</v>
      </c>
      <c r="HE9" s="2">
        <v>430.1666666666668</v>
      </c>
      <c r="HF9" s="2">
        <v>437.41666666666674</v>
      </c>
      <c r="HG9" s="2">
        <v>284.25</v>
      </c>
      <c r="HH9" s="8"/>
      <c r="HI9" s="2">
        <v>421.75</v>
      </c>
      <c r="HJ9" s="2">
        <v>388.66666666666674</v>
      </c>
      <c r="HK9" s="2">
        <v>400.58333333333337</v>
      </c>
      <c r="HL9" s="2">
        <v>402.41666666666674</v>
      </c>
      <c r="HM9" s="2">
        <v>356.75</v>
      </c>
      <c r="HN9" s="2">
        <v>236.66666666666669</v>
      </c>
      <c r="HO9" s="2">
        <v>45</v>
      </c>
      <c r="HP9" s="2">
        <v>385.66666666666669</v>
      </c>
      <c r="HQ9" s="2">
        <v>437.08333333333331</v>
      </c>
      <c r="HR9" s="2">
        <v>444.66666666666663</v>
      </c>
      <c r="HS9" s="2">
        <v>427.00000000000006</v>
      </c>
      <c r="HT9" s="2">
        <v>439.16666666666663</v>
      </c>
      <c r="HU9" s="2">
        <v>343.41666666666669</v>
      </c>
      <c r="HV9" s="20"/>
      <c r="HW9" s="3">
        <v>491.33333333333331</v>
      </c>
      <c r="HX9" s="3">
        <v>518.08333333333326</v>
      </c>
      <c r="HY9" s="3">
        <v>479.50000000000006</v>
      </c>
      <c r="HZ9" s="3">
        <v>477.91666666666669</v>
      </c>
      <c r="IA9" s="3">
        <v>562.58333333333337</v>
      </c>
      <c r="IB9" s="3">
        <v>367.08333333333331</v>
      </c>
      <c r="IC9" s="3">
        <v>250.16666666666669</v>
      </c>
      <c r="ID9" s="3">
        <v>532.75</v>
      </c>
      <c r="IE9" s="3">
        <v>502.49999999999994</v>
      </c>
      <c r="IF9" s="3">
        <v>491.49999999999994</v>
      </c>
      <c r="IG9" s="3">
        <v>467.66666666666669</v>
      </c>
      <c r="IH9" s="3">
        <v>470.5</v>
      </c>
      <c r="II9" s="3">
        <v>305.41666666666663</v>
      </c>
      <c r="IJ9" s="8"/>
      <c r="IK9" s="2">
        <v>500.33333333333337</v>
      </c>
      <c r="IL9" s="2">
        <v>461.91666666666663</v>
      </c>
      <c r="IM9" s="2">
        <v>480.83333333333337</v>
      </c>
      <c r="IN9" s="2">
        <v>504.00000000000006</v>
      </c>
      <c r="IO9" s="2">
        <v>477.5</v>
      </c>
      <c r="IP9" s="2">
        <v>375</v>
      </c>
      <c r="IQ9" s="2">
        <v>140.83333333333331</v>
      </c>
      <c r="IR9" s="7">
        <v>551</v>
      </c>
      <c r="IS9" s="7">
        <v>495.33333333333331</v>
      </c>
      <c r="IT9" s="7">
        <v>508.08333333333331</v>
      </c>
      <c r="IU9" s="7">
        <v>510.16666666666669</v>
      </c>
      <c r="IV9" s="7">
        <v>553.16666666666674</v>
      </c>
      <c r="IW9" s="7">
        <v>351.83333333333337</v>
      </c>
      <c r="IX9" s="8"/>
      <c r="IY9" s="7">
        <v>481</v>
      </c>
      <c r="IZ9" s="7">
        <v>527.25</v>
      </c>
      <c r="JA9" s="7">
        <v>486</v>
      </c>
      <c r="JB9" s="7">
        <v>491.25000000000006</v>
      </c>
      <c r="JC9" s="7">
        <v>454.33333333333331</v>
      </c>
      <c r="JD9" s="7">
        <v>297.83333333333337</v>
      </c>
      <c r="JE9" s="8"/>
      <c r="JF9" s="7">
        <v>462.25</v>
      </c>
      <c r="JG9" s="7">
        <v>497.41666666666669</v>
      </c>
      <c r="JH9" s="7">
        <v>502.83333333333331</v>
      </c>
      <c r="JI9" s="7">
        <v>510.25000000000006</v>
      </c>
      <c r="JJ9" s="7">
        <v>486.91666666666663</v>
      </c>
      <c r="JK9" s="7">
        <v>349.08333333333331</v>
      </c>
      <c r="JL9" s="8"/>
      <c r="JM9" s="7">
        <v>536.41666666666674</v>
      </c>
      <c r="JN9" s="7">
        <v>519.45833333333326</v>
      </c>
      <c r="JO9" s="7">
        <v>541.66666666666674</v>
      </c>
      <c r="JP9" s="7">
        <v>489.83333333333331</v>
      </c>
      <c r="JQ9" s="7">
        <v>462.16666666666663</v>
      </c>
      <c r="JR9" s="7">
        <v>475.5</v>
      </c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>
      <c r="A10" s="15">
        <f>+SUM(C10:NC10)</f>
        <v>2447284</v>
      </c>
      <c r="B10" s="16" t="s">
        <v>423</v>
      </c>
      <c r="C10" s="101"/>
      <c r="D10" s="101">
        <v>9002</v>
      </c>
      <c r="E10" s="101">
        <v>5649</v>
      </c>
      <c r="F10" s="101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1">
        <v>8279</v>
      </c>
      <c r="V10" s="101">
        <v>4866</v>
      </c>
      <c r="W10" s="101">
        <v>8170</v>
      </c>
      <c r="X10" s="101">
        <v>7865</v>
      </c>
      <c r="Y10" s="101">
        <v>6582</v>
      </c>
      <c r="Z10" s="101">
        <v>6165</v>
      </c>
      <c r="AA10" s="8"/>
      <c r="AB10" s="101">
        <v>7561</v>
      </c>
      <c r="AC10" s="101">
        <v>5892</v>
      </c>
      <c r="AD10" s="101">
        <v>7969</v>
      </c>
      <c r="AE10" s="101">
        <v>8088</v>
      </c>
      <c r="AF10" s="101">
        <v>7559</v>
      </c>
      <c r="AG10" s="101">
        <v>7586</v>
      </c>
      <c r="AH10" s="8"/>
      <c r="AI10" s="101">
        <v>9683</v>
      </c>
      <c r="AJ10" s="101">
        <v>5560</v>
      </c>
      <c r="AK10" s="101">
        <v>7197</v>
      </c>
      <c r="AL10" s="101">
        <v>8242</v>
      </c>
      <c r="AM10" s="101">
        <v>6939</v>
      </c>
      <c r="AN10" s="101">
        <v>7672</v>
      </c>
      <c r="AO10" s="8"/>
      <c r="AP10" s="101">
        <v>8159</v>
      </c>
      <c r="AQ10" s="101">
        <v>5270</v>
      </c>
      <c r="AR10" s="101">
        <v>6565</v>
      </c>
      <c r="AS10" s="101">
        <v>6925</v>
      </c>
      <c r="AT10" s="101">
        <v>5753</v>
      </c>
      <c r="AU10" s="101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0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1">
        <v>8722</v>
      </c>
      <c r="BL10" s="101">
        <v>6673</v>
      </c>
      <c r="BM10" s="101">
        <v>8421</v>
      </c>
      <c r="BN10" s="101">
        <v>10165</v>
      </c>
      <c r="BO10" s="101">
        <v>8769</v>
      </c>
      <c r="BP10" s="101">
        <v>9753</v>
      </c>
      <c r="BQ10" s="8"/>
      <c r="BR10" s="101">
        <v>11737</v>
      </c>
      <c r="BS10" s="101">
        <v>7379</v>
      </c>
      <c r="BT10" s="101">
        <v>11239</v>
      </c>
      <c r="BU10" s="101">
        <v>12235</v>
      </c>
      <c r="BV10" s="101">
        <v>10153</v>
      </c>
      <c r="BW10" s="101">
        <v>12320</v>
      </c>
      <c r="BX10" s="8"/>
      <c r="BY10" s="78">
        <v>14586</v>
      </c>
      <c r="BZ10" s="78">
        <v>9037</v>
      </c>
      <c r="CA10" s="190">
        <v>14716</v>
      </c>
      <c r="CB10" s="8"/>
      <c r="CC10" s="8"/>
      <c r="CD10" s="8"/>
      <c r="CE10" s="8"/>
      <c r="CF10" s="101">
        <v>14817</v>
      </c>
      <c r="CG10" s="101">
        <v>22922</v>
      </c>
      <c r="CH10" s="101">
        <v>13721</v>
      </c>
      <c r="CI10" s="101">
        <v>10608</v>
      </c>
      <c r="CJ10" s="101">
        <v>9716</v>
      </c>
      <c r="CK10" s="101">
        <v>10191</v>
      </c>
      <c r="CL10" s="8"/>
      <c r="CM10" s="101">
        <v>11524</v>
      </c>
      <c r="CN10" s="101">
        <v>8820</v>
      </c>
      <c r="CO10" s="101">
        <v>11585</v>
      </c>
      <c r="CP10" s="101">
        <v>10786</v>
      </c>
      <c r="CQ10" s="101">
        <v>10435</v>
      </c>
      <c r="CR10" s="101">
        <v>9696</v>
      </c>
      <c r="CS10" s="8"/>
      <c r="CT10" s="101">
        <v>10046</v>
      </c>
      <c r="CU10" s="101">
        <v>8368</v>
      </c>
      <c r="CV10" s="101">
        <v>10253</v>
      </c>
      <c r="CW10" s="101">
        <v>10282</v>
      </c>
      <c r="CX10" s="101">
        <v>9678</v>
      </c>
      <c r="CY10" s="101">
        <v>9860</v>
      </c>
      <c r="CZ10" s="8"/>
      <c r="DA10" s="101">
        <v>10542</v>
      </c>
      <c r="DB10" s="101">
        <v>8726</v>
      </c>
      <c r="DC10" s="101">
        <v>9955</v>
      </c>
      <c r="DD10" s="101">
        <v>10277</v>
      </c>
      <c r="DE10" s="101">
        <v>10055</v>
      </c>
      <c r="DF10" s="101">
        <v>10442</v>
      </c>
      <c r="DG10" s="8"/>
      <c r="DH10" s="101">
        <v>11256</v>
      </c>
      <c r="DI10" s="101">
        <v>8278</v>
      </c>
      <c r="DJ10" s="101">
        <v>11351</v>
      </c>
      <c r="DK10" s="101">
        <v>11797</v>
      </c>
      <c r="DL10" s="101">
        <v>7557</v>
      </c>
      <c r="DM10" s="101">
        <v>11624</v>
      </c>
      <c r="DN10" s="8"/>
      <c r="DO10" s="101">
        <v>13061</v>
      </c>
      <c r="DP10" s="101">
        <v>9009</v>
      </c>
      <c r="DQ10" s="101">
        <v>11395</v>
      </c>
      <c r="DR10" s="101">
        <v>11404</v>
      </c>
      <c r="DS10" s="101"/>
      <c r="DT10" s="101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0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1">
        <v>13771</v>
      </c>
      <c r="FF10" s="101">
        <v>10621</v>
      </c>
      <c r="FG10" s="101">
        <v>13447</v>
      </c>
      <c r="FH10" s="101">
        <v>13225</v>
      </c>
      <c r="FI10" s="101">
        <v>11574</v>
      </c>
      <c r="FJ10" s="101">
        <v>11856</v>
      </c>
      <c r="FK10" s="8"/>
      <c r="FL10" s="101">
        <v>12066</v>
      </c>
      <c r="FM10" s="101">
        <v>10044</v>
      </c>
      <c r="FN10" s="101">
        <v>13820</v>
      </c>
      <c r="FO10" s="101">
        <v>15874</v>
      </c>
      <c r="FP10" s="101">
        <v>13074</v>
      </c>
      <c r="FQ10" s="101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7">
        <v>12779</v>
      </c>
      <c r="GA10" s="7">
        <v>8969</v>
      </c>
      <c r="GB10" s="7">
        <v>12751</v>
      </c>
      <c r="GC10" s="7">
        <v>12169</v>
      </c>
      <c r="GD10" s="7">
        <v>15088</v>
      </c>
      <c r="GE10" s="7">
        <v>12689</v>
      </c>
      <c r="GF10" s="8"/>
      <c r="GG10" s="101">
        <v>13761</v>
      </c>
      <c r="GH10" s="101">
        <v>8506</v>
      </c>
      <c r="GI10" s="101">
        <v>12564</v>
      </c>
      <c r="GJ10" s="101">
        <v>11818</v>
      </c>
      <c r="GK10" s="101">
        <v>11020</v>
      </c>
      <c r="GL10" s="101">
        <v>10446</v>
      </c>
      <c r="GM10" s="8"/>
      <c r="GN10" s="101">
        <v>11442</v>
      </c>
      <c r="GO10" s="101">
        <v>7876</v>
      </c>
      <c r="GP10" s="101">
        <v>1606</v>
      </c>
      <c r="GQ10" s="101">
        <v>12238</v>
      </c>
      <c r="GR10" s="101">
        <v>12377</v>
      </c>
      <c r="GS10" s="101">
        <v>12960</v>
      </c>
      <c r="GT10" s="8"/>
      <c r="GU10" s="101">
        <v>13920</v>
      </c>
      <c r="GV10" s="101">
        <v>9412</v>
      </c>
      <c r="GW10" s="101">
        <v>10303</v>
      </c>
      <c r="GX10" s="101">
        <v>11275</v>
      </c>
      <c r="GY10" s="101">
        <v>9995</v>
      </c>
      <c r="GZ10" s="101">
        <v>9839</v>
      </c>
      <c r="HA10" s="8"/>
      <c r="HB10" s="101">
        <v>10771</v>
      </c>
      <c r="HC10" s="101">
        <v>9101</v>
      </c>
      <c r="HD10" s="101">
        <v>11975</v>
      </c>
      <c r="HE10" s="101">
        <v>12636</v>
      </c>
      <c r="HF10" s="101">
        <v>11445</v>
      </c>
      <c r="HG10" s="101">
        <v>11202</v>
      </c>
      <c r="HH10" s="8"/>
      <c r="HI10" s="101">
        <v>13634</v>
      </c>
      <c r="HJ10" s="101">
        <v>7721</v>
      </c>
      <c r="HK10" s="101">
        <v>10498</v>
      </c>
      <c r="HL10" s="101">
        <v>10570</v>
      </c>
      <c r="HM10" s="101">
        <v>10398</v>
      </c>
      <c r="HN10" s="101">
        <v>12082</v>
      </c>
      <c r="HO10" s="8"/>
      <c r="HP10" s="101">
        <v>10703</v>
      </c>
      <c r="HQ10" s="101">
        <v>12010</v>
      </c>
      <c r="HR10" s="101">
        <v>10116</v>
      </c>
      <c r="HS10" s="101">
        <v>10955</v>
      </c>
      <c r="HT10" s="101">
        <v>12460</v>
      </c>
      <c r="HU10" s="101">
        <v>9408</v>
      </c>
      <c r="HV10" s="8"/>
      <c r="HW10" s="101">
        <v>13363</v>
      </c>
      <c r="HX10" s="101">
        <v>14153</v>
      </c>
      <c r="HY10" s="101">
        <v>13365</v>
      </c>
      <c r="HZ10" s="101">
        <v>14556</v>
      </c>
      <c r="IA10" s="101">
        <v>16750</v>
      </c>
      <c r="IB10" s="101">
        <v>15283</v>
      </c>
      <c r="IC10" s="101">
        <v>2505</v>
      </c>
      <c r="ID10" s="101">
        <v>12206</v>
      </c>
      <c r="IE10" s="101">
        <v>13124</v>
      </c>
      <c r="IF10" s="101">
        <v>14983</v>
      </c>
      <c r="IG10" s="101">
        <v>15210</v>
      </c>
      <c r="IH10" s="101">
        <v>14735</v>
      </c>
      <c r="II10" s="101">
        <v>12564</v>
      </c>
      <c r="IJ10" s="8"/>
      <c r="IK10" s="78">
        <v>14391</v>
      </c>
      <c r="IL10" s="78">
        <v>13956</v>
      </c>
      <c r="IM10" s="78">
        <v>13326</v>
      </c>
      <c r="IN10" s="78">
        <v>12997</v>
      </c>
      <c r="IO10" s="78">
        <v>11667</v>
      </c>
      <c r="IP10" s="78">
        <v>10577</v>
      </c>
      <c r="IQ10" s="8"/>
      <c r="IR10" s="78">
        <v>12252</v>
      </c>
      <c r="IS10" s="78">
        <v>9192</v>
      </c>
      <c r="IT10" s="78">
        <v>12637</v>
      </c>
      <c r="IU10" s="78">
        <v>13718</v>
      </c>
      <c r="IV10" s="78">
        <v>12951</v>
      </c>
      <c r="IW10" s="78">
        <v>12395</v>
      </c>
      <c r="IX10" s="8"/>
      <c r="IY10" s="78">
        <v>13659</v>
      </c>
      <c r="IZ10" s="78">
        <v>9783</v>
      </c>
      <c r="JA10" s="78">
        <v>11269</v>
      </c>
      <c r="JB10" s="78">
        <v>15789</v>
      </c>
      <c r="JC10" s="78">
        <v>14087</v>
      </c>
      <c r="JD10" s="78">
        <v>10983</v>
      </c>
      <c r="JE10" s="8"/>
      <c r="JF10" s="78">
        <v>14029</v>
      </c>
      <c r="JG10" s="78">
        <v>13526</v>
      </c>
      <c r="JH10" s="78">
        <v>13296</v>
      </c>
      <c r="JI10" s="78">
        <v>15166</v>
      </c>
      <c r="JJ10" s="78">
        <v>11757</v>
      </c>
      <c r="JK10" s="78">
        <v>12212</v>
      </c>
      <c r="JL10" s="78"/>
      <c r="JM10" s="78">
        <v>12539</v>
      </c>
      <c r="JN10" s="78">
        <v>10623</v>
      </c>
      <c r="JO10" s="78">
        <v>10190</v>
      </c>
      <c r="JP10" s="78">
        <v>10818</v>
      </c>
      <c r="JQ10" s="78">
        <v>13172</v>
      </c>
      <c r="JR10" s="78">
        <v>14268</v>
      </c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>
      <c r="A11" s="17">
        <f>+A10/A9</f>
        <v>26.443128524317085</v>
      </c>
      <c r="B11" s="18" t="s">
        <v>424</v>
      </c>
      <c r="C11" s="101"/>
      <c r="D11" s="101">
        <f t="shared" ref="D11:BO11" si="13">+IFERROR(D10/D9,"")</f>
        <v>22.397677793904208</v>
      </c>
      <c r="E11" s="101">
        <f t="shared" si="13"/>
        <v>14.768627450980393</v>
      </c>
      <c r="F11" s="101"/>
      <c r="G11" s="101">
        <f t="shared" si="13"/>
        <v>18.132985658409385</v>
      </c>
      <c r="H11" s="101">
        <f t="shared" si="13"/>
        <v>12.719339123067147</v>
      </c>
      <c r="I11" s="101">
        <f t="shared" si="13"/>
        <v>21.066944734098016</v>
      </c>
      <c r="J11" s="101">
        <f t="shared" si="13"/>
        <v>21.799822852081487</v>
      </c>
      <c r="K11" s="101">
        <f t="shared" si="13"/>
        <v>22.9375</v>
      </c>
      <c r="L11" s="101">
        <f t="shared" si="13"/>
        <v>27.322500000000005</v>
      </c>
      <c r="M11" s="101"/>
      <c r="N11" s="101">
        <f t="shared" si="13"/>
        <v>29.17988064791134</v>
      </c>
      <c r="O11" s="101">
        <f t="shared" si="13"/>
        <v>15.007915567282321</v>
      </c>
      <c r="P11" s="101">
        <f t="shared" si="13"/>
        <v>18.653044203502919</v>
      </c>
      <c r="Q11" s="101">
        <f t="shared" si="13"/>
        <v>20.121863799283155</v>
      </c>
      <c r="R11" s="101">
        <f t="shared" si="13"/>
        <v>20.880152187698162</v>
      </c>
      <c r="S11" s="101">
        <f t="shared" si="13"/>
        <v>33.643421052631581</v>
      </c>
      <c r="T11" s="101" t="str">
        <f t="shared" si="13"/>
        <v/>
      </c>
      <c r="U11" s="101">
        <f t="shared" si="13"/>
        <v>26.450479233226837</v>
      </c>
      <c r="V11" s="101">
        <f t="shared" si="13"/>
        <v>14.023054755043228</v>
      </c>
      <c r="W11" s="101">
        <f t="shared" si="13"/>
        <v>19.193422083007047</v>
      </c>
      <c r="X11" s="101">
        <f t="shared" si="13"/>
        <v>15.735245081693897</v>
      </c>
      <c r="Y11" s="101">
        <f t="shared" si="13"/>
        <v>17.548100422128414</v>
      </c>
      <c r="Z11" s="101">
        <f t="shared" si="13"/>
        <v>22.242934455802768</v>
      </c>
      <c r="AA11" s="101" t="str">
        <f t="shared" si="13"/>
        <v/>
      </c>
      <c r="AB11" s="101">
        <f t="shared" si="13"/>
        <v>16.090086894839509</v>
      </c>
      <c r="AC11" s="101">
        <f t="shared" si="13"/>
        <v>13.159128978224453</v>
      </c>
      <c r="AD11" s="101">
        <f t="shared" si="13"/>
        <v>18.739564961787185</v>
      </c>
      <c r="AE11" s="101">
        <f t="shared" si="13"/>
        <v>18.371379897785349</v>
      </c>
      <c r="AF11" s="101">
        <f t="shared" si="13"/>
        <v>17.156799697370907</v>
      </c>
      <c r="AG11" s="101">
        <f t="shared" si="13"/>
        <v>21.556239640066302</v>
      </c>
      <c r="AH11" s="101" t="str">
        <f t="shared" si="13"/>
        <v/>
      </c>
      <c r="AI11" s="101">
        <f t="shared" si="13"/>
        <v>22.208715596330276</v>
      </c>
      <c r="AJ11" s="101">
        <f t="shared" si="13"/>
        <v>12.380775654110224</v>
      </c>
      <c r="AK11" s="101">
        <f t="shared" si="13"/>
        <v>16.037883008356545</v>
      </c>
      <c r="AL11" s="101">
        <f t="shared" si="13"/>
        <v>17.523742026931252</v>
      </c>
      <c r="AM11" s="101">
        <f t="shared" si="13"/>
        <v>15.211545487760322</v>
      </c>
      <c r="AN11" s="101">
        <f t="shared" si="13"/>
        <v>24.949593495934959</v>
      </c>
      <c r="AO11" s="101" t="str">
        <f t="shared" si="13"/>
        <v/>
      </c>
      <c r="AP11" s="101">
        <f t="shared" si="13"/>
        <v>20.026181223154019</v>
      </c>
      <c r="AQ11" s="101">
        <f t="shared" si="13"/>
        <v>12.068702290076336</v>
      </c>
      <c r="AR11" s="101">
        <f t="shared" si="13"/>
        <v>16.804607508532424</v>
      </c>
      <c r="AS11" s="101">
        <f t="shared" si="13"/>
        <v>17.148163433759802</v>
      </c>
      <c r="AT11" s="101">
        <f t="shared" si="13"/>
        <v>14.592263792010145</v>
      </c>
      <c r="AU11" s="101">
        <f t="shared" si="13"/>
        <v>24.15061186068403</v>
      </c>
      <c r="AV11" s="101" t="str">
        <f t="shared" si="13"/>
        <v/>
      </c>
      <c r="AW11" s="101">
        <f t="shared" si="13"/>
        <v>15.238526912181303</v>
      </c>
      <c r="AX11" s="101">
        <f t="shared" si="13"/>
        <v>11.838647714175952</v>
      </c>
      <c r="AY11" s="101">
        <f t="shared" si="13"/>
        <v>13.885552407932011</v>
      </c>
      <c r="AZ11" s="101">
        <f t="shared" si="13"/>
        <v>15.611583011583011</v>
      </c>
      <c r="BA11" s="101">
        <f t="shared" si="13"/>
        <v>13.929210134128168</v>
      </c>
      <c r="BB11" s="101">
        <f t="shared" si="13"/>
        <v>24.425142857142859</v>
      </c>
      <c r="BC11" s="101" t="str">
        <f t="shared" si="13"/>
        <v/>
      </c>
      <c r="BD11" s="101">
        <f t="shared" si="13"/>
        <v>17.141203703703709</v>
      </c>
      <c r="BE11" s="101">
        <f t="shared" si="13"/>
        <v>13.820895522388064</v>
      </c>
      <c r="BF11" s="101">
        <f t="shared" si="13"/>
        <v>19.157983547774737</v>
      </c>
      <c r="BG11" s="101">
        <f t="shared" si="13"/>
        <v>21.704857076458286</v>
      </c>
      <c r="BH11" s="101">
        <f t="shared" si="13"/>
        <v>22.205389657683906</v>
      </c>
      <c r="BI11" s="101">
        <f t="shared" si="13"/>
        <v>31.871409028727776</v>
      </c>
      <c r="BJ11" s="101" t="str">
        <f t="shared" si="13"/>
        <v/>
      </c>
      <c r="BK11" s="101">
        <f t="shared" si="13"/>
        <v>22.972783143107993</v>
      </c>
      <c r="BL11" s="101">
        <f t="shared" si="13"/>
        <v>16.72780447044078</v>
      </c>
      <c r="BM11" s="101">
        <f t="shared" si="13"/>
        <v>21.207135362014693</v>
      </c>
      <c r="BN11" s="101">
        <f t="shared" si="13"/>
        <v>23.530092592592595</v>
      </c>
      <c r="BO11" s="101">
        <f t="shared" si="13"/>
        <v>21.899687825182102</v>
      </c>
      <c r="BP11" s="101">
        <f t="shared" ref="BP11:EB11" si="14">+IFERROR(BP10/BP9,"")</f>
        <v>31.811905409078548</v>
      </c>
      <c r="BQ11" s="101" t="str">
        <f t="shared" si="14"/>
        <v/>
      </c>
      <c r="BR11" s="101">
        <f t="shared" si="14"/>
        <v>28.32743362831858</v>
      </c>
      <c r="BS11" s="101">
        <f t="shared" si="14"/>
        <v>19.844912595248765</v>
      </c>
      <c r="BT11" s="101">
        <f t="shared" si="14"/>
        <v>28.719761499148209</v>
      </c>
      <c r="BU11" s="101">
        <f t="shared" si="14"/>
        <v>30.929007794396462</v>
      </c>
      <c r="BV11" s="101">
        <f t="shared" si="14"/>
        <v>24.854345165238676</v>
      </c>
      <c r="BW11" s="101">
        <f t="shared" si="14"/>
        <v>40.504109589041093</v>
      </c>
      <c r="BX11" s="101">
        <f t="shared" si="14"/>
        <v>0</v>
      </c>
      <c r="BY11" s="101">
        <f t="shared" si="14"/>
        <v>32.618710398807309</v>
      </c>
      <c r="BZ11" s="101">
        <f t="shared" si="14"/>
        <v>20.910913999228693</v>
      </c>
      <c r="CA11" s="101">
        <f t="shared" si="14"/>
        <v>32.05518242875295</v>
      </c>
      <c r="CB11" s="101" t="str">
        <f t="shared" si="14"/>
        <v/>
      </c>
      <c r="CC11" s="101" t="str">
        <f t="shared" si="14"/>
        <v/>
      </c>
      <c r="CD11" s="101" t="str">
        <f t="shared" si="14"/>
        <v/>
      </c>
      <c r="CE11" s="101" t="str">
        <f t="shared" si="14"/>
        <v/>
      </c>
      <c r="CF11" s="101">
        <f t="shared" si="14"/>
        <v>35.320619785458881</v>
      </c>
      <c r="CG11" s="101">
        <f t="shared" si="14"/>
        <v>53.245063879210221</v>
      </c>
      <c r="CH11" s="101">
        <f t="shared" si="14"/>
        <v>32.707985697258643</v>
      </c>
      <c r="CI11" s="101">
        <f t="shared" si="14"/>
        <v>25.267169511710993</v>
      </c>
      <c r="CJ11" s="101">
        <f t="shared" si="14"/>
        <v>26.336571041337248</v>
      </c>
      <c r="CK11" s="101">
        <f t="shared" si="14"/>
        <v>30.881818181818183</v>
      </c>
      <c r="CL11" s="101" t="str">
        <f t="shared" si="14"/>
        <v/>
      </c>
      <c r="CM11" s="101">
        <f t="shared" si="14"/>
        <v>28.571900826446281</v>
      </c>
      <c r="CN11" s="101">
        <f t="shared" si="14"/>
        <v>21.037567084078717</v>
      </c>
      <c r="CO11" s="101">
        <f t="shared" si="14"/>
        <v>26.652607361963188</v>
      </c>
      <c r="CP11" s="101">
        <f t="shared" si="14"/>
        <v>26.70903838217086</v>
      </c>
      <c r="CQ11" s="101">
        <f t="shared" si="14"/>
        <v>26.36765634870499</v>
      </c>
      <c r="CR11" s="101">
        <f t="shared" si="14"/>
        <v>37.642186994500157</v>
      </c>
      <c r="CS11" s="101" t="str">
        <f t="shared" si="14"/>
        <v/>
      </c>
      <c r="CT11" s="101">
        <f t="shared" si="14"/>
        <v>23.380915438324283</v>
      </c>
      <c r="CU11" s="101">
        <f t="shared" si="14"/>
        <v>21.283594743535396</v>
      </c>
      <c r="CV11" s="101">
        <f t="shared" si="14"/>
        <v>25.431169904919386</v>
      </c>
      <c r="CW11" s="101">
        <f t="shared" si="14"/>
        <v>24.5833831440526</v>
      </c>
      <c r="CX11" s="101">
        <f t="shared" si="14"/>
        <v>24.547875713379835</v>
      </c>
      <c r="CY11" s="101">
        <f t="shared" si="14"/>
        <v>39.878665318503536</v>
      </c>
      <c r="CZ11" s="101" t="str">
        <f t="shared" si="14"/>
        <v/>
      </c>
      <c r="DA11" s="101">
        <f t="shared" si="14"/>
        <v>24.530541012216403</v>
      </c>
      <c r="DB11" s="101">
        <f t="shared" si="14"/>
        <v>30.888495575221246</v>
      </c>
      <c r="DC11" s="101">
        <f t="shared" si="14"/>
        <v>25.784588819339522</v>
      </c>
      <c r="DD11" s="101">
        <f t="shared" si="14"/>
        <v>28.74015381030063</v>
      </c>
      <c r="DE11" s="101">
        <f t="shared" si="14"/>
        <v>25.787561444753155</v>
      </c>
      <c r="DF11" s="101">
        <f t="shared" si="14"/>
        <v>37.62882882882883</v>
      </c>
      <c r="DG11" s="101" t="str">
        <f t="shared" si="14"/>
        <v/>
      </c>
      <c r="DH11" s="101">
        <f t="shared" si="14"/>
        <v>24.545157186988913</v>
      </c>
      <c r="DI11" s="101">
        <f t="shared" si="14"/>
        <v>21.693819611268836</v>
      </c>
      <c r="DJ11" s="101">
        <f t="shared" si="14"/>
        <v>28.652082456878418</v>
      </c>
      <c r="DK11" s="101">
        <f t="shared" si="14"/>
        <v>49.205422314911367</v>
      </c>
      <c r="DL11" s="101">
        <f t="shared" si="14"/>
        <v>17.64966913195796</v>
      </c>
      <c r="DM11" s="101">
        <f t="shared" si="14"/>
        <v>34.501113034875097</v>
      </c>
      <c r="DN11" s="101" t="str">
        <f t="shared" si="14"/>
        <v/>
      </c>
      <c r="DO11" s="101">
        <f t="shared" si="14"/>
        <v>31.70145631067961</v>
      </c>
      <c r="DP11" s="101">
        <f t="shared" si="14"/>
        <v>22.499063475546308</v>
      </c>
      <c r="DQ11" s="101">
        <f t="shared" si="14"/>
        <v>28.158978583196046</v>
      </c>
      <c r="DR11" s="101">
        <f t="shared" si="14"/>
        <v>30.182620202911338</v>
      </c>
      <c r="DS11" s="101" t="str">
        <f t="shared" si="14"/>
        <v/>
      </c>
      <c r="DT11" s="101">
        <f t="shared" si="14"/>
        <v>46.942986425339363</v>
      </c>
      <c r="DU11" s="101" t="str">
        <f t="shared" si="14"/>
        <v/>
      </c>
      <c r="DV11" s="101">
        <f t="shared" si="14"/>
        <v>24.453526697429137</v>
      </c>
      <c r="DW11" s="101">
        <f t="shared" si="14"/>
        <v>18.922695328648203</v>
      </c>
      <c r="DX11" s="101">
        <f t="shared" si="14"/>
        <v>27.890596925534041</v>
      </c>
      <c r="DY11" s="101">
        <f t="shared" si="14"/>
        <v>27.709337349397593</v>
      </c>
      <c r="DZ11" s="101">
        <f t="shared" si="14"/>
        <v>28.445396145610282</v>
      </c>
      <c r="EA11" s="101">
        <f t="shared" si="14"/>
        <v>42.135367016205912</v>
      </c>
      <c r="EB11" s="101" t="str">
        <f t="shared" si="14"/>
        <v/>
      </c>
      <c r="EC11" s="101">
        <f t="shared" ref="EC11:GN11" si="15">+IFERROR(EC10/EC9,"")</f>
        <v>25.074285714285718</v>
      </c>
      <c r="ED11" s="101">
        <f t="shared" si="15"/>
        <v>20.208447613823367</v>
      </c>
      <c r="EE11" s="101">
        <f t="shared" si="15"/>
        <v>26.782672811059911</v>
      </c>
      <c r="EF11" s="101">
        <f t="shared" si="15"/>
        <v>26.301030927835054</v>
      </c>
      <c r="EG11" s="101">
        <f t="shared" si="15"/>
        <v>23.698993110757815</v>
      </c>
      <c r="EH11" s="101">
        <f t="shared" si="15"/>
        <v>37.049180327868854</v>
      </c>
      <c r="EI11" s="101" t="str">
        <f t="shared" si="15"/>
        <v/>
      </c>
      <c r="EJ11" s="101">
        <f t="shared" si="15"/>
        <v>32.728314864348491</v>
      </c>
      <c r="EK11" s="101">
        <f t="shared" si="15"/>
        <v>37.6150234741784</v>
      </c>
      <c r="EL11" s="101">
        <f t="shared" si="15"/>
        <v>23.01211771494518</v>
      </c>
      <c r="EM11" s="101">
        <f t="shared" si="15"/>
        <v>31.820917431192658</v>
      </c>
      <c r="EN11" s="101">
        <f t="shared" si="15"/>
        <v>34.159344750558446</v>
      </c>
      <c r="EO11" s="101">
        <f t="shared" si="15"/>
        <v>57.661572052401738</v>
      </c>
      <c r="EP11" s="101" t="str">
        <f t="shared" si="15"/>
        <v/>
      </c>
      <c r="EQ11" s="101">
        <f t="shared" si="15"/>
        <v>37.960352422907484</v>
      </c>
      <c r="ER11" s="101" t="str">
        <f t="shared" si="15"/>
        <v/>
      </c>
      <c r="ES11" s="101" t="str">
        <f t="shared" si="15"/>
        <v/>
      </c>
      <c r="ET11" s="101" t="str">
        <f t="shared" si="15"/>
        <v/>
      </c>
      <c r="EU11" s="101" t="str">
        <f t="shared" si="15"/>
        <v/>
      </c>
      <c r="EV11" s="101" t="str">
        <f t="shared" si="15"/>
        <v/>
      </c>
      <c r="EW11" s="101" t="str">
        <f t="shared" si="15"/>
        <v/>
      </c>
      <c r="EX11" s="101">
        <f t="shared" si="15"/>
        <v>41.399229781771503</v>
      </c>
      <c r="EY11" s="101">
        <f t="shared" si="15"/>
        <v>38.08071056188453</v>
      </c>
      <c r="EZ11" s="101">
        <f t="shared" si="15"/>
        <v>31.769277474195508</v>
      </c>
      <c r="FA11" s="101">
        <f t="shared" si="15"/>
        <v>31.004355942750468</v>
      </c>
      <c r="FB11" s="101">
        <f t="shared" si="15"/>
        <v>32.918236206514507</v>
      </c>
      <c r="FC11" s="101">
        <f t="shared" si="15"/>
        <v>52.943692088382043</v>
      </c>
      <c r="FD11" s="101" t="str">
        <f t="shared" si="15"/>
        <v/>
      </c>
      <c r="FE11" s="101">
        <f t="shared" si="15"/>
        <v>32.26947861745753</v>
      </c>
      <c r="FF11" s="101">
        <f t="shared" si="15"/>
        <v>28.228571428571428</v>
      </c>
      <c r="FG11" s="101">
        <f t="shared" si="15"/>
        <v>32.125024885526578</v>
      </c>
      <c r="FH11" s="101">
        <f t="shared" si="15"/>
        <v>32.640888523241465</v>
      </c>
      <c r="FI11" s="101">
        <f t="shared" si="15"/>
        <v>28.235007115267329</v>
      </c>
      <c r="FJ11" s="101">
        <f t="shared" si="15"/>
        <v>43.911111111111111</v>
      </c>
      <c r="FK11" s="101" t="str">
        <f t="shared" si="15"/>
        <v/>
      </c>
      <c r="FL11" s="101">
        <f t="shared" si="15"/>
        <v>29.345764085934334</v>
      </c>
      <c r="FM11" s="101">
        <f t="shared" si="15"/>
        <v>24.423100303951369</v>
      </c>
      <c r="FN11" s="101">
        <f t="shared" si="15"/>
        <v>32.613569321533923</v>
      </c>
      <c r="FO11" s="101">
        <f t="shared" si="15"/>
        <v>39.834378920953576</v>
      </c>
      <c r="FP11" s="101">
        <f t="shared" si="15"/>
        <v>34.965010028972593</v>
      </c>
      <c r="FQ11" s="101">
        <f t="shared" si="15"/>
        <v>49.913793103448278</v>
      </c>
      <c r="FR11" s="101" t="str">
        <f t="shared" si="15"/>
        <v/>
      </c>
      <c r="FS11" s="101">
        <f t="shared" si="15"/>
        <v>31.572340425531916</v>
      </c>
      <c r="FT11" s="101">
        <f t="shared" si="15"/>
        <v>23.437980241492866</v>
      </c>
      <c r="FU11" s="101">
        <f t="shared" si="15"/>
        <v>27.81008249312557</v>
      </c>
      <c r="FV11" s="101">
        <f t="shared" si="15"/>
        <v>26.766306373462541</v>
      </c>
      <c r="FW11" s="101">
        <f t="shared" si="15"/>
        <v>28.69172932330827</v>
      </c>
      <c r="FX11" s="101">
        <f t="shared" si="15"/>
        <v>44.274081429990069</v>
      </c>
      <c r="FY11" s="101" t="str">
        <f t="shared" si="15"/>
        <v/>
      </c>
      <c r="FZ11" s="101">
        <f t="shared" si="15"/>
        <v>26.110675974799928</v>
      </c>
      <c r="GA11" s="101">
        <f t="shared" si="15"/>
        <v>18.325898178103181</v>
      </c>
      <c r="GB11" s="101">
        <f t="shared" si="15"/>
        <v>26.783126203395764</v>
      </c>
      <c r="GC11" s="101">
        <f t="shared" si="15"/>
        <v>26.076428571428572</v>
      </c>
      <c r="GD11" s="101">
        <f t="shared" si="15"/>
        <v>32.412459720730396</v>
      </c>
      <c r="GE11" s="101">
        <f t="shared" si="15"/>
        <v>53.691114245416074</v>
      </c>
      <c r="GF11" s="101" t="str">
        <f t="shared" si="15"/>
        <v/>
      </c>
      <c r="GG11" s="101">
        <f t="shared" si="15"/>
        <v>33.272617368527101</v>
      </c>
      <c r="GH11" s="101">
        <f t="shared" si="15"/>
        <v>19.591554702495202</v>
      </c>
      <c r="GI11" s="101">
        <f t="shared" si="15"/>
        <v>28.023791821561339</v>
      </c>
      <c r="GJ11" s="101">
        <f t="shared" si="15"/>
        <v>29.120328542094459</v>
      </c>
      <c r="GK11" s="101">
        <f t="shared" si="15"/>
        <v>31.448275862068968</v>
      </c>
      <c r="GL11" s="101">
        <f t="shared" si="15"/>
        <v>39.794285714285714</v>
      </c>
      <c r="GM11" s="101"/>
      <c r="GN11" s="101">
        <f t="shared" si="15"/>
        <v>30.668751396024124</v>
      </c>
      <c r="GO11" s="101">
        <f t="shared" ref="GO11:IZ11" si="16">+IFERROR(GO10/GO9,"")</f>
        <v>23.296031550406706</v>
      </c>
      <c r="GP11" s="101">
        <f t="shared" si="16"/>
        <v>31.645320197044335</v>
      </c>
      <c r="GQ11" s="101">
        <f t="shared" si="16"/>
        <v>30.813260595887538</v>
      </c>
      <c r="GR11" s="101">
        <f t="shared" si="16"/>
        <v>34.881164866134334</v>
      </c>
      <c r="GS11" s="101">
        <f t="shared" si="16"/>
        <v>55.781922525107611</v>
      </c>
      <c r="GT11" s="101" t="str">
        <f t="shared" si="16"/>
        <v/>
      </c>
      <c r="GU11" s="101">
        <f t="shared" si="16"/>
        <v>31.762692527096402</v>
      </c>
      <c r="GV11" s="101">
        <f t="shared" si="16"/>
        <v>20.449755567626287</v>
      </c>
      <c r="GW11" s="101">
        <f t="shared" si="16"/>
        <v>22.329059057251214</v>
      </c>
      <c r="GX11" s="101">
        <f t="shared" si="16"/>
        <v>25.969289827255281</v>
      </c>
      <c r="GY11" s="101">
        <f t="shared" si="16"/>
        <v>21.839038601602326</v>
      </c>
      <c r="GZ11" s="101">
        <f t="shared" si="16"/>
        <v>36.508348794063082</v>
      </c>
      <c r="HA11" s="101"/>
      <c r="HB11" s="101">
        <f t="shared" si="16"/>
        <v>23.663859392164035</v>
      </c>
      <c r="HC11" s="101">
        <f t="shared" si="16"/>
        <v>20.949932860157293</v>
      </c>
      <c r="HD11" s="101">
        <f t="shared" si="16"/>
        <v>26.955543050084408</v>
      </c>
      <c r="HE11" s="101">
        <f t="shared" si="16"/>
        <v>29.374660984114676</v>
      </c>
      <c r="HF11" s="101">
        <f t="shared" si="16"/>
        <v>26.164983806439317</v>
      </c>
      <c r="HG11" s="101">
        <f t="shared" si="16"/>
        <v>39.4089709762533</v>
      </c>
      <c r="HH11" s="101" t="str">
        <f t="shared" si="16"/>
        <v/>
      </c>
      <c r="HI11" s="101">
        <f t="shared" si="16"/>
        <v>32.327208061647895</v>
      </c>
      <c r="HJ11" s="101">
        <f t="shared" si="16"/>
        <v>19.86535162950257</v>
      </c>
      <c r="HK11" s="101">
        <f t="shared" si="16"/>
        <v>26.206781776575824</v>
      </c>
      <c r="HL11" s="101">
        <f t="shared" si="16"/>
        <v>26.266307724166488</v>
      </c>
      <c r="HM11" s="101">
        <f t="shared" si="16"/>
        <v>29.146461107217938</v>
      </c>
      <c r="HN11" s="101">
        <f t="shared" si="16"/>
        <v>51.050704225352106</v>
      </c>
      <c r="HO11" s="101">
        <f t="shared" si="16"/>
        <v>0</v>
      </c>
      <c r="HP11" s="101">
        <f t="shared" si="16"/>
        <v>27.751944684528954</v>
      </c>
      <c r="HQ11" s="101">
        <f t="shared" si="16"/>
        <v>27.477597712106771</v>
      </c>
      <c r="HR11" s="101">
        <f t="shared" si="16"/>
        <v>22.749625187406298</v>
      </c>
      <c r="HS11" s="101">
        <f t="shared" si="16"/>
        <v>25.655737704918028</v>
      </c>
      <c r="HT11" s="101">
        <f t="shared" si="16"/>
        <v>28.371916508538902</v>
      </c>
      <c r="HU11" s="101">
        <f t="shared" si="16"/>
        <v>27.395292404756127</v>
      </c>
      <c r="HV11" s="101" t="str">
        <f t="shared" si="16"/>
        <v/>
      </c>
      <c r="HW11" s="101">
        <f t="shared" si="16"/>
        <v>27.197421981004073</v>
      </c>
      <c r="HX11" s="101">
        <f t="shared" si="16"/>
        <v>27.3179990349043</v>
      </c>
      <c r="HY11" s="101">
        <f t="shared" si="16"/>
        <v>27.872784150156409</v>
      </c>
      <c r="HZ11" s="101">
        <f t="shared" si="16"/>
        <v>30.457192676547514</v>
      </c>
      <c r="IA11" s="101">
        <f t="shared" si="16"/>
        <v>29.773366908606132</v>
      </c>
      <c r="IB11" s="101">
        <f t="shared" si="16"/>
        <v>41.633598183881958</v>
      </c>
      <c r="IC11" s="101">
        <f t="shared" si="16"/>
        <v>10.013324450366422</v>
      </c>
      <c r="ID11" s="101">
        <f t="shared" si="16"/>
        <v>22.911309244486155</v>
      </c>
      <c r="IE11" s="101">
        <f t="shared" si="16"/>
        <v>26.117412935323387</v>
      </c>
      <c r="IF11" s="101">
        <f t="shared" si="16"/>
        <v>30.484231943031538</v>
      </c>
      <c r="IG11" s="101">
        <f t="shared" si="16"/>
        <v>32.523164647184601</v>
      </c>
      <c r="IH11" s="101">
        <f t="shared" si="16"/>
        <v>31.317747077577046</v>
      </c>
      <c r="II11" s="101">
        <f t="shared" si="16"/>
        <v>41.137244201909965</v>
      </c>
      <c r="IJ11" s="101" t="str">
        <f t="shared" si="16"/>
        <v/>
      </c>
      <c r="IK11" s="101">
        <f t="shared" si="16"/>
        <v>28.762824783477679</v>
      </c>
      <c r="IL11" s="101">
        <f t="shared" si="16"/>
        <v>30.213241926754467</v>
      </c>
      <c r="IM11" s="101">
        <f t="shared" si="16"/>
        <v>27.714384748700173</v>
      </c>
      <c r="IN11" s="101">
        <f t="shared" si="16"/>
        <v>25.787698412698411</v>
      </c>
      <c r="IO11" s="101">
        <f t="shared" si="16"/>
        <v>24.433507853403142</v>
      </c>
      <c r="IP11" s="101">
        <f t="shared" si="16"/>
        <v>28.205333333333332</v>
      </c>
      <c r="IQ11" s="101">
        <f t="shared" si="16"/>
        <v>0</v>
      </c>
      <c r="IR11" s="101">
        <f t="shared" si="16"/>
        <v>22.235934664246823</v>
      </c>
      <c r="IS11" s="101">
        <f t="shared" si="16"/>
        <v>18.557200538358011</v>
      </c>
      <c r="IT11" s="101">
        <f t="shared" si="16"/>
        <v>24.871904215187797</v>
      </c>
      <c r="IU11" s="101">
        <f t="shared" si="16"/>
        <v>26.889251878471086</v>
      </c>
      <c r="IV11" s="101">
        <f t="shared" si="16"/>
        <v>23.412473636637539</v>
      </c>
      <c r="IW11" s="101">
        <f t="shared" si="16"/>
        <v>35.229748934154422</v>
      </c>
      <c r="IX11" s="101" t="str">
        <f t="shared" si="16"/>
        <v/>
      </c>
      <c r="IY11" s="101">
        <f t="shared" si="16"/>
        <v>28.397089397089395</v>
      </c>
      <c r="IZ11" s="101">
        <f t="shared" si="16"/>
        <v>18.554765291607396</v>
      </c>
      <c r="JA11" s="101">
        <f t="shared" ref="JA11:JS11" si="17">+IFERROR(JA10/JA9,"")</f>
        <v>23.18724279835391</v>
      </c>
      <c r="JB11" s="101">
        <f t="shared" si="17"/>
        <v>32.140458015267171</v>
      </c>
      <c r="JC11" s="101">
        <f t="shared" si="17"/>
        <v>31.00586940572267</v>
      </c>
      <c r="JD11" s="101">
        <f t="shared" si="17"/>
        <v>36.876329043088973</v>
      </c>
      <c r="JE11" s="101" t="str">
        <f t="shared" si="17"/>
        <v/>
      </c>
      <c r="JF11" s="101">
        <f t="shared" si="17"/>
        <v>30.349378042184966</v>
      </c>
      <c r="JG11" s="101">
        <f t="shared" si="17"/>
        <v>27.192494555201876</v>
      </c>
      <c r="JH11" s="101">
        <f t="shared" si="17"/>
        <v>26.442161087172689</v>
      </c>
      <c r="JI11" s="101">
        <f t="shared" si="17"/>
        <v>29.722684958353746</v>
      </c>
      <c r="JJ11" s="101">
        <f t="shared" si="17"/>
        <v>24.145815505733356</v>
      </c>
      <c r="JK11" s="101">
        <f t="shared" si="17"/>
        <v>34.983050847457626</v>
      </c>
      <c r="JL11" s="101" t="str">
        <f t="shared" si="17"/>
        <v/>
      </c>
      <c r="JM11" s="101">
        <f t="shared" si="17"/>
        <v>23.375485474599966</v>
      </c>
      <c r="JN11" s="101">
        <f t="shared" si="17"/>
        <v>20.450148391754233</v>
      </c>
      <c r="JO11" s="101">
        <f t="shared" si="17"/>
        <v>18.812307692307691</v>
      </c>
      <c r="JP11" s="101">
        <f t="shared" si="17"/>
        <v>22.085062946580472</v>
      </c>
      <c r="JQ11" s="101">
        <f t="shared" si="17"/>
        <v>28.500540930400291</v>
      </c>
      <c r="JR11" s="101">
        <f t="shared" si="17"/>
        <v>30.006309148264986</v>
      </c>
      <c r="JS11" s="101" t="str">
        <f t="shared" si="17"/>
        <v/>
      </c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3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8"/>
      <c r="BX12" s="118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8"/>
      <c r="CX12" s="118"/>
      <c r="DA12" s="3"/>
      <c r="DH12" s="3"/>
      <c r="DI12" s="94"/>
      <c r="DN12" s="95"/>
      <c r="DO12" s="20"/>
      <c r="DS12" s="8"/>
      <c r="DT12" s="8"/>
      <c r="DV12" s="36"/>
      <c r="EC12" s="36"/>
      <c r="EE12" s="243"/>
      <c r="EF12" s="243"/>
      <c r="EH12" s="24"/>
      <c r="EI12" s="93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8"/>
      <c r="FP12" s="118"/>
      <c r="FS12" s="20"/>
      <c r="FV12" s="95"/>
      <c r="FW12" s="95"/>
      <c r="FZ12" s="20"/>
      <c r="GE12" s="59"/>
      <c r="GF12" s="35"/>
      <c r="GG12" s="36"/>
      <c r="GI12" s="24"/>
      <c r="GJ12" s="25"/>
      <c r="GM12" s="8"/>
      <c r="GN12" s="8"/>
      <c r="GS12" s="8"/>
      <c r="GT12" s="8"/>
      <c r="GU12" s="36"/>
      <c r="GZ12" s="24"/>
      <c r="HA12" s="25"/>
      <c r="HB12" s="20"/>
      <c r="HC12" s="8"/>
      <c r="HI12" s="20"/>
      <c r="HJ12" s="24"/>
      <c r="HK12" s="25"/>
      <c r="HO12" s="24"/>
      <c r="HP12" s="20"/>
      <c r="HT12" s="96"/>
      <c r="HU12" s="96"/>
      <c r="HW12" s="36"/>
      <c r="IC12" s="24"/>
      <c r="ID12" s="20"/>
      <c r="IK12" s="36"/>
      <c r="IL12" s="95"/>
      <c r="IM12" s="95"/>
      <c r="IR12" s="20"/>
      <c r="IS12" s="8"/>
      <c r="IT12" s="8"/>
      <c r="IU12" s="8"/>
      <c r="IY12" s="36"/>
      <c r="JF12" s="36"/>
      <c r="JM12" s="2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6"/>
      <c r="LB12" s="96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>
      <c r="C13" s="36"/>
      <c r="F13" s="118"/>
      <c r="G13" s="119"/>
      <c r="H13" s="78"/>
      <c r="N13" s="36"/>
      <c r="R13" s="78"/>
      <c r="U13" s="36"/>
      <c r="V13" s="36"/>
      <c r="AB13" s="119"/>
      <c r="AC13" s="118"/>
      <c r="AI13" s="36"/>
      <c r="AP13" s="20"/>
      <c r="AV13" s="118"/>
      <c r="AW13" s="119"/>
      <c r="BE13" s="36"/>
      <c r="BF13" s="118"/>
      <c r="BG13" s="118"/>
      <c r="BK13" s="36"/>
      <c r="BR13" s="8"/>
      <c r="BT13" s="36"/>
      <c r="BW13" s="77"/>
      <c r="BX13" s="78"/>
      <c r="BY13" s="3"/>
      <c r="BZ13"/>
      <c r="CA13" s="118"/>
      <c r="CB13" s="118"/>
      <c r="CC13"/>
      <c r="CD13"/>
      <c r="CE13"/>
      <c r="CF13" s="3"/>
      <c r="CG13"/>
      <c r="CI13" s="118"/>
      <c r="CJ13" s="118"/>
      <c r="CM13" s="3"/>
      <c r="CT13" s="3"/>
      <c r="CU13" s="38"/>
      <c r="CW13" s="77"/>
      <c r="CX13" s="78"/>
      <c r="DA13" s="3"/>
      <c r="DD13" s="118"/>
      <c r="DE13" s="118"/>
      <c r="DH13" s="3"/>
      <c r="DI13" s="25"/>
      <c r="DL13" s="118"/>
      <c r="DM13" s="118"/>
      <c r="DN13" s="24"/>
      <c r="DO13" s="20"/>
      <c r="DS13" s="242"/>
      <c r="DT13" s="242"/>
      <c r="DV13" s="36"/>
      <c r="EC13" s="36"/>
      <c r="ED13" s="118"/>
      <c r="EE13" s="118"/>
      <c r="EF13" s="95"/>
      <c r="EH13" s="24"/>
      <c r="EI13" s="93"/>
      <c r="EJ13" s="36"/>
      <c r="EQ13" s="36"/>
      <c r="ER13" s="96"/>
      <c r="ES13" s="96"/>
      <c r="ET13" s="96"/>
      <c r="EX13" s="36"/>
      <c r="EY13" s="24"/>
      <c r="EZ13" s="25"/>
      <c r="FE13" s="7"/>
      <c r="FG13" s="118"/>
      <c r="FH13" s="118"/>
      <c r="FI13" s="24"/>
      <c r="FJ13" s="26"/>
      <c r="FL13" s="7"/>
      <c r="FM13" s="25"/>
      <c r="FO13" s="77"/>
      <c r="FP13" s="78"/>
      <c r="FS13" s="20"/>
      <c r="FV13" s="24"/>
      <c r="FW13" s="25"/>
      <c r="FZ13" s="20"/>
      <c r="GB13" s="59"/>
      <c r="GC13" s="35"/>
      <c r="GE13" s="59"/>
      <c r="GF13" s="35"/>
      <c r="GG13" s="36"/>
      <c r="GI13" s="24"/>
      <c r="GJ13" s="25"/>
      <c r="GM13" s="95"/>
      <c r="GN13" s="94"/>
      <c r="GS13" s="42"/>
      <c r="GT13" s="42"/>
      <c r="GU13" s="36"/>
      <c r="GZ13" s="24"/>
      <c r="HA13" s="25"/>
      <c r="HB13" s="20"/>
      <c r="HC13" s="8"/>
      <c r="HI13" s="20"/>
      <c r="HJ13" s="118"/>
      <c r="HK13" s="25"/>
      <c r="HO13" s="24"/>
      <c r="HP13" s="20"/>
      <c r="HT13" s="54"/>
      <c r="HU13" s="55"/>
      <c r="HW13" s="36"/>
      <c r="IC13" s="24"/>
      <c r="ID13" s="20"/>
      <c r="IE13" s="118"/>
      <c r="IF13" s="118"/>
      <c r="IK13" s="36"/>
      <c r="IL13" s="24"/>
      <c r="IM13" s="25"/>
      <c r="IR13" s="20"/>
      <c r="IS13" s="118"/>
      <c r="IT13" s="118"/>
      <c r="IU13" s="95"/>
      <c r="IY13" s="36"/>
      <c r="JF13" s="36"/>
      <c r="JM13" s="224"/>
      <c r="JN13" s="25"/>
      <c r="JQ13" s="95"/>
      <c r="JR13" s="95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6"/>
      <c r="MN13" s="96"/>
      <c r="MS13" s="77"/>
      <c r="MT13" s="62"/>
    </row>
    <row r="14" spans="1:371" ht="16.8">
      <c r="C14" s="36"/>
      <c r="F14" s="77"/>
      <c r="G14" s="119"/>
      <c r="H14" s="78"/>
      <c r="N14" s="36"/>
      <c r="U14" s="36"/>
      <c r="V14" s="118"/>
      <c r="AB14" s="119"/>
      <c r="AC14" s="78"/>
      <c r="AF14" s="93"/>
      <c r="AG14" s="93"/>
      <c r="AI14" s="36"/>
      <c r="AP14" s="20"/>
      <c r="AR14" s="191"/>
      <c r="AS14" s="118"/>
      <c r="AV14" s="77"/>
      <c r="AW14" s="119"/>
      <c r="BD14" s="118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6"/>
      <c r="DT14" s="96"/>
      <c r="DV14" s="216"/>
      <c r="EC14" s="36"/>
      <c r="ED14" s="77"/>
      <c r="EE14" s="78"/>
      <c r="EF14" s="25"/>
      <c r="EH14" s="24"/>
      <c r="EI14" s="93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8"/>
      <c r="FV14" s="24"/>
      <c r="FW14" s="25"/>
      <c r="FZ14" s="20"/>
      <c r="GB14" s="59"/>
      <c r="GC14" s="35"/>
      <c r="GE14" s="59"/>
      <c r="GF14" s="35"/>
      <c r="GG14" s="36"/>
      <c r="GH14" s="118"/>
      <c r="GI14" s="118"/>
      <c r="GJ14" s="25"/>
      <c r="GM14" s="24"/>
      <c r="GN14" s="94"/>
      <c r="GS14" s="54"/>
      <c r="GT14" s="55"/>
      <c r="GZ14" s="24"/>
      <c r="HA14" s="25"/>
      <c r="HB14" s="20"/>
      <c r="HC14" s="96"/>
      <c r="HI14" s="20"/>
      <c r="HJ14" s="78"/>
      <c r="HK14" s="25"/>
      <c r="HO14" s="24"/>
      <c r="HP14" s="20"/>
      <c r="HT14" s="54"/>
      <c r="HU14" s="55"/>
      <c r="HW14" s="36"/>
      <c r="HY14" s="118"/>
      <c r="HZ14" s="118"/>
      <c r="IC14" s="24"/>
      <c r="ID14" s="20"/>
      <c r="IE14" s="77"/>
      <c r="IF14" s="78"/>
      <c r="IK14" s="36"/>
      <c r="IL14" s="24"/>
      <c r="IM14" s="25"/>
      <c r="IR14" s="20"/>
      <c r="IS14" s="77"/>
      <c r="IT14" s="78"/>
      <c r="IU14" s="25"/>
      <c r="IY14" s="36"/>
      <c r="JF14" s="238"/>
      <c r="JG14"/>
      <c r="JM14" s="119"/>
      <c r="JN14" s="118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>
      <c r="F15" s="77"/>
      <c r="G15" s="78"/>
      <c r="H15" s="78"/>
      <c r="J15" s="163"/>
      <c r="K15"/>
      <c r="U15" s="77"/>
      <c r="V15" s="78"/>
      <c r="AB15" s="187"/>
      <c r="AC15" s="78"/>
      <c r="AD15" s="36"/>
      <c r="AF15" s="24"/>
      <c r="AG15" s="38"/>
      <c r="AI15" s="36"/>
      <c r="AP15" s="118"/>
      <c r="AQ15" s="118"/>
      <c r="AR15" s="191"/>
      <c r="AS15" s="78"/>
      <c r="AV15" s="77"/>
      <c r="AW15" s="78"/>
      <c r="AX15" s="118"/>
      <c r="AY15" s="118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8"/>
      <c r="CP15" s="118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8"/>
      <c r="DR15" s="118"/>
      <c r="DS15" s="54"/>
      <c r="DT15" s="55"/>
      <c r="EA15" s="59"/>
      <c r="EB15" s="35"/>
      <c r="ED15" s="77"/>
      <c r="EE15" s="78"/>
      <c r="EF15" s="25"/>
      <c r="EH15" s="24"/>
      <c r="EI15" s="93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19"/>
      <c r="FT15" s="78"/>
      <c r="FV15" s="24"/>
      <c r="FW15" s="25"/>
      <c r="GB15" s="59"/>
      <c r="GC15" s="35"/>
      <c r="GE15" s="59"/>
      <c r="GF15" s="35"/>
      <c r="GH15" s="77"/>
      <c r="GI15" s="78"/>
      <c r="GJ15" s="25"/>
      <c r="GM15" s="24"/>
      <c r="GN15" s="34"/>
      <c r="GO15" s="118"/>
      <c r="GP15" s="118"/>
      <c r="GS15" s="54"/>
      <c r="GT15" s="55"/>
      <c r="GU15" s="36"/>
      <c r="GZ15" s="24"/>
      <c r="HA15" s="25"/>
      <c r="HB15" s="54"/>
      <c r="HC15"/>
      <c r="HD15"/>
      <c r="HI15" s="77"/>
      <c r="HJ15" s="78"/>
      <c r="HK15" s="25"/>
      <c r="HO15" s="24"/>
      <c r="HP15" s="25"/>
      <c r="HT15" s="54"/>
      <c r="HU15" s="55"/>
      <c r="HY15" s="77"/>
      <c r="HZ15" s="78"/>
      <c r="IC15" s="24"/>
      <c r="ID15" s="26"/>
      <c r="IE15" s="77"/>
      <c r="IF15" s="78"/>
      <c r="IK15" s="118"/>
      <c r="IL15" s="118"/>
      <c r="IM15" s="25"/>
      <c r="IR15" s="24"/>
      <c r="IS15" s="77"/>
      <c r="IT15" s="78"/>
      <c r="IU15" s="25"/>
      <c r="IY15" s="163"/>
      <c r="IZ15"/>
      <c r="JF15"/>
      <c r="JG15"/>
      <c r="JM15" s="77"/>
      <c r="JN15" s="78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5"/>
      <c r="AS16" s="78"/>
      <c r="AV16" s="77"/>
      <c r="AW16" s="190"/>
      <c r="AX16" s="77"/>
      <c r="AY16" s="78"/>
      <c r="BD16" s="77"/>
      <c r="BE16" s="78"/>
      <c r="BF16" s="77"/>
      <c r="BG16" s="78"/>
      <c r="BM16" s="118"/>
      <c r="BN16" s="118"/>
      <c r="BW16" s="77"/>
      <c r="BX16" s="78"/>
      <c r="CA16" s="77"/>
      <c r="CB16" s="190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3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B16" s="59"/>
      <c r="GC16" s="35"/>
      <c r="GE16" s="59"/>
      <c r="GH16" s="77"/>
      <c r="GI16" s="78"/>
      <c r="GJ16" s="26"/>
      <c r="GM16" s="24"/>
      <c r="GN16" s="25"/>
      <c r="GO16" s="77"/>
      <c r="GP16" s="78"/>
      <c r="GS16" s="54"/>
      <c r="GT16" s="55"/>
      <c r="GZ16" s="24"/>
      <c r="HA16" s="26"/>
      <c r="HB16" s="54"/>
      <c r="HC16"/>
      <c r="HD16"/>
      <c r="HI16" s="77"/>
      <c r="HJ16" s="78"/>
      <c r="HK16" s="26"/>
      <c r="HO16" s="24"/>
      <c r="HP16" s="26"/>
      <c r="HQ16" s="163"/>
      <c r="HR16"/>
      <c r="HT16" s="54"/>
      <c r="HU16" s="55"/>
      <c r="HY16" s="77"/>
      <c r="HZ16" s="78"/>
      <c r="IC16" s="8"/>
      <c r="ID16" s="8"/>
      <c r="IE16" s="77"/>
      <c r="IF16" s="78"/>
      <c r="IK16" s="77"/>
      <c r="IL16" s="78"/>
      <c r="IM16" s="25"/>
      <c r="IR16" s="24"/>
      <c r="IS16" s="77"/>
      <c r="IT16" s="78"/>
      <c r="IU16" s="25"/>
      <c r="IY16"/>
      <c r="IZ16"/>
      <c r="JF16" s="167"/>
      <c r="JG16" s="167"/>
      <c r="JM16" s="77"/>
      <c r="JN16" s="78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>
      <c r="F17" s="77"/>
      <c r="G17" s="78"/>
      <c r="H17"/>
      <c r="J17" s="167"/>
      <c r="K17" s="167"/>
      <c r="U17" s="77"/>
      <c r="V17" s="78"/>
      <c r="AB17" s="77"/>
      <c r="AC17" s="78"/>
      <c r="AF17" s="24"/>
      <c r="AG17" s="37"/>
      <c r="AI17" s="118"/>
      <c r="AJ17" s="118"/>
      <c r="AP17" s="77"/>
      <c r="AQ17" s="78"/>
      <c r="AR17" s="77"/>
      <c r="AS17" s="78"/>
      <c r="AX17" s="77"/>
      <c r="AY17" s="78"/>
      <c r="BD17" s="77"/>
      <c r="BE17" s="190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8"/>
      <c r="EX17" s="118"/>
      <c r="FG17" s="77"/>
      <c r="FH17" s="78"/>
      <c r="FO17" s="77"/>
      <c r="FP17" s="78"/>
      <c r="FS17" s="77"/>
      <c r="FT17" s="78"/>
      <c r="FV17" s="24"/>
      <c r="FW17" s="25"/>
      <c r="GB17" s="59"/>
      <c r="GC17" s="35"/>
      <c r="GH17" s="77"/>
      <c r="GI17" s="78"/>
      <c r="GM17" s="24"/>
      <c r="GN17" s="25"/>
      <c r="GO17" s="77"/>
      <c r="GP17" s="78"/>
      <c r="GS17" s="54"/>
      <c r="GT17" s="55"/>
      <c r="GU17" s="77"/>
      <c r="GV17" s="78"/>
      <c r="HB17" s="54"/>
      <c r="HC17" s="118"/>
      <c r="HD17" s="118"/>
      <c r="HI17" s="77"/>
      <c r="HJ17" s="78"/>
      <c r="HO17" s="8"/>
      <c r="HP17" s="8"/>
      <c r="HQ17"/>
      <c r="HR17"/>
      <c r="HT17" s="54"/>
      <c r="HU17" s="55"/>
      <c r="HY17" s="77"/>
      <c r="HZ17" s="78"/>
      <c r="IC17" s="8"/>
      <c r="ID17" s="8"/>
      <c r="IE17" s="77"/>
      <c r="IF17" s="78"/>
      <c r="IK17" s="77"/>
      <c r="IL17" s="78"/>
      <c r="IM17" s="25"/>
      <c r="IR17" s="24"/>
      <c r="IS17" s="77"/>
      <c r="IT17" s="78"/>
      <c r="IU17" s="25"/>
      <c r="IY17" s="167"/>
      <c r="IZ17" s="167"/>
      <c r="JF17" s="168"/>
      <c r="JG17" s="166"/>
      <c r="JM17" s="77"/>
      <c r="JN17" s="78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>
      <c r="F18" s="77"/>
      <c r="G18" s="78"/>
      <c r="H18"/>
      <c r="J18" s="168"/>
      <c r="K18" s="166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0"/>
      <c r="CI18" s="77"/>
      <c r="CJ18" s="78"/>
      <c r="CO18" s="77"/>
      <c r="CP18" s="78"/>
      <c r="CW18" s="77"/>
      <c r="CX18" s="190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0"/>
      <c r="FS18" s="77"/>
      <c r="FT18" s="78"/>
      <c r="FV18" s="24"/>
      <c r="FW18" s="26"/>
      <c r="GB18" s="59"/>
      <c r="GH18" s="77"/>
      <c r="GI18" s="78"/>
      <c r="GM18" s="24"/>
      <c r="GN18" s="25"/>
      <c r="GO18" s="77"/>
      <c r="GP18" s="78"/>
      <c r="GS18" s="54"/>
      <c r="GT18" s="55"/>
      <c r="GU18" s="77"/>
      <c r="GV18" s="78"/>
      <c r="HB18" s="54"/>
      <c r="HC18" s="77"/>
      <c r="HD18" s="190"/>
      <c r="HI18" s="77"/>
      <c r="HJ18" s="78"/>
      <c r="HO18" s="8"/>
      <c r="HP18" s="8"/>
      <c r="HQ18" s="167"/>
      <c r="HR18" s="167"/>
      <c r="HT18" s="54"/>
      <c r="HU18" s="56"/>
      <c r="HY18" s="77"/>
      <c r="HZ18" s="78"/>
      <c r="IE18" s="77"/>
      <c r="IF18" s="78"/>
      <c r="IG18" s="234"/>
      <c r="IK18" s="77"/>
      <c r="IL18" s="78"/>
      <c r="IM18" s="26"/>
      <c r="IR18" s="24"/>
      <c r="IS18" s="77"/>
      <c r="IT18" s="78"/>
      <c r="IU18" s="25"/>
      <c r="IY18" s="168"/>
      <c r="IZ18" s="166"/>
      <c r="JF18" s="168"/>
      <c r="JG18" s="166"/>
      <c r="JM18" s="77"/>
      <c r="JN18" s="78"/>
      <c r="JQ18" s="24"/>
      <c r="JR18" s="25"/>
      <c r="LA18" s="54"/>
      <c r="LB18" s="56"/>
      <c r="LX18" s="8"/>
      <c r="LY18" s="8"/>
      <c r="MM18" s="54"/>
      <c r="MN18" s="55"/>
    </row>
    <row r="19" spans="6:352" ht="16.8">
      <c r="F19" s="77"/>
      <c r="G19" s="62"/>
      <c r="H19" s="78"/>
      <c r="J19" s="168"/>
      <c r="K19" s="166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0"/>
      <c r="BM19" s="77"/>
      <c r="BN19" s="78"/>
      <c r="BW19"/>
      <c r="BX19"/>
      <c r="CI19" s="77"/>
      <c r="CJ19" s="190"/>
      <c r="CO19" s="77"/>
      <c r="CP19" s="78"/>
      <c r="DD19" s="77"/>
      <c r="DE19" s="190"/>
      <c r="DL19" s="77"/>
      <c r="DM19" s="190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0"/>
      <c r="FO19"/>
      <c r="FP19"/>
      <c r="FS19" s="77"/>
      <c r="FT19" s="78"/>
      <c r="GH19" s="77"/>
      <c r="GI19" s="78"/>
      <c r="GM19" s="24"/>
      <c r="GN19" s="26"/>
      <c r="GO19" s="77"/>
      <c r="GP19" s="78"/>
      <c r="GS19" s="54"/>
      <c r="GT19" s="56"/>
      <c r="GU19" s="77"/>
      <c r="GV19" s="78"/>
      <c r="HB19" s="54"/>
      <c r="HC19" s="77"/>
      <c r="HD19" s="78"/>
      <c r="HI19" s="77"/>
      <c r="HJ19" s="190"/>
      <c r="HQ19" s="168"/>
      <c r="HR19" s="166"/>
      <c r="HT19" s="8"/>
      <c r="HU19" s="8"/>
      <c r="HY19" s="77"/>
      <c r="HZ19" s="78"/>
      <c r="IE19" s="77"/>
      <c r="IF19" s="190"/>
      <c r="IG19" s="234"/>
      <c r="IK19" s="77"/>
      <c r="IL19" s="78"/>
      <c r="IR19" s="24"/>
      <c r="IS19" s="77"/>
      <c r="IT19" s="190"/>
      <c r="IU19" s="25"/>
      <c r="IY19" s="168"/>
      <c r="IZ19" s="166"/>
      <c r="JF19" s="168"/>
      <c r="JG19" s="166"/>
      <c r="JM19" s="77"/>
      <c r="JN19" s="78"/>
      <c r="JQ19" s="24"/>
      <c r="JR19" s="26"/>
      <c r="LA19" s="8"/>
      <c r="LB19" s="8"/>
      <c r="MM19" s="54"/>
      <c r="MN19" s="56"/>
    </row>
    <row r="20" spans="6:352" ht="16.8">
      <c r="F20"/>
      <c r="G20"/>
      <c r="H20" s="62"/>
      <c r="J20" s="168"/>
      <c r="K20" s="166"/>
      <c r="U20" s="77"/>
      <c r="V20" s="62"/>
      <c r="AI20" s="77"/>
      <c r="AJ20" s="78"/>
      <c r="AR20" s="77"/>
      <c r="AS20" s="190"/>
      <c r="AX20" s="77"/>
      <c r="AY20" s="78"/>
      <c r="BM20" s="77"/>
      <c r="BN20" s="78"/>
      <c r="CO20" s="77"/>
      <c r="CP20" s="78"/>
      <c r="DL20"/>
      <c r="DM20"/>
      <c r="DQ20" s="77"/>
      <c r="DR20" s="190"/>
      <c r="DS20" s="54"/>
      <c r="DT20" s="56"/>
      <c r="EA20" s="59"/>
      <c r="ED20" s="190"/>
      <c r="EE20" s="190"/>
      <c r="ER20" s="8"/>
      <c r="ES20" s="8"/>
      <c r="ET20" s="8"/>
      <c r="EW20" s="77"/>
      <c r="EX20" s="78"/>
      <c r="FG20"/>
      <c r="FH20"/>
      <c r="FO20"/>
      <c r="FP20"/>
      <c r="FS20" s="77"/>
      <c r="FT20" s="190"/>
      <c r="GH20" s="77"/>
      <c r="GI20" s="190"/>
      <c r="GO20" s="77"/>
      <c r="GP20" s="78"/>
      <c r="GS20" s="8"/>
      <c r="GT20" s="8"/>
      <c r="GU20" s="77"/>
      <c r="GV20" s="78"/>
      <c r="HB20" s="54"/>
      <c r="HC20" s="77"/>
      <c r="HD20" s="190"/>
      <c r="HQ20" s="168"/>
      <c r="HR20" s="166"/>
      <c r="HT20" s="53"/>
      <c r="HU20" s="8"/>
      <c r="HY20" s="77"/>
      <c r="HZ20" s="78"/>
      <c r="IK20" s="77"/>
      <c r="IL20" s="78"/>
      <c r="IR20" s="24"/>
      <c r="IS20" s="93"/>
      <c r="IT20" s="26"/>
      <c r="IU20" s="26"/>
      <c r="IY20" s="168"/>
      <c r="IZ20" s="166"/>
      <c r="JF20" s="168"/>
      <c r="JG20" s="166"/>
      <c r="JM20" s="77"/>
      <c r="JN20" s="190"/>
      <c r="LA20" s="53"/>
      <c r="LB20" s="8"/>
      <c r="MM20" s="8"/>
      <c r="MN20" s="8"/>
    </row>
    <row r="21" spans="6:352" ht="16.8">
      <c r="F21"/>
      <c r="G21"/>
      <c r="H21" s="62"/>
      <c r="J21" s="168"/>
      <c r="K21" s="166"/>
      <c r="U21"/>
      <c r="V21"/>
      <c r="AI21" s="77"/>
      <c r="AJ21" s="78"/>
      <c r="AX21" s="77"/>
      <c r="AY21" s="190"/>
      <c r="BM21" s="77"/>
      <c r="BN21" s="78"/>
      <c r="CO21" s="77"/>
      <c r="CP21" s="190"/>
      <c r="DL21"/>
      <c r="DM21"/>
      <c r="DQ21" s="77"/>
      <c r="DR21" s="190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O21" s="77"/>
      <c r="GP21" s="190"/>
      <c r="GS21" s="53"/>
      <c r="GT21" s="8"/>
      <c r="GU21" s="77"/>
      <c r="GV21" s="78"/>
      <c r="HB21" s="8"/>
      <c r="HC21" s="77"/>
      <c r="HD21" s="190"/>
      <c r="HQ21" s="168"/>
      <c r="HR21" s="166"/>
      <c r="HT21" s="57"/>
      <c r="HU21" s="8"/>
      <c r="HY21" s="77"/>
      <c r="HZ21" s="190"/>
      <c r="IK21" s="77"/>
      <c r="IL21" s="190"/>
      <c r="IR21" s="24"/>
      <c r="IS21" s="93"/>
      <c r="IT21" s="93"/>
      <c r="IU21" s="25"/>
      <c r="IY21" s="168"/>
      <c r="IZ21" s="166"/>
      <c r="JF21" s="168"/>
      <c r="JG21" s="166"/>
      <c r="LA21" s="57"/>
      <c r="LB21" s="8"/>
      <c r="MM21" s="53"/>
      <c r="MN21" s="8"/>
    </row>
    <row r="22" spans="6:352" ht="16.8">
      <c r="J22" s="168"/>
      <c r="K22" s="166"/>
      <c r="U22"/>
      <c r="V22"/>
      <c r="AI22" s="77"/>
      <c r="AJ22" s="78"/>
      <c r="BM22" s="77"/>
      <c r="BN22" s="190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GU22" s="77"/>
      <c r="GV22" s="78"/>
      <c r="HB22" s="53"/>
      <c r="HC22" s="77"/>
      <c r="HD22" s="190"/>
      <c r="HQ22" s="168"/>
      <c r="HR22" s="166"/>
      <c r="HT22" s="57"/>
      <c r="HU22" s="8"/>
      <c r="IR22" s="24"/>
      <c r="IS22" s="93"/>
      <c r="IT22" s="93"/>
      <c r="IU22" s="25"/>
      <c r="IY22" s="168"/>
      <c r="IZ22" s="166"/>
      <c r="JF22" s="168"/>
      <c r="JG22" s="81"/>
      <c r="LA22" s="57"/>
      <c r="LB22" s="8"/>
      <c r="MM22" s="57"/>
      <c r="MN22" s="8"/>
    </row>
    <row r="23" spans="6:352" ht="16.8">
      <c r="J23" s="168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0"/>
      <c r="GS23" s="57"/>
      <c r="GT23" s="8"/>
      <c r="HB23" s="57"/>
      <c r="HC23" s="77"/>
      <c r="HD23" s="190"/>
      <c r="HQ23" s="168"/>
      <c r="HR23" s="166"/>
      <c r="IR23" s="24"/>
      <c r="IS23" s="93"/>
      <c r="IT23" s="93"/>
      <c r="IU23" s="25"/>
      <c r="IY23" s="168"/>
      <c r="IZ23" s="81"/>
      <c r="JF23"/>
      <c r="JG23"/>
      <c r="MM23" s="57"/>
      <c r="MN23" s="8"/>
    </row>
    <row r="24" spans="6:352" ht="16.8">
      <c r="J24"/>
      <c r="K24"/>
      <c r="AI24"/>
      <c r="AJ24"/>
      <c r="DS24" s="57"/>
      <c r="DT24" s="8"/>
      <c r="ED24" s="77"/>
      <c r="EE24" s="78"/>
      <c r="HB24" s="57"/>
      <c r="HC24" s="8"/>
      <c r="HQ24" s="168"/>
      <c r="HR24" s="81"/>
      <c r="IR24" s="24"/>
      <c r="IS24" s="93"/>
      <c r="IT24" s="93"/>
      <c r="IU24" s="25"/>
      <c r="IY24"/>
      <c r="IZ24"/>
      <c r="JF24" s="163"/>
      <c r="JG24"/>
    </row>
    <row r="25" spans="6:352">
      <c r="J25" s="163"/>
      <c r="K25"/>
      <c r="AI25"/>
      <c r="AJ25"/>
      <c r="ED25" s="77"/>
      <c r="EE25" s="78"/>
      <c r="HQ25"/>
      <c r="HR25"/>
      <c r="IR25" s="24"/>
      <c r="IS25" s="93"/>
      <c r="IT25" s="93"/>
      <c r="IU25" s="25"/>
      <c r="IY25" s="163"/>
      <c r="IZ25"/>
      <c r="JF25" s="162"/>
      <c r="JG25"/>
    </row>
    <row r="26" spans="6:352">
      <c r="J26" s="162"/>
      <c r="K26"/>
      <c r="ED26" s="77"/>
      <c r="EE26" s="190"/>
      <c r="HQ26" s="163"/>
      <c r="HR26"/>
      <c r="IR26" s="24"/>
      <c r="IS26" s="93"/>
      <c r="IT26" s="93"/>
      <c r="IU26" s="26"/>
      <c r="IY26" s="162"/>
      <c r="IZ26"/>
      <c r="JF26" s="162"/>
      <c r="JG26"/>
    </row>
    <row r="27" spans="6:352">
      <c r="J27" s="162"/>
      <c r="K27"/>
      <c r="HQ27" s="162"/>
      <c r="HR27"/>
      <c r="IU27" s="38"/>
      <c r="IY27" s="162"/>
      <c r="IZ27"/>
    </row>
    <row r="28" spans="6:352">
      <c r="EE28" s="38"/>
      <c r="HQ28" s="162"/>
      <c r="HR2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405D1-4382-48A8-8102-DA0E6E20C455}">
  <dimension ref="A1:H1124"/>
  <sheetViews>
    <sheetView workbookViewId="0">
      <selection activeCell="B1" sqref="B1:B1048576"/>
    </sheetView>
  </sheetViews>
  <sheetFormatPr defaultRowHeight="14.4"/>
  <cols>
    <col min="7" max="7" width="38.21875" bestFit="1" customWidth="1"/>
  </cols>
  <sheetData>
    <row r="1" spans="1:8">
      <c r="A1" t="s">
        <v>1435</v>
      </c>
      <c r="B1" t="s">
        <v>3064</v>
      </c>
      <c r="C1" t="s">
        <v>1424</v>
      </c>
      <c r="D1" t="s">
        <v>1437</v>
      </c>
      <c r="E1" t="s">
        <v>1425</v>
      </c>
      <c r="F1" t="s">
        <v>1530</v>
      </c>
      <c r="G1" t="s">
        <v>1426</v>
      </c>
      <c r="H1" t="s">
        <v>2664</v>
      </c>
    </row>
    <row r="2" spans="1:8">
      <c r="A2">
        <v>145116</v>
      </c>
      <c r="B2" t="s">
        <v>459</v>
      </c>
      <c r="C2" t="s">
        <v>460</v>
      </c>
      <c r="D2" t="s">
        <v>1438</v>
      </c>
      <c r="E2" t="s">
        <v>476</v>
      </c>
      <c r="F2" t="s">
        <v>1374</v>
      </c>
      <c r="G2" t="s">
        <v>1531</v>
      </c>
      <c r="H2" t="s">
        <v>1845</v>
      </c>
    </row>
    <row r="3" spans="1:8">
      <c r="A3">
        <v>229311</v>
      </c>
      <c r="B3" t="s">
        <v>461</v>
      </c>
      <c r="C3" t="s">
        <v>462</v>
      </c>
      <c r="D3" t="s">
        <v>1439</v>
      </c>
      <c r="E3" t="s">
        <v>642</v>
      </c>
      <c r="F3" t="s">
        <v>1378</v>
      </c>
      <c r="G3" t="s">
        <v>1532</v>
      </c>
      <c r="H3" t="s">
        <v>58</v>
      </c>
    </row>
    <row r="4" spans="1:8">
      <c r="A4">
        <v>198836</v>
      </c>
      <c r="B4" t="s">
        <v>463</v>
      </c>
      <c r="C4" t="s">
        <v>464</v>
      </c>
      <c r="D4" t="s">
        <v>1439</v>
      </c>
      <c r="E4" t="s">
        <v>1108</v>
      </c>
      <c r="F4" t="s">
        <v>1378</v>
      </c>
      <c r="G4" t="s">
        <v>1533</v>
      </c>
      <c r="H4" t="s">
        <v>61</v>
      </c>
    </row>
    <row r="5" spans="1:8">
      <c r="A5">
        <v>145013</v>
      </c>
      <c r="B5" t="s">
        <v>465</v>
      </c>
      <c r="C5" t="s">
        <v>466</v>
      </c>
      <c r="D5" t="s">
        <v>1439</v>
      </c>
      <c r="E5" t="s">
        <v>929</v>
      </c>
      <c r="F5" t="s">
        <v>1378</v>
      </c>
      <c r="G5" t="s">
        <v>1534</v>
      </c>
      <c r="H5" t="s">
        <v>61</v>
      </c>
    </row>
    <row r="6" spans="1:8">
      <c r="A6">
        <v>259919</v>
      </c>
      <c r="B6" t="s">
        <v>467</v>
      </c>
      <c r="C6" t="s">
        <v>468</v>
      </c>
      <c r="D6" t="s">
        <v>1439</v>
      </c>
      <c r="E6" t="s">
        <v>1213</v>
      </c>
      <c r="F6" t="s">
        <v>1374</v>
      </c>
      <c r="G6" t="s">
        <v>1536</v>
      </c>
      <c r="H6" t="s">
        <v>67</v>
      </c>
    </row>
    <row r="7" spans="1:8">
      <c r="A7">
        <v>103363</v>
      </c>
      <c r="B7" t="s">
        <v>469</v>
      </c>
      <c r="C7" t="s">
        <v>470</v>
      </c>
      <c r="D7" t="s">
        <v>1440</v>
      </c>
      <c r="E7" t="s">
        <v>1012</v>
      </c>
      <c r="F7" t="s">
        <v>1371</v>
      </c>
      <c r="G7" t="s">
        <v>1535</v>
      </c>
      <c r="H7" t="s">
        <v>60</v>
      </c>
    </row>
    <row r="8" spans="1:8">
      <c r="A8">
        <v>229212</v>
      </c>
      <c r="B8" t="s">
        <v>471</v>
      </c>
      <c r="C8" t="s">
        <v>472</v>
      </c>
      <c r="D8" t="s">
        <v>1439</v>
      </c>
      <c r="E8" t="s">
        <v>598</v>
      </c>
      <c r="F8" t="s">
        <v>1375</v>
      </c>
      <c r="G8" t="s">
        <v>1537</v>
      </c>
      <c r="H8" t="s">
        <v>62</v>
      </c>
    </row>
    <row r="9" spans="1:8">
      <c r="A9">
        <v>150081</v>
      </c>
      <c r="B9" t="s">
        <v>473</v>
      </c>
      <c r="C9" t="s">
        <v>474</v>
      </c>
      <c r="D9" t="s">
        <v>1439</v>
      </c>
      <c r="E9" t="s">
        <v>1108</v>
      </c>
      <c r="F9" t="s">
        <v>1378</v>
      </c>
      <c r="G9" t="s">
        <v>1538</v>
      </c>
      <c r="H9" t="s">
        <v>61</v>
      </c>
    </row>
    <row r="10" spans="1:8">
      <c r="A10">
        <v>181122</v>
      </c>
      <c r="B10" t="s">
        <v>475</v>
      </c>
      <c r="C10" t="s">
        <v>476</v>
      </c>
      <c r="D10" t="s">
        <v>1441</v>
      </c>
      <c r="E10" t="s">
        <v>1374</v>
      </c>
      <c r="F10" t="s">
        <v>1380</v>
      </c>
      <c r="G10" t="s">
        <v>1425</v>
      </c>
      <c r="H10" t="s">
        <v>1845</v>
      </c>
    </row>
    <row r="11" spans="1:8">
      <c r="A11">
        <v>158438</v>
      </c>
      <c r="B11" t="s">
        <v>477</v>
      </c>
      <c r="C11" t="s">
        <v>478</v>
      </c>
      <c r="D11" t="s">
        <v>1439</v>
      </c>
      <c r="E11" t="s">
        <v>937</v>
      </c>
      <c r="F11" t="s">
        <v>1378</v>
      </c>
      <c r="G11" t="s">
        <v>1539</v>
      </c>
      <c r="H11" t="s">
        <v>61</v>
      </c>
    </row>
    <row r="12" spans="1:8">
      <c r="A12">
        <v>194601</v>
      </c>
      <c r="B12" t="s">
        <v>479</v>
      </c>
      <c r="C12" t="s">
        <v>480</v>
      </c>
      <c r="D12" t="s">
        <v>1439</v>
      </c>
      <c r="E12" t="s">
        <v>955</v>
      </c>
      <c r="F12" t="s">
        <v>1375</v>
      </c>
      <c r="G12" t="s">
        <v>1537</v>
      </c>
      <c r="H12" t="s">
        <v>62</v>
      </c>
    </row>
    <row r="13" spans="1:8">
      <c r="A13">
        <v>310995</v>
      </c>
      <c r="B13" t="s">
        <v>481</v>
      </c>
      <c r="C13" t="s">
        <v>482</v>
      </c>
      <c r="D13" t="s">
        <v>1439</v>
      </c>
      <c r="E13" t="s">
        <v>947</v>
      </c>
      <c r="F13" t="s">
        <v>1371</v>
      </c>
      <c r="G13" t="s">
        <v>1540</v>
      </c>
      <c r="H13" t="s">
        <v>59</v>
      </c>
    </row>
    <row r="14" spans="1:8">
      <c r="A14">
        <v>311132</v>
      </c>
      <c r="B14" t="s">
        <v>483</v>
      </c>
      <c r="C14" t="s">
        <v>484</v>
      </c>
      <c r="D14" t="s">
        <v>1439</v>
      </c>
      <c r="E14" t="s">
        <v>1273</v>
      </c>
      <c r="F14" t="s">
        <v>1374</v>
      </c>
      <c r="G14" t="s">
        <v>1536</v>
      </c>
      <c r="H14" t="s">
        <v>67</v>
      </c>
    </row>
    <row r="15" spans="1:8">
      <c r="A15">
        <v>297625</v>
      </c>
      <c r="B15" t="s">
        <v>485</v>
      </c>
      <c r="C15" t="s">
        <v>486</v>
      </c>
      <c r="D15" t="s">
        <v>1439</v>
      </c>
      <c r="E15" t="s">
        <v>1191</v>
      </c>
      <c r="F15" t="s">
        <v>1381</v>
      </c>
      <c r="G15" t="s">
        <v>1541</v>
      </c>
      <c r="H15" t="s">
        <v>65</v>
      </c>
    </row>
    <row r="16" spans="1:8">
      <c r="A16">
        <v>272706</v>
      </c>
      <c r="B16" t="s">
        <v>487</v>
      </c>
      <c r="C16" t="s">
        <v>488</v>
      </c>
      <c r="D16" t="s">
        <v>1439</v>
      </c>
      <c r="E16" t="s">
        <v>1338</v>
      </c>
      <c r="F16" t="s">
        <v>1381</v>
      </c>
      <c r="G16" t="s">
        <v>1541</v>
      </c>
      <c r="H16" t="s">
        <v>65</v>
      </c>
    </row>
    <row r="17" spans="1:8">
      <c r="A17">
        <v>310987</v>
      </c>
      <c r="B17" t="s">
        <v>489</v>
      </c>
      <c r="C17" t="s">
        <v>490</v>
      </c>
      <c r="D17" t="s">
        <v>1439</v>
      </c>
      <c r="E17" t="s">
        <v>1191</v>
      </c>
      <c r="F17" t="s">
        <v>1381</v>
      </c>
      <c r="G17" t="s">
        <v>1541</v>
      </c>
      <c r="H17" t="s">
        <v>65</v>
      </c>
    </row>
    <row r="18" spans="1:8">
      <c r="A18">
        <v>194972</v>
      </c>
      <c r="B18" t="s">
        <v>491</v>
      </c>
      <c r="C18" t="s">
        <v>492</v>
      </c>
      <c r="D18" t="s">
        <v>1439</v>
      </c>
      <c r="E18" t="s">
        <v>1108</v>
      </c>
      <c r="F18" t="s">
        <v>1378</v>
      </c>
      <c r="G18" t="s">
        <v>1538</v>
      </c>
      <c r="H18" t="s">
        <v>61</v>
      </c>
    </row>
    <row r="19" spans="1:8">
      <c r="A19">
        <v>82146</v>
      </c>
      <c r="B19" t="s">
        <v>493</v>
      </c>
      <c r="C19" t="s">
        <v>494</v>
      </c>
      <c r="D19" t="s">
        <v>1439</v>
      </c>
      <c r="E19" t="s">
        <v>692</v>
      </c>
      <c r="F19" t="s">
        <v>1371</v>
      </c>
      <c r="G19" t="s">
        <v>1540</v>
      </c>
      <c r="H19" t="s">
        <v>59</v>
      </c>
    </row>
    <row r="20" spans="1:8">
      <c r="A20">
        <v>86391</v>
      </c>
      <c r="B20" t="s">
        <v>495</v>
      </c>
      <c r="C20" t="s">
        <v>496</v>
      </c>
      <c r="D20" t="s">
        <v>1438</v>
      </c>
      <c r="E20" t="s">
        <v>692</v>
      </c>
      <c r="F20" t="s">
        <v>1371</v>
      </c>
      <c r="G20" t="s">
        <v>1531</v>
      </c>
      <c r="H20" t="s">
        <v>1845</v>
      </c>
    </row>
    <row r="21" spans="1:8">
      <c r="A21">
        <v>274433</v>
      </c>
      <c r="B21" t="s">
        <v>497</v>
      </c>
      <c r="C21" t="s">
        <v>498</v>
      </c>
      <c r="D21" t="s">
        <v>1439</v>
      </c>
      <c r="E21" t="s">
        <v>1012</v>
      </c>
      <c r="F21" t="s">
        <v>1371</v>
      </c>
      <c r="G21" t="s">
        <v>1540</v>
      </c>
      <c r="H21" t="s">
        <v>59</v>
      </c>
    </row>
    <row r="22" spans="1:8">
      <c r="A22">
        <v>229143</v>
      </c>
      <c r="B22" t="s">
        <v>499</v>
      </c>
      <c r="C22" t="s">
        <v>500</v>
      </c>
      <c r="D22" t="s">
        <v>1439</v>
      </c>
      <c r="E22" t="s">
        <v>2395</v>
      </c>
      <c r="F22" t="s">
        <v>604</v>
      </c>
      <c r="G22" t="s">
        <v>1541</v>
      </c>
      <c r="H22" t="s">
        <v>65</v>
      </c>
    </row>
    <row r="23" spans="1:8">
      <c r="A23">
        <v>310708</v>
      </c>
      <c r="B23" t="s">
        <v>501</v>
      </c>
      <c r="C23" t="s">
        <v>502</v>
      </c>
      <c r="D23" t="s">
        <v>1439</v>
      </c>
      <c r="E23" t="s">
        <v>2395</v>
      </c>
      <c r="F23" t="s">
        <v>604</v>
      </c>
      <c r="G23" t="s">
        <v>1541</v>
      </c>
      <c r="H23" t="s">
        <v>65</v>
      </c>
    </row>
    <row r="24" spans="1:8">
      <c r="A24">
        <v>105429</v>
      </c>
      <c r="B24" t="s">
        <v>503</v>
      </c>
      <c r="C24" t="s">
        <v>504</v>
      </c>
      <c r="D24" t="s">
        <v>1439</v>
      </c>
      <c r="E24" t="s">
        <v>598</v>
      </c>
      <c r="F24" t="s">
        <v>1375</v>
      </c>
      <c r="G24" t="s">
        <v>1535</v>
      </c>
      <c r="H24" t="s">
        <v>62</v>
      </c>
    </row>
    <row r="25" spans="1:8">
      <c r="A25">
        <v>299281</v>
      </c>
      <c r="B25" t="s">
        <v>505</v>
      </c>
      <c r="C25" t="s">
        <v>506</v>
      </c>
      <c r="D25" t="s">
        <v>1439</v>
      </c>
      <c r="E25" t="s">
        <v>1338</v>
      </c>
      <c r="F25" t="s">
        <v>1381</v>
      </c>
      <c r="G25" t="s">
        <v>1541</v>
      </c>
      <c r="H25" t="s">
        <v>65</v>
      </c>
    </row>
    <row r="26" spans="1:8">
      <c r="A26">
        <v>198627</v>
      </c>
      <c r="B26" t="s">
        <v>507</v>
      </c>
      <c r="C26" t="s">
        <v>508</v>
      </c>
      <c r="D26" t="s">
        <v>1439</v>
      </c>
      <c r="E26" t="s">
        <v>512</v>
      </c>
      <c r="F26" t="s">
        <v>604</v>
      </c>
      <c r="G26" t="s">
        <v>1541</v>
      </c>
      <c r="H26" t="s">
        <v>65</v>
      </c>
    </row>
    <row r="27" spans="1:8">
      <c r="A27">
        <v>65220</v>
      </c>
      <c r="B27" t="s">
        <v>509</v>
      </c>
      <c r="C27" t="s">
        <v>510</v>
      </c>
      <c r="D27" t="s">
        <v>1439</v>
      </c>
      <c r="E27" t="s">
        <v>929</v>
      </c>
      <c r="F27" t="s">
        <v>1378</v>
      </c>
      <c r="G27" t="s">
        <v>1542</v>
      </c>
      <c r="H27" t="s">
        <v>68</v>
      </c>
    </row>
    <row r="28" spans="1:8">
      <c r="A28">
        <v>86394</v>
      </c>
      <c r="B28" t="s">
        <v>511</v>
      </c>
      <c r="C28" t="s">
        <v>512</v>
      </c>
      <c r="D28" t="s">
        <v>1441</v>
      </c>
      <c r="E28" t="s">
        <v>604</v>
      </c>
      <c r="F28" t="s">
        <v>1380</v>
      </c>
      <c r="G28" t="s">
        <v>1425</v>
      </c>
      <c r="H28" t="s">
        <v>1845</v>
      </c>
    </row>
    <row r="29" spans="1:8">
      <c r="A29">
        <v>283504</v>
      </c>
      <c r="B29" t="s">
        <v>513</v>
      </c>
      <c r="C29" t="s">
        <v>514</v>
      </c>
      <c r="D29" t="s">
        <v>1439</v>
      </c>
      <c r="E29" t="s">
        <v>584</v>
      </c>
      <c r="F29" t="s">
        <v>1374</v>
      </c>
      <c r="G29" t="s">
        <v>1536</v>
      </c>
      <c r="H29" t="s">
        <v>67</v>
      </c>
    </row>
    <row r="30" spans="1:8">
      <c r="A30">
        <v>239045</v>
      </c>
      <c r="B30" t="s">
        <v>515</v>
      </c>
      <c r="C30" t="s">
        <v>516</v>
      </c>
      <c r="D30" t="s">
        <v>1439</v>
      </c>
      <c r="E30" t="s">
        <v>947</v>
      </c>
      <c r="F30" t="s">
        <v>1371</v>
      </c>
      <c r="G30" t="s">
        <v>1540</v>
      </c>
      <c r="H30" t="s">
        <v>59</v>
      </c>
    </row>
    <row r="31" spans="1:8">
      <c r="A31">
        <v>221725</v>
      </c>
      <c r="B31" t="s">
        <v>517</v>
      </c>
      <c r="C31" t="s">
        <v>518</v>
      </c>
      <c r="D31" t="s">
        <v>1439</v>
      </c>
      <c r="E31" t="s">
        <v>512</v>
      </c>
      <c r="F31" t="s">
        <v>604</v>
      </c>
      <c r="G31" t="s">
        <v>1541</v>
      </c>
      <c r="H31" t="s">
        <v>65</v>
      </c>
    </row>
    <row r="32" spans="1:8">
      <c r="A32">
        <v>274391</v>
      </c>
      <c r="B32" t="s">
        <v>519</v>
      </c>
      <c r="C32" t="s">
        <v>520</v>
      </c>
      <c r="D32" t="s">
        <v>1439</v>
      </c>
      <c r="E32" t="s">
        <v>1273</v>
      </c>
      <c r="F32" t="s">
        <v>1374</v>
      </c>
      <c r="G32" t="s">
        <v>1536</v>
      </c>
      <c r="H32" t="s">
        <v>67</v>
      </c>
    </row>
    <row r="33" spans="1:8">
      <c r="A33">
        <v>273688</v>
      </c>
      <c r="B33" t="s">
        <v>521</v>
      </c>
      <c r="C33" t="s">
        <v>522</v>
      </c>
      <c r="D33" t="s">
        <v>1439</v>
      </c>
      <c r="E33" t="s">
        <v>1207</v>
      </c>
      <c r="F33" t="s">
        <v>1375</v>
      </c>
      <c r="G33" t="s">
        <v>1543</v>
      </c>
      <c r="H33" t="s">
        <v>66</v>
      </c>
    </row>
    <row r="34" spans="1:8">
      <c r="A34">
        <v>275796</v>
      </c>
      <c r="B34" t="s">
        <v>525</v>
      </c>
      <c r="C34" t="s">
        <v>526</v>
      </c>
      <c r="D34" t="s">
        <v>1439</v>
      </c>
      <c r="E34" t="s">
        <v>584</v>
      </c>
      <c r="F34" t="s">
        <v>1374</v>
      </c>
      <c r="G34" t="s">
        <v>1544</v>
      </c>
      <c r="H34" t="s">
        <v>67</v>
      </c>
    </row>
    <row r="35" spans="1:8">
      <c r="A35">
        <v>278976</v>
      </c>
      <c r="B35" t="s">
        <v>527</v>
      </c>
      <c r="C35" t="s">
        <v>528</v>
      </c>
      <c r="D35" t="s">
        <v>1439</v>
      </c>
      <c r="E35" t="s">
        <v>1207</v>
      </c>
      <c r="F35" t="s">
        <v>1375</v>
      </c>
      <c r="G35" t="s">
        <v>1543</v>
      </c>
      <c r="H35" t="s">
        <v>66</v>
      </c>
    </row>
    <row r="36" spans="1:8">
      <c r="A36">
        <v>310999</v>
      </c>
      <c r="B36" t="s">
        <v>529</v>
      </c>
      <c r="C36" t="s">
        <v>530</v>
      </c>
      <c r="D36" t="s">
        <v>1439</v>
      </c>
      <c r="E36" t="s">
        <v>1108</v>
      </c>
      <c r="F36" t="s">
        <v>1378</v>
      </c>
      <c r="G36" t="s">
        <v>1552</v>
      </c>
      <c r="H36" t="s">
        <v>61</v>
      </c>
    </row>
    <row r="37" spans="1:8">
      <c r="A37">
        <v>107733</v>
      </c>
      <c r="B37" t="s">
        <v>531</v>
      </c>
      <c r="C37" t="s">
        <v>532</v>
      </c>
      <c r="D37" t="s">
        <v>1439</v>
      </c>
      <c r="E37" t="s">
        <v>1338</v>
      </c>
      <c r="F37" t="s">
        <v>1381</v>
      </c>
      <c r="G37" t="s">
        <v>1533</v>
      </c>
      <c r="H37" t="s">
        <v>65</v>
      </c>
    </row>
    <row r="38" spans="1:8">
      <c r="A38">
        <v>311036</v>
      </c>
      <c r="B38" t="s">
        <v>533</v>
      </c>
      <c r="C38" t="s">
        <v>534</v>
      </c>
      <c r="D38" t="s">
        <v>1439</v>
      </c>
      <c r="E38" t="s">
        <v>791</v>
      </c>
      <c r="F38" t="s">
        <v>1381</v>
      </c>
      <c r="G38" t="s">
        <v>1541</v>
      </c>
      <c r="H38" t="s">
        <v>65</v>
      </c>
    </row>
    <row r="39" spans="1:8">
      <c r="A39">
        <v>201932</v>
      </c>
      <c r="B39" t="s">
        <v>535</v>
      </c>
      <c r="C39" t="s">
        <v>536</v>
      </c>
      <c r="D39" t="s">
        <v>1439</v>
      </c>
      <c r="E39" t="s">
        <v>1346</v>
      </c>
      <c r="F39" t="s">
        <v>1374</v>
      </c>
      <c r="G39" t="s">
        <v>1545</v>
      </c>
      <c r="H39" t="s">
        <v>67</v>
      </c>
    </row>
    <row r="40" spans="1:8">
      <c r="A40">
        <v>245766</v>
      </c>
      <c r="B40" t="s">
        <v>537</v>
      </c>
      <c r="C40" t="s">
        <v>538</v>
      </c>
      <c r="D40" t="s">
        <v>1439</v>
      </c>
      <c r="E40" t="s">
        <v>937</v>
      </c>
      <c r="F40" t="s">
        <v>1378</v>
      </c>
      <c r="G40" t="s">
        <v>1533</v>
      </c>
      <c r="H40" t="s">
        <v>61</v>
      </c>
    </row>
    <row r="41" spans="1:8">
      <c r="A41">
        <v>274263</v>
      </c>
      <c r="B41" t="s">
        <v>539</v>
      </c>
      <c r="C41" t="s">
        <v>540</v>
      </c>
      <c r="D41" t="s">
        <v>1439</v>
      </c>
      <c r="E41" t="s">
        <v>692</v>
      </c>
      <c r="F41" t="s">
        <v>1371</v>
      </c>
      <c r="G41" t="s">
        <v>1540</v>
      </c>
      <c r="H41" t="s">
        <v>59</v>
      </c>
    </row>
    <row r="42" spans="1:8">
      <c r="A42">
        <v>240742</v>
      </c>
      <c r="B42" t="s">
        <v>541</v>
      </c>
      <c r="C42" t="s">
        <v>542</v>
      </c>
      <c r="D42" t="s">
        <v>1439</v>
      </c>
      <c r="E42" t="s">
        <v>2396</v>
      </c>
      <c r="F42" t="s">
        <v>1375</v>
      </c>
      <c r="G42" t="s">
        <v>1537</v>
      </c>
      <c r="H42" t="s">
        <v>62</v>
      </c>
    </row>
    <row r="43" spans="1:8">
      <c r="A43">
        <v>81328</v>
      </c>
      <c r="B43" t="s">
        <v>543</v>
      </c>
      <c r="C43" t="s">
        <v>544</v>
      </c>
      <c r="D43" t="s">
        <v>1439</v>
      </c>
      <c r="E43" t="s">
        <v>1108</v>
      </c>
      <c r="F43" t="s">
        <v>1378</v>
      </c>
      <c r="G43" t="s">
        <v>1546</v>
      </c>
      <c r="H43" t="s">
        <v>61</v>
      </c>
    </row>
    <row r="44" spans="1:8">
      <c r="A44">
        <v>202084</v>
      </c>
      <c r="B44" t="s">
        <v>545</v>
      </c>
      <c r="C44" t="s">
        <v>546</v>
      </c>
      <c r="D44" t="s">
        <v>1439</v>
      </c>
      <c r="E44" t="s">
        <v>937</v>
      </c>
      <c r="F44" t="s">
        <v>1378</v>
      </c>
      <c r="G44" t="s">
        <v>1547</v>
      </c>
      <c r="H44" t="s">
        <v>61</v>
      </c>
    </row>
    <row r="45" spans="1:8">
      <c r="A45">
        <v>29994</v>
      </c>
      <c r="B45" t="s">
        <v>547</v>
      </c>
      <c r="C45" t="s">
        <v>548</v>
      </c>
      <c r="D45" t="s">
        <v>1439</v>
      </c>
      <c r="E45" t="s">
        <v>1381</v>
      </c>
      <c r="F45" t="s">
        <v>1380</v>
      </c>
      <c r="G45" t="s">
        <v>1548</v>
      </c>
      <c r="H45" t="s">
        <v>63</v>
      </c>
    </row>
    <row r="46" spans="1:8">
      <c r="A46">
        <v>245674</v>
      </c>
      <c r="B46" t="s">
        <v>549</v>
      </c>
      <c r="C46" t="s">
        <v>550</v>
      </c>
      <c r="D46" t="s">
        <v>1439</v>
      </c>
      <c r="E46" t="s">
        <v>2396</v>
      </c>
      <c r="F46" t="s">
        <v>1375</v>
      </c>
      <c r="G46" t="s">
        <v>1537</v>
      </c>
      <c r="H46" t="s">
        <v>62</v>
      </c>
    </row>
    <row r="47" spans="1:8">
      <c r="A47">
        <v>272915</v>
      </c>
      <c r="B47" t="s">
        <v>551</v>
      </c>
      <c r="C47" t="s">
        <v>552</v>
      </c>
      <c r="D47" t="s">
        <v>1439</v>
      </c>
      <c r="E47" t="s">
        <v>1012</v>
      </c>
      <c r="F47" t="s">
        <v>1371</v>
      </c>
      <c r="G47" t="s">
        <v>1540</v>
      </c>
      <c r="H47" t="s">
        <v>59</v>
      </c>
    </row>
    <row r="48" spans="1:8">
      <c r="A48">
        <v>260248</v>
      </c>
      <c r="B48" t="s">
        <v>1450</v>
      </c>
      <c r="C48" t="s">
        <v>1442</v>
      </c>
      <c r="D48" t="s">
        <v>1439</v>
      </c>
      <c r="E48" t="s">
        <v>476</v>
      </c>
      <c r="F48" t="s">
        <v>1374</v>
      </c>
      <c r="G48" t="s">
        <v>1536</v>
      </c>
      <c r="H48" t="s">
        <v>67</v>
      </c>
    </row>
    <row r="49" spans="1:8">
      <c r="A49">
        <v>221748</v>
      </c>
      <c r="B49" t="s">
        <v>553</v>
      </c>
      <c r="C49" t="s">
        <v>554</v>
      </c>
      <c r="D49" t="s">
        <v>1439</v>
      </c>
      <c r="E49" t="s">
        <v>512</v>
      </c>
      <c r="F49" t="s">
        <v>604</v>
      </c>
      <c r="G49" t="s">
        <v>1541</v>
      </c>
      <c r="H49" t="s">
        <v>65</v>
      </c>
    </row>
    <row r="50" spans="1:8">
      <c r="A50">
        <v>279075</v>
      </c>
      <c r="B50" t="s">
        <v>555</v>
      </c>
      <c r="C50" t="s">
        <v>556</v>
      </c>
      <c r="D50" t="s">
        <v>1439</v>
      </c>
      <c r="E50" t="s">
        <v>947</v>
      </c>
      <c r="F50" t="s">
        <v>1371</v>
      </c>
      <c r="G50" t="s">
        <v>1540</v>
      </c>
      <c r="H50" t="s">
        <v>59</v>
      </c>
    </row>
    <row r="51" spans="1:8">
      <c r="A51">
        <v>299090</v>
      </c>
      <c r="B51" t="s">
        <v>557</v>
      </c>
      <c r="C51" t="s">
        <v>558</v>
      </c>
      <c r="D51" t="s">
        <v>1439</v>
      </c>
      <c r="E51" t="s">
        <v>1191</v>
      </c>
      <c r="F51" t="s">
        <v>1381</v>
      </c>
      <c r="G51" t="s">
        <v>1541</v>
      </c>
      <c r="H51" t="s">
        <v>65</v>
      </c>
    </row>
    <row r="52" spans="1:8">
      <c r="A52">
        <v>198840</v>
      </c>
      <c r="B52" t="s">
        <v>559</v>
      </c>
      <c r="C52" t="s">
        <v>560</v>
      </c>
      <c r="D52" t="s">
        <v>1439</v>
      </c>
      <c r="E52" t="s">
        <v>1108</v>
      </c>
      <c r="F52" t="s">
        <v>1378</v>
      </c>
      <c r="G52" t="s">
        <v>1533</v>
      </c>
      <c r="H52" t="s">
        <v>61</v>
      </c>
    </row>
    <row r="53" spans="1:8">
      <c r="A53">
        <v>194651</v>
      </c>
      <c r="B53" t="s">
        <v>561</v>
      </c>
      <c r="C53" t="s">
        <v>562</v>
      </c>
      <c r="D53" t="s">
        <v>1439</v>
      </c>
      <c r="E53" t="s">
        <v>791</v>
      </c>
      <c r="F53" t="s">
        <v>1381</v>
      </c>
      <c r="G53" t="s">
        <v>1541</v>
      </c>
      <c r="H53" t="s">
        <v>65</v>
      </c>
    </row>
    <row r="54" spans="1:8">
      <c r="A54">
        <v>273400</v>
      </c>
      <c r="B54" t="s">
        <v>563</v>
      </c>
      <c r="C54" t="s">
        <v>564</v>
      </c>
      <c r="D54" t="s">
        <v>1439</v>
      </c>
      <c r="E54" t="s">
        <v>1338</v>
      </c>
      <c r="F54" t="s">
        <v>1381</v>
      </c>
      <c r="G54" t="s">
        <v>1541</v>
      </c>
      <c r="H54" t="s">
        <v>65</v>
      </c>
    </row>
    <row r="55" spans="1:8">
      <c r="A55">
        <v>260820</v>
      </c>
      <c r="B55" t="s">
        <v>565</v>
      </c>
      <c r="C55" t="s">
        <v>566</v>
      </c>
      <c r="D55" t="s">
        <v>1439</v>
      </c>
      <c r="E55" t="s">
        <v>791</v>
      </c>
      <c r="F55" t="s">
        <v>1381</v>
      </c>
      <c r="G55" t="s">
        <v>1541</v>
      </c>
      <c r="H55" t="s">
        <v>65</v>
      </c>
    </row>
    <row r="56" spans="1:8">
      <c r="A56">
        <v>299290</v>
      </c>
      <c r="B56" t="s">
        <v>1357</v>
      </c>
      <c r="C56" t="s">
        <v>1358</v>
      </c>
      <c r="D56" t="s">
        <v>1439</v>
      </c>
      <c r="E56" t="s">
        <v>512</v>
      </c>
      <c r="F56" t="s">
        <v>604</v>
      </c>
      <c r="G56" t="s">
        <v>1541</v>
      </c>
      <c r="H56" t="s">
        <v>65</v>
      </c>
    </row>
    <row r="57" spans="1:8">
      <c r="A57">
        <v>276124</v>
      </c>
      <c r="B57" t="s">
        <v>567</v>
      </c>
      <c r="C57" t="s">
        <v>568</v>
      </c>
      <c r="D57" t="s">
        <v>1439</v>
      </c>
      <c r="E57" t="s">
        <v>1344</v>
      </c>
      <c r="F57" t="s">
        <v>604</v>
      </c>
      <c r="G57" t="s">
        <v>1541</v>
      </c>
      <c r="H57" t="s">
        <v>65</v>
      </c>
    </row>
    <row r="58" spans="1:8">
      <c r="A58">
        <v>310920</v>
      </c>
      <c r="B58" t="s">
        <v>569</v>
      </c>
      <c r="C58" t="s">
        <v>570</v>
      </c>
      <c r="D58" t="s">
        <v>1439</v>
      </c>
      <c r="E58" t="s">
        <v>1344</v>
      </c>
      <c r="F58" t="s">
        <v>604</v>
      </c>
      <c r="G58" t="s">
        <v>1541</v>
      </c>
      <c r="H58" t="s">
        <v>65</v>
      </c>
    </row>
    <row r="59" spans="1:8">
      <c r="A59">
        <v>229292</v>
      </c>
      <c r="B59" t="s">
        <v>571</v>
      </c>
      <c r="C59" t="s">
        <v>572</v>
      </c>
      <c r="D59" t="s">
        <v>1439</v>
      </c>
      <c r="E59" t="s">
        <v>2395</v>
      </c>
      <c r="F59" t="s">
        <v>604</v>
      </c>
      <c r="G59" t="s">
        <v>1541</v>
      </c>
      <c r="H59" t="s">
        <v>65</v>
      </c>
    </row>
    <row r="60" spans="1:8">
      <c r="A60">
        <v>32904</v>
      </c>
      <c r="B60" t="s">
        <v>573</v>
      </c>
      <c r="C60" t="s">
        <v>574</v>
      </c>
      <c r="D60" t="s">
        <v>1439</v>
      </c>
      <c r="E60" t="s">
        <v>929</v>
      </c>
      <c r="F60" t="s">
        <v>1378</v>
      </c>
      <c r="G60" t="s">
        <v>1534</v>
      </c>
      <c r="H60" t="s">
        <v>61</v>
      </c>
    </row>
    <row r="61" spans="1:8">
      <c r="A61">
        <v>196265</v>
      </c>
      <c r="B61" t="s">
        <v>575</v>
      </c>
      <c r="C61" t="s">
        <v>576</v>
      </c>
      <c r="D61" t="s">
        <v>1439</v>
      </c>
      <c r="E61" t="s">
        <v>1213</v>
      </c>
      <c r="F61" t="s">
        <v>1374</v>
      </c>
      <c r="G61" t="s">
        <v>1536</v>
      </c>
      <c r="H61" t="s">
        <v>67</v>
      </c>
    </row>
    <row r="62" spans="1:8">
      <c r="A62">
        <v>159082</v>
      </c>
      <c r="B62" t="s">
        <v>577</v>
      </c>
      <c r="C62" t="s">
        <v>578</v>
      </c>
      <c r="D62" t="s">
        <v>1439</v>
      </c>
      <c r="E62" t="s">
        <v>817</v>
      </c>
      <c r="F62" t="s">
        <v>1375</v>
      </c>
      <c r="G62" t="s">
        <v>1549</v>
      </c>
      <c r="H62" t="s">
        <v>64</v>
      </c>
    </row>
    <row r="63" spans="1:8">
      <c r="A63">
        <v>86302</v>
      </c>
      <c r="B63" t="s">
        <v>579</v>
      </c>
      <c r="C63" t="s">
        <v>580</v>
      </c>
      <c r="D63" t="s">
        <v>1439</v>
      </c>
      <c r="E63" t="s">
        <v>929</v>
      </c>
      <c r="F63" t="s">
        <v>1378</v>
      </c>
      <c r="G63" t="s">
        <v>1534</v>
      </c>
      <c r="H63" t="s">
        <v>61</v>
      </c>
    </row>
    <row r="64" spans="1:8">
      <c r="A64">
        <v>82660</v>
      </c>
      <c r="B64" t="s">
        <v>581</v>
      </c>
      <c r="C64" t="s">
        <v>582</v>
      </c>
      <c r="D64" t="s">
        <v>1439</v>
      </c>
      <c r="E64" t="s">
        <v>947</v>
      </c>
      <c r="F64" t="s">
        <v>1371</v>
      </c>
      <c r="G64" t="s">
        <v>1540</v>
      </c>
      <c r="H64" t="s">
        <v>59</v>
      </c>
    </row>
    <row r="65" spans="1:8">
      <c r="A65">
        <v>141193</v>
      </c>
      <c r="B65" t="s">
        <v>583</v>
      </c>
      <c r="C65" t="s">
        <v>584</v>
      </c>
      <c r="D65" t="s">
        <v>1441</v>
      </c>
      <c r="E65" t="s">
        <v>1374</v>
      </c>
      <c r="F65" t="s">
        <v>1380</v>
      </c>
      <c r="G65" t="s">
        <v>1425</v>
      </c>
      <c r="H65" t="s">
        <v>1845</v>
      </c>
    </row>
    <row r="66" spans="1:8">
      <c r="A66">
        <v>240692</v>
      </c>
      <c r="B66" t="s">
        <v>585</v>
      </c>
      <c r="C66" t="s">
        <v>586</v>
      </c>
      <c r="D66" t="s">
        <v>1439</v>
      </c>
      <c r="E66" t="s">
        <v>791</v>
      </c>
      <c r="F66" t="s">
        <v>1381</v>
      </c>
      <c r="G66" t="s">
        <v>1541</v>
      </c>
      <c r="H66" t="s">
        <v>65</v>
      </c>
    </row>
    <row r="67" spans="1:8">
      <c r="A67">
        <v>303650</v>
      </c>
      <c r="B67" t="s">
        <v>587</v>
      </c>
      <c r="C67" t="s">
        <v>588</v>
      </c>
      <c r="D67" t="s">
        <v>1439</v>
      </c>
      <c r="E67" t="s">
        <v>584</v>
      </c>
      <c r="F67" t="s">
        <v>1374</v>
      </c>
      <c r="G67" t="s">
        <v>1536</v>
      </c>
      <c r="H67" t="s">
        <v>67</v>
      </c>
    </row>
    <row r="68" spans="1:8">
      <c r="A68">
        <v>158836</v>
      </c>
      <c r="B68" t="s">
        <v>589</v>
      </c>
      <c r="C68" t="s">
        <v>590</v>
      </c>
      <c r="D68" t="s">
        <v>1439</v>
      </c>
      <c r="E68" t="s">
        <v>512</v>
      </c>
      <c r="F68" t="s">
        <v>604</v>
      </c>
      <c r="G68" t="s">
        <v>1550</v>
      </c>
      <c r="H68" t="s">
        <v>65</v>
      </c>
    </row>
    <row r="69" spans="1:8">
      <c r="A69">
        <v>299268</v>
      </c>
      <c r="B69" t="s">
        <v>591</v>
      </c>
      <c r="C69" t="s">
        <v>592</v>
      </c>
      <c r="D69" t="s">
        <v>1439</v>
      </c>
      <c r="E69" t="s">
        <v>512</v>
      </c>
      <c r="F69" t="s">
        <v>604</v>
      </c>
      <c r="G69" t="s">
        <v>1541</v>
      </c>
      <c r="H69" t="s">
        <v>65</v>
      </c>
    </row>
    <row r="70" spans="1:8">
      <c r="A70">
        <v>231273</v>
      </c>
      <c r="B70" t="s">
        <v>593</v>
      </c>
      <c r="C70" t="s">
        <v>594</v>
      </c>
      <c r="D70" t="s">
        <v>1439</v>
      </c>
      <c r="E70" t="s">
        <v>2395</v>
      </c>
      <c r="F70" t="s">
        <v>604</v>
      </c>
      <c r="G70" t="s">
        <v>1541</v>
      </c>
      <c r="H70" t="s">
        <v>65</v>
      </c>
    </row>
    <row r="71" spans="1:8">
      <c r="A71">
        <v>215423</v>
      </c>
      <c r="B71" t="s">
        <v>595</v>
      </c>
      <c r="C71" t="s">
        <v>596</v>
      </c>
      <c r="D71" t="s">
        <v>1439</v>
      </c>
      <c r="E71" t="s">
        <v>2395</v>
      </c>
      <c r="F71" t="s">
        <v>604</v>
      </c>
      <c r="G71" t="s">
        <v>1541</v>
      </c>
      <c r="H71" t="s">
        <v>65</v>
      </c>
    </row>
    <row r="72" spans="1:8">
      <c r="A72">
        <v>65305</v>
      </c>
      <c r="B72" t="s">
        <v>597</v>
      </c>
      <c r="C72" t="s">
        <v>598</v>
      </c>
      <c r="D72" t="s">
        <v>1441</v>
      </c>
      <c r="E72" t="s">
        <v>1375</v>
      </c>
      <c r="F72" t="s">
        <v>1380</v>
      </c>
      <c r="G72" t="s">
        <v>1425</v>
      </c>
      <c r="H72" t="s">
        <v>1845</v>
      </c>
    </row>
    <row r="73" spans="1:8">
      <c r="A73">
        <v>150091</v>
      </c>
      <c r="B73" t="s">
        <v>599</v>
      </c>
      <c r="C73" t="s">
        <v>600</v>
      </c>
      <c r="D73" t="s">
        <v>1446</v>
      </c>
      <c r="E73" t="s">
        <v>1012</v>
      </c>
      <c r="F73" t="s">
        <v>1371</v>
      </c>
      <c r="G73" t="s">
        <v>1535</v>
      </c>
      <c r="H73" t="s">
        <v>60</v>
      </c>
    </row>
    <row r="74" spans="1:8">
      <c r="A74">
        <v>195031</v>
      </c>
      <c r="B74" t="s">
        <v>601</v>
      </c>
      <c r="C74" t="s">
        <v>602</v>
      </c>
      <c r="D74" t="s">
        <v>1439</v>
      </c>
      <c r="E74" t="s">
        <v>937</v>
      </c>
      <c r="F74" t="s">
        <v>1378</v>
      </c>
      <c r="G74" t="s">
        <v>1551</v>
      </c>
      <c r="H74" t="s">
        <v>61</v>
      </c>
    </row>
    <row r="75" spans="1:8">
      <c r="A75">
        <v>221142</v>
      </c>
      <c r="B75" t="s">
        <v>605</v>
      </c>
      <c r="C75" t="s">
        <v>606</v>
      </c>
      <c r="D75" t="s">
        <v>1439</v>
      </c>
      <c r="E75" t="s">
        <v>1012</v>
      </c>
      <c r="F75" t="s">
        <v>1371</v>
      </c>
      <c r="G75" t="s">
        <v>1540</v>
      </c>
      <c r="H75" t="s">
        <v>59</v>
      </c>
    </row>
    <row r="76" spans="1:8">
      <c r="A76">
        <v>230559</v>
      </c>
      <c r="B76" t="s">
        <v>607</v>
      </c>
      <c r="C76" t="s">
        <v>1795</v>
      </c>
      <c r="D76" t="s">
        <v>1439</v>
      </c>
      <c r="E76" t="s">
        <v>512</v>
      </c>
      <c r="F76" t="s">
        <v>604</v>
      </c>
      <c r="G76" t="s">
        <v>1541</v>
      </c>
      <c r="H76" t="s">
        <v>65</v>
      </c>
    </row>
    <row r="77" spans="1:8">
      <c r="A77">
        <v>187504</v>
      </c>
      <c r="B77" t="s">
        <v>608</v>
      </c>
      <c r="C77" t="s">
        <v>609</v>
      </c>
      <c r="D77" t="s">
        <v>1439</v>
      </c>
      <c r="E77" t="s">
        <v>791</v>
      </c>
      <c r="F77" t="s">
        <v>1381</v>
      </c>
      <c r="G77" t="s">
        <v>1541</v>
      </c>
      <c r="H77" t="s">
        <v>65</v>
      </c>
    </row>
    <row r="78" spans="1:8">
      <c r="A78">
        <v>194879</v>
      </c>
      <c r="B78" t="s">
        <v>610</v>
      </c>
      <c r="C78" t="s">
        <v>2397</v>
      </c>
      <c r="D78" t="s">
        <v>1439</v>
      </c>
      <c r="E78" t="s">
        <v>1191</v>
      </c>
      <c r="F78" t="s">
        <v>1381</v>
      </c>
      <c r="G78" t="s">
        <v>1541</v>
      </c>
      <c r="H78" t="s">
        <v>65</v>
      </c>
    </row>
    <row r="79" spans="1:8">
      <c r="A79">
        <v>172965</v>
      </c>
      <c r="B79" t="s">
        <v>611</v>
      </c>
      <c r="C79" t="s">
        <v>612</v>
      </c>
      <c r="D79" t="s">
        <v>1439</v>
      </c>
      <c r="E79" t="s">
        <v>929</v>
      </c>
      <c r="F79" t="s">
        <v>1378</v>
      </c>
      <c r="G79" t="s">
        <v>1542</v>
      </c>
      <c r="H79" t="s">
        <v>68</v>
      </c>
    </row>
    <row r="80" spans="1:8">
      <c r="A80">
        <v>194987</v>
      </c>
      <c r="B80" t="s">
        <v>613</v>
      </c>
      <c r="C80" t="s">
        <v>614</v>
      </c>
      <c r="D80" t="s">
        <v>1439</v>
      </c>
      <c r="E80" t="s">
        <v>1066</v>
      </c>
      <c r="F80" t="s">
        <v>1378</v>
      </c>
      <c r="G80" t="s">
        <v>1532</v>
      </c>
      <c r="H80" t="s">
        <v>58</v>
      </c>
    </row>
    <row r="81" spans="1:8">
      <c r="A81">
        <v>292099</v>
      </c>
      <c r="B81" t="s">
        <v>615</v>
      </c>
      <c r="C81" t="s">
        <v>616</v>
      </c>
      <c r="D81" t="s">
        <v>1439</v>
      </c>
      <c r="E81" t="s">
        <v>947</v>
      </c>
      <c r="F81" t="s">
        <v>1371</v>
      </c>
      <c r="G81" t="s">
        <v>1540</v>
      </c>
      <c r="H81" t="s">
        <v>59</v>
      </c>
    </row>
    <row r="82" spans="1:8">
      <c r="A82">
        <v>230860</v>
      </c>
      <c r="B82" t="s">
        <v>617</v>
      </c>
      <c r="C82" t="s">
        <v>618</v>
      </c>
      <c r="D82" t="s">
        <v>1439</v>
      </c>
      <c r="E82" t="s">
        <v>791</v>
      </c>
      <c r="F82" t="s">
        <v>1381</v>
      </c>
      <c r="G82" t="s">
        <v>1541</v>
      </c>
      <c r="H82" t="s">
        <v>65</v>
      </c>
    </row>
    <row r="83" spans="1:8">
      <c r="A83">
        <v>275826</v>
      </c>
      <c r="B83" t="s">
        <v>619</v>
      </c>
      <c r="C83" t="s">
        <v>620</v>
      </c>
      <c r="D83" t="s">
        <v>1439</v>
      </c>
      <c r="E83" t="s">
        <v>2395</v>
      </c>
      <c r="F83" t="s">
        <v>604</v>
      </c>
      <c r="G83" t="s">
        <v>1541</v>
      </c>
      <c r="H83" t="s">
        <v>65</v>
      </c>
    </row>
    <row r="84" spans="1:8">
      <c r="A84">
        <v>161133</v>
      </c>
      <c r="B84" t="s">
        <v>621</v>
      </c>
      <c r="C84" t="s">
        <v>622</v>
      </c>
      <c r="D84" t="s">
        <v>1439</v>
      </c>
      <c r="E84" t="s">
        <v>1207</v>
      </c>
      <c r="F84" t="s">
        <v>1375</v>
      </c>
      <c r="G84" t="s">
        <v>1543</v>
      </c>
      <c r="H84" t="s">
        <v>66</v>
      </c>
    </row>
    <row r="85" spans="1:8">
      <c r="A85">
        <v>276032</v>
      </c>
      <c r="B85" t="s">
        <v>623</v>
      </c>
      <c r="C85" t="s">
        <v>624</v>
      </c>
      <c r="D85" t="s">
        <v>1439</v>
      </c>
      <c r="E85" t="s">
        <v>1076</v>
      </c>
      <c r="F85" t="s">
        <v>1374</v>
      </c>
      <c r="G85" t="s">
        <v>1536</v>
      </c>
      <c r="H85" t="s">
        <v>67</v>
      </c>
    </row>
    <row r="86" spans="1:8">
      <c r="A86">
        <v>56737</v>
      </c>
      <c r="B86" t="s">
        <v>625</v>
      </c>
      <c r="C86" t="s">
        <v>626</v>
      </c>
      <c r="D86" t="s">
        <v>1440</v>
      </c>
      <c r="E86" t="s">
        <v>1381</v>
      </c>
      <c r="F86" t="s">
        <v>1380</v>
      </c>
      <c r="G86" t="s">
        <v>1535</v>
      </c>
      <c r="H86" t="s">
        <v>63</v>
      </c>
    </row>
    <row r="87" spans="1:8">
      <c r="A87">
        <v>310880</v>
      </c>
      <c r="B87" t="s">
        <v>627</v>
      </c>
      <c r="C87" t="s">
        <v>628</v>
      </c>
      <c r="D87" t="s">
        <v>1439</v>
      </c>
      <c r="E87" t="s">
        <v>955</v>
      </c>
      <c r="F87" t="s">
        <v>1375</v>
      </c>
      <c r="G87" t="s">
        <v>1537</v>
      </c>
      <c r="H87" t="s">
        <v>62</v>
      </c>
    </row>
    <row r="88" spans="1:8">
      <c r="A88">
        <v>189841</v>
      </c>
      <c r="B88" t="s">
        <v>629</v>
      </c>
      <c r="C88" t="s">
        <v>630</v>
      </c>
      <c r="D88" t="s">
        <v>1439</v>
      </c>
      <c r="E88" t="s">
        <v>1108</v>
      </c>
      <c r="F88" t="s">
        <v>1378</v>
      </c>
      <c r="G88" t="s">
        <v>1533</v>
      </c>
      <c r="H88" t="s">
        <v>61</v>
      </c>
    </row>
    <row r="89" spans="1:8">
      <c r="A89">
        <v>310819</v>
      </c>
      <c r="B89" t="s">
        <v>631</v>
      </c>
      <c r="C89" t="s">
        <v>632</v>
      </c>
      <c r="D89" t="s">
        <v>1439</v>
      </c>
      <c r="E89" t="s">
        <v>1076</v>
      </c>
      <c r="F89" t="s">
        <v>1374</v>
      </c>
      <c r="G89" t="s">
        <v>1536</v>
      </c>
      <c r="H89" t="s">
        <v>67</v>
      </c>
    </row>
    <row r="90" spans="1:8">
      <c r="A90">
        <v>260816</v>
      </c>
      <c r="B90" t="s">
        <v>633</v>
      </c>
      <c r="C90" t="s">
        <v>634</v>
      </c>
      <c r="D90" t="s">
        <v>1439</v>
      </c>
      <c r="E90" t="s">
        <v>791</v>
      </c>
      <c r="F90" t="s">
        <v>1381</v>
      </c>
      <c r="G90" t="s">
        <v>1541</v>
      </c>
      <c r="H90" t="s">
        <v>65</v>
      </c>
    </row>
    <row r="91" spans="1:8">
      <c r="A91">
        <v>260757</v>
      </c>
      <c r="B91" t="s">
        <v>635</v>
      </c>
      <c r="C91" t="s">
        <v>636</v>
      </c>
      <c r="D91" t="s">
        <v>1439</v>
      </c>
      <c r="E91" t="s">
        <v>2395</v>
      </c>
      <c r="F91" t="s">
        <v>604</v>
      </c>
      <c r="G91" t="s">
        <v>1541</v>
      </c>
      <c r="H91" t="s">
        <v>65</v>
      </c>
    </row>
    <row r="92" spans="1:8">
      <c r="A92">
        <v>298995</v>
      </c>
      <c r="B92" t="s">
        <v>637</v>
      </c>
      <c r="C92" t="s">
        <v>638</v>
      </c>
      <c r="D92" t="s">
        <v>1439</v>
      </c>
      <c r="E92" t="s">
        <v>1191</v>
      </c>
      <c r="F92" t="s">
        <v>1381</v>
      </c>
      <c r="G92" t="s">
        <v>1541</v>
      </c>
      <c r="H92" t="s">
        <v>65</v>
      </c>
    </row>
    <row r="93" spans="1:8">
      <c r="A93">
        <v>107157</v>
      </c>
      <c r="B93" t="s">
        <v>639</v>
      </c>
      <c r="C93" t="s">
        <v>640</v>
      </c>
      <c r="D93" t="s">
        <v>1439</v>
      </c>
      <c r="E93" t="s">
        <v>1338</v>
      </c>
      <c r="F93" t="s">
        <v>1381</v>
      </c>
      <c r="G93" t="s">
        <v>1541</v>
      </c>
      <c r="H93" t="s">
        <v>65</v>
      </c>
    </row>
    <row r="94" spans="1:8">
      <c r="A94">
        <v>106490</v>
      </c>
      <c r="B94" t="s">
        <v>641</v>
      </c>
      <c r="C94" t="s">
        <v>642</v>
      </c>
      <c r="D94" t="s">
        <v>1441</v>
      </c>
      <c r="E94" t="s">
        <v>1378</v>
      </c>
      <c r="F94" t="s">
        <v>1380</v>
      </c>
      <c r="G94" t="s">
        <v>1425</v>
      </c>
      <c r="H94" t="s">
        <v>1845</v>
      </c>
    </row>
    <row r="95" spans="1:8">
      <c r="A95">
        <v>297904</v>
      </c>
      <c r="B95" t="s">
        <v>643</v>
      </c>
      <c r="C95" t="s">
        <v>644</v>
      </c>
      <c r="D95" t="s">
        <v>1439</v>
      </c>
      <c r="E95" t="s">
        <v>1346</v>
      </c>
      <c r="F95" t="s">
        <v>1374</v>
      </c>
      <c r="G95" t="s">
        <v>1536</v>
      </c>
      <c r="H95" t="s">
        <v>67</v>
      </c>
    </row>
    <row r="96" spans="1:8">
      <c r="A96">
        <v>86494</v>
      </c>
      <c r="B96" t="s">
        <v>645</v>
      </c>
      <c r="C96" t="s">
        <v>646</v>
      </c>
      <c r="D96" t="s">
        <v>1439</v>
      </c>
      <c r="E96" t="s">
        <v>1108</v>
      </c>
      <c r="F96" t="s">
        <v>1378</v>
      </c>
      <c r="G96" t="s">
        <v>1552</v>
      </c>
      <c r="H96" t="s">
        <v>61</v>
      </c>
    </row>
    <row r="97" spans="1:8">
      <c r="A97">
        <v>279151</v>
      </c>
      <c r="B97" t="s">
        <v>647</v>
      </c>
      <c r="C97" t="s">
        <v>648</v>
      </c>
      <c r="D97" t="s">
        <v>1439</v>
      </c>
      <c r="E97" t="s">
        <v>1338</v>
      </c>
      <c r="F97" t="s">
        <v>1381</v>
      </c>
      <c r="G97" t="s">
        <v>1541</v>
      </c>
      <c r="H97" t="s">
        <v>65</v>
      </c>
    </row>
    <row r="98" spans="1:8">
      <c r="A98">
        <v>80247</v>
      </c>
      <c r="B98" t="s">
        <v>649</v>
      </c>
      <c r="C98" t="s">
        <v>650</v>
      </c>
      <c r="D98" t="s">
        <v>1439</v>
      </c>
      <c r="E98" t="s">
        <v>929</v>
      </c>
      <c r="F98" t="s">
        <v>1378</v>
      </c>
      <c r="G98" t="s">
        <v>1534</v>
      </c>
      <c r="H98" t="s">
        <v>61</v>
      </c>
    </row>
    <row r="99" spans="1:8">
      <c r="A99">
        <v>263668</v>
      </c>
      <c r="B99" t="s">
        <v>651</v>
      </c>
      <c r="C99" t="s">
        <v>652</v>
      </c>
      <c r="D99" t="s">
        <v>1439</v>
      </c>
      <c r="E99" t="s">
        <v>1012</v>
      </c>
      <c r="F99" t="s">
        <v>1371</v>
      </c>
      <c r="G99" t="s">
        <v>1553</v>
      </c>
      <c r="H99" t="s">
        <v>59</v>
      </c>
    </row>
    <row r="100" spans="1:8">
      <c r="A100">
        <v>273547</v>
      </c>
      <c r="B100" t="s">
        <v>653</v>
      </c>
      <c r="C100" t="s">
        <v>654</v>
      </c>
      <c r="D100" t="s">
        <v>1439</v>
      </c>
      <c r="E100" t="s">
        <v>791</v>
      </c>
      <c r="F100" t="s">
        <v>1381</v>
      </c>
      <c r="G100" t="s">
        <v>1541</v>
      </c>
      <c r="H100" t="s">
        <v>65</v>
      </c>
    </row>
    <row r="101" spans="1:8">
      <c r="A101">
        <v>221398</v>
      </c>
      <c r="B101" t="s">
        <v>655</v>
      </c>
      <c r="C101" t="s">
        <v>656</v>
      </c>
      <c r="D101" t="s">
        <v>1439</v>
      </c>
      <c r="E101" t="s">
        <v>1344</v>
      </c>
      <c r="F101" t="s">
        <v>604</v>
      </c>
      <c r="G101" t="s">
        <v>1541</v>
      </c>
      <c r="H101" t="s">
        <v>65</v>
      </c>
    </row>
    <row r="102" spans="1:8">
      <c r="A102">
        <v>275594</v>
      </c>
      <c r="B102" t="s">
        <v>657</v>
      </c>
      <c r="C102" t="s">
        <v>658</v>
      </c>
      <c r="D102" t="s">
        <v>1439</v>
      </c>
      <c r="E102" t="s">
        <v>1207</v>
      </c>
      <c r="F102" t="s">
        <v>1375</v>
      </c>
      <c r="G102" t="s">
        <v>1543</v>
      </c>
      <c r="H102" t="s">
        <v>66</v>
      </c>
    </row>
    <row r="103" spans="1:8">
      <c r="A103">
        <v>230808</v>
      </c>
      <c r="B103" t="s">
        <v>659</v>
      </c>
      <c r="C103" t="s">
        <v>660</v>
      </c>
      <c r="D103" t="s">
        <v>1439</v>
      </c>
      <c r="E103" t="s">
        <v>1346</v>
      </c>
      <c r="F103" t="s">
        <v>1374</v>
      </c>
      <c r="G103" t="s">
        <v>1536</v>
      </c>
      <c r="H103" t="s">
        <v>67</v>
      </c>
    </row>
    <row r="104" spans="1:8">
      <c r="A104">
        <v>211916</v>
      </c>
      <c r="B104" t="s">
        <v>661</v>
      </c>
      <c r="C104" t="s">
        <v>662</v>
      </c>
      <c r="D104" t="s">
        <v>1439</v>
      </c>
      <c r="E104" t="s">
        <v>1207</v>
      </c>
      <c r="F104" t="s">
        <v>1375</v>
      </c>
      <c r="G104" t="s">
        <v>1543</v>
      </c>
      <c r="H104" t="s">
        <v>66</v>
      </c>
    </row>
    <row r="105" spans="1:8">
      <c r="A105">
        <v>277479</v>
      </c>
      <c r="B105" t="s">
        <v>663</v>
      </c>
      <c r="C105" t="s">
        <v>664</v>
      </c>
      <c r="D105" t="s">
        <v>1439</v>
      </c>
      <c r="E105" t="s">
        <v>1213</v>
      </c>
      <c r="F105" t="s">
        <v>1374</v>
      </c>
      <c r="G105" t="s">
        <v>1536</v>
      </c>
      <c r="H105" t="s">
        <v>67</v>
      </c>
    </row>
    <row r="106" spans="1:8">
      <c r="A106">
        <v>194708</v>
      </c>
      <c r="B106" t="s">
        <v>665</v>
      </c>
      <c r="C106" t="s">
        <v>666</v>
      </c>
      <c r="D106" t="s">
        <v>1439</v>
      </c>
      <c r="E106" t="s">
        <v>1012</v>
      </c>
      <c r="F106" t="s">
        <v>1371</v>
      </c>
      <c r="G106" t="s">
        <v>1553</v>
      </c>
      <c r="H106" t="s">
        <v>60</v>
      </c>
    </row>
    <row r="107" spans="1:8">
      <c r="A107">
        <v>221709</v>
      </c>
      <c r="B107" t="s">
        <v>667</v>
      </c>
      <c r="C107" t="s">
        <v>668</v>
      </c>
      <c r="D107" t="s">
        <v>1439</v>
      </c>
      <c r="E107" t="s">
        <v>1344</v>
      </c>
      <c r="F107" t="s">
        <v>604</v>
      </c>
      <c r="G107" t="s">
        <v>1541</v>
      </c>
      <c r="H107" t="s">
        <v>65</v>
      </c>
    </row>
    <row r="108" spans="1:8">
      <c r="A108">
        <v>80829</v>
      </c>
      <c r="B108" t="s">
        <v>669</v>
      </c>
      <c r="C108" t="s">
        <v>670</v>
      </c>
      <c r="D108" t="s">
        <v>1439</v>
      </c>
      <c r="E108" t="s">
        <v>2396</v>
      </c>
      <c r="F108" t="s">
        <v>1375</v>
      </c>
      <c r="G108" t="s">
        <v>1537</v>
      </c>
      <c r="H108" t="s">
        <v>1845</v>
      </c>
    </row>
    <row r="109" spans="1:8">
      <c r="A109">
        <v>246262</v>
      </c>
      <c r="B109" t="s">
        <v>671</v>
      </c>
      <c r="C109" t="s">
        <v>672</v>
      </c>
      <c r="D109" t="s">
        <v>1439</v>
      </c>
      <c r="E109" t="s">
        <v>642</v>
      </c>
      <c r="F109" t="s">
        <v>1378</v>
      </c>
      <c r="G109" t="s">
        <v>1532</v>
      </c>
      <c r="H109" t="s">
        <v>58</v>
      </c>
    </row>
    <row r="110" spans="1:8">
      <c r="A110">
        <v>197085</v>
      </c>
      <c r="B110" t="s">
        <v>673</v>
      </c>
      <c r="C110" t="s">
        <v>674</v>
      </c>
      <c r="D110" t="s">
        <v>1439</v>
      </c>
      <c r="E110" t="s">
        <v>929</v>
      </c>
      <c r="F110" t="s">
        <v>1378</v>
      </c>
      <c r="G110" t="s">
        <v>1542</v>
      </c>
      <c r="H110" t="s">
        <v>68</v>
      </c>
    </row>
    <row r="111" spans="1:8">
      <c r="A111">
        <v>160864</v>
      </c>
      <c r="B111" t="s">
        <v>675</v>
      </c>
      <c r="C111" t="s">
        <v>676</v>
      </c>
      <c r="D111" t="s">
        <v>1438</v>
      </c>
      <c r="E111" t="s">
        <v>2395</v>
      </c>
      <c r="F111" t="s">
        <v>604</v>
      </c>
      <c r="G111" t="s">
        <v>1531</v>
      </c>
      <c r="H111" t="s">
        <v>1845</v>
      </c>
    </row>
    <row r="112" spans="1:8">
      <c r="A112">
        <v>267037</v>
      </c>
      <c r="B112" t="s">
        <v>677</v>
      </c>
      <c r="C112" t="s">
        <v>678</v>
      </c>
      <c r="D112" t="s">
        <v>1439</v>
      </c>
      <c r="E112" t="s">
        <v>1344</v>
      </c>
      <c r="F112" t="s">
        <v>604</v>
      </c>
      <c r="G112" t="s">
        <v>1541</v>
      </c>
      <c r="H112" t="s">
        <v>65</v>
      </c>
    </row>
    <row r="113" spans="1:8">
      <c r="A113">
        <v>220910</v>
      </c>
      <c r="B113" t="s">
        <v>679</v>
      </c>
      <c r="C113" t="s">
        <v>680</v>
      </c>
      <c r="D113" t="s">
        <v>1439</v>
      </c>
      <c r="E113" t="s">
        <v>947</v>
      </c>
      <c r="F113" t="s">
        <v>1371</v>
      </c>
      <c r="G113" t="s">
        <v>1540</v>
      </c>
      <c r="H113" t="s">
        <v>59</v>
      </c>
    </row>
    <row r="114" spans="1:8">
      <c r="A114">
        <v>118806</v>
      </c>
      <c r="B114" t="s">
        <v>681</v>
      </c>
      <c r="C114" t="s">
        <v>682</v>
      </c>
      <c r="D114" t="s">
        <v>1439</v>
      </c>
      <c r="E114" t="s">
        <v>929</v>
      </c>
      <c r="F114" t="s">
        <v>1378</v>
      </c>
      <c r="G114" t="s">
        <v>1534</v>
      </c>
      <c r="H114" t="s">
        <v>61</v>
      </c>
    </row>
    <row r="115" spans="1:8">
      <c r="A115">
        <v>221719</v>
      </c>
      <c r="B115" t="s">
        <v>683</v>
      </c>
      <c r="C115" t="s">
        <v>684</v>
      </c>
      <c r="D115" t="s">
        <v>1439</v>
      </c>
      <c r="E115" t="s">
        <v>1344</v>
      </c>
      <c r="F115" t="s">
        <v>604</v>
      </c>
      <c r="G115" t="s">
        <v>1541</v>
      </c>
      <c r="H115" t="s">
        <v>65</v>
      </c>
    </row>
    <row r="116" spans="1:8">
      <c r="A116">
        <v>275774</v>
      </c>
      <c r="B116" t="s">
        <v>685</v>
      </c>
      <c r="C116" t="s">
        <v>686</v>
      </c>
      <c r="D116" t="s">
        <v>1439</v>
      </c>
      <c r="E116" t="s">
        <v>1213</v>
      </c>
      <c r="F116" t="s">
        <v>1374</v>
      </c>
      <c r="G116" t="s">
        <v>1536</v>
      </c>
      <c r="H116" t="s">
        <v>67</v>
      </c>
    </row>
    <row r="117" spans="1:8">
      <c r="A117">
        <v>181816</v>
      </c>
      <c r="B117" t="s">
        <v>687</v>
      </c>
      <c r="C117" t="s">
        <v>688</v>
      </c>
      <c r="D117" t="s">
        <v>1439</v>
      </c>
      <c r="E117" t="s">
        <v>2395</v>
      </c>
      <c r="F117" t="s">
        <v>604</v>
      </c>
      <c r="G117" t="s">
        <v>1541</v>
      </c>
      <c r="H117" t="s">
        <v>65</v>
      </c>
    </row>
    <row r="118" spans="1:8">
      <c r="A118">
        <v>195696</v>
      </c>
      <c r="B118" t="s">
        <v>689</v>
      </c>
      <c r="C118" t="s">
        <v>690</v>
      </c>
      <c r="D118" t="s">
        <v>1439</v>
      </c>
      <c r="E118" t="s">
        <v>929</v>
      </c>
      <c r="F118" t="s">
        <v>1378</v>
      </c>
      <c r="G118" t="s">
        <v>1542</v>
      </c>
      <c r="H118" t="s">
        <v>68</v>
      </c>
    </row>
    <row r="119" spans="1:8">
      <c r="A119">
        <v>159279</v>
      </c>
      <c r="B119" t="s">
        <v>691</v>
      </c>
      <c r="C119" t="s">
        <v>692</v>
      </c>
      <c r="D119" t="s">
        <v>1441</v>
      </c>
      <c r="E119" t="s">
        <v>1371</v>
      </c>
      <c r="F119" t="s">
        <v>1380</v>
      </c>
      <c r="G119" t="s">
        <v>1425</v>
      </c>
      <c r="H119" t="s">
        <v>1845</v>
      </c>
    </row>
    <row r="120" spans="1:8">
      <c r="A120">
        <v>196104</v>
      </c>
      <c r="B120" t="s">
        <v>693</v>
      </c>
      <c r="C120" t="s">
        <v>694</v>
      </c>
      <c r="D120" t="s">
        <v>1439</v>
      </c>
      <c r="E120" t="s">
        <v>1213</v>
      </c>
      <c r="F120" t="s">
        <v>1374</v>
      </c>
      <c r="G120" t="s">
        <v>1536</v>
      </c>
      <c r="H120" t="s">
        <v>67</v>
      </c>
    </row>
    <row r="121" spans="1:8">
      <c r="A121">
        <v>187994</v>
      </c>
      <c r="B121" t="s">
        <v>695</v>
      </c>
      <c r="C121" t="s">
        <v>696</v>
      </c>
      <c r="D121" t="s">
        <v>1438</v>
      </c>
      <c r="E121" t="s">
        <v>1012</v>
      </c>
      <c r="F121" t="s">
        <v>1371</v>
      </c>
      <c r="G121" t="s">
        <v>1531</v>
      </c>
      <c r="H121" t="s">
        <v>1845</v>
      </c>
    </row>
    <row r="122" spans="1:8">
      <c r="A122">
        <v>277739</v>
      </c>
      <c r="B122" t="s">
        <v>697</v>
      </c>
      <c r="C122" t="s">
        <v>698</v>
      </c>
      <c r="D122" t="s">
        <v>1439</v>
      </c>
      <c r="E122" t="s">
        <v>1012</v>
      </c>
      <c r="F122" t="s">
        <v>1371</v>
      </c>
      <c r="G122" t="s">
        <v>1540</v>
      </c>
      <c r="H122" t="s">
        <v>59</v>
      </c>
    </row>
    <row r="123" spans="1:8">
      <c r="A123">
        <v>293570</v>
      </c>
      <c r="B123" t="s">
        <v>699</v>
      </c>
      <c r="C123" t="s">
        <v>700</v>
      </c>
      <c r="D123" t="s">
        <v>1439</v>
      </c>
      <c r="E123" t="s">
        <v>955</v>
      </c>
      <c r="F123" t="s">
        <v>1375</v>
      </c>
      <c r="G123" t="s">
        <v>1537</v>
      </c>
      <c r="H123" t="s">
        <v>62</v>
      </c>
    </row>
    <row r="124" spans="1:8">
      <c r="A124">
        <v>266572</v>
      </c>
      <c r="B124" t="s">
        <v>701</v>
      </c>
      <c r="C124" t="s">
        <v>702</v>
      </c>
      <c r="D124" t="s">
        <v>1439</v>
      </c>
      <c r="E124" t="s">
        <v>1012</v>
      </c>
      <c r="F124" t="s">
        <v>1371</v>
      </c>
      <c r="G124" t="s">
        <v>1540</v>
      </c>
      <c r="H124" t="s">
        <v>59</v>
      </c>
    </row>
    <row r="125" spans="1:8">
      <c r="A125">
        <v>303499</v>
      </c>
      <c r="B125" t="s">
        <v>703</v>
      </c>
      <c r="C125" t="s">
        <v>704</v>
      </c>
      <c r="D125" t="s">
        <v>1439</v>
      </c>
      <c r="E125" t="s">
        <v>1273</v>
      </c>
      <c r="F125" t="s">
        <v>1374</v>
      </c>
      <c r="G125" t="s">
        <v>1536</v>
      </c>
      <c r="H125" t="s">
        <v>67</v>
      </c>
    </row>
    <row r="126" spans="1:8">
      <c r="A126">
        <v>274757</v>
      </c>
      <c r="B126" t="s">
        <v>705</v>
      </c>
      <c r="C126" t="s">
        <v>706</v>
      </c>
      <c r="D126" t="s">
        <v>1439</v>
      </c>
      <c r="E126" t="s">
        <v>692</v>
      </c>
      <c r="F126" t="s">
        <v>1371</v>
      </c>
      <c r="G126" t="s">
        <v>1540</v>
      </c>
      <c r="H126" t="s">
        <v>59</v>
      </c>
    </row>
    <row r="127" spans="1:8">
      <c r="A127">
        <v>105400</v>
      </c>
      <c r="B127" t="s">
        <v>707</v>
      </c>
      <c r="C127" t="s">
        <v>708</v>
      </c>
      <c r="D127" t="s">
        <v>1439</v>
      </c>
      <c r="E127" t="s">
        <v>947</v>
      </c>
      <c r="F127" t="s">
        <v>1371</v>
      </c>
      <c r="G127" t="s">
        <v>1553</v>
      </c>
      <c r="H127" t="s">
        <v>60</v>
      </c>
    </row>
    <row r="128" spans="1:8">
      <c r="A128">
        <v>278785</v>
      </c>
      <c r="B128" t="s">
        <v>709</v>
      </c>
      <c r="C128" t="s">
        <v>710</v>
      </c>
      <c r="D128" t="s">
        <v>1439</v>
      </c>
      <c r="E128" t="s">
        <v>1344</v>
      </c>
      <c r="F128" t="s">
        <v>604</v>
      </c>
      <c r="G128" t="s">
        <v>1541</v>
      </c>
      <c r="H128" t="s">
        <v>65</v>
      </c>
    </row>
    <row r="129" spans="1:8">
      <c r="A129">
        <v>194731</v>
      </c>
      <c r="B129" t="s">
        <v>711</v>
      </c>
      <c r="C129" t="s">
        <v>712</v>
      </c>
      <c r="D129" t="s">
        <v>1439</v>
      </c>
      <c r="E129" t="s">
        <v>642</v>
      </c>
      <c r="F129" t="s">
        <v>1378</v>
      </c>
      <c r="G129" t="s">
        <v>1532</v>
      </c>
      <c r="H129" t="s">
        <v>58</v>
      </c>
    </row>
    <row r="130" spans="1:8">
      <c r="A130">
        <v>274765</v>
      </c>
      <c r="B130" t="s">
        <v>713</v>
      </c>
      <c r="C130" t="s">
        <v>714</v>
      </c>
      <c r="D130" t="s">
        <v>1439</v>
      </c>
      <c r="E130" t="s">
        <v>1213</v>
      </c>
      <c r="F130" t="s">
        <v>1374</v>
      </c>
      <c r="G130" t="s">
        <v>1536</v>
      </c>
      <c r="H130" t="s">
        <v>67</v>
      </c>
    </row>
    <row r="131" spans="1:8">
      <c r="A131">
        <v>310935</v>
      </c>
      <c r="B131" t="s">
        <v>715</v>
      </c>
      <c r="C131" t="s">
        <v>716</v>
      </c>
      <c r="D131" t="s">
        <v>1439</v>
      </c>
      <c r="E131" t="s">
        <v>1344</v>
      </c>
      <c r="F131" t="s">
        <v>604</v>
      </c>
      <c r="G131" t="s">
        <v>1541</v>
      </c>
      <c r="H131" t="s">
        <v>65</v>
      </c>
    </row>
    <row r="132" spans="1:8">
      <c r="A132">
        <v>259994</v>
      </c>
      <c r="B132" t="s">
        <v>717</v>
      </c>
      <c r="C132" t="s">
        <v>718</v>
      </c>
      <c r="D132" t="s">
        <v>1439</v>
      </c>
      <c r="E132" t="s">
        <v>817</v>
      </c>
      <c r="F132" t="s">
        <v>1375</v>
      </c>
      <c r="G132" t="s">
        <v>1549</v>
      </c>
      <c r="H132" t="s">
        <v>64</v>
      </c>
    </row>
    <row r="133" spans="1:8">
      <c r="A133">
        <v>292230</v>
      </c>
      <c r="B133" t="s">
        <v>719</v>
      </c>
      <c r="C133" t="s">
        <v>720</v>
      </c>
      <c r="D133" t="s">
        <v>1439</v>
      </c>
      <c r="E133" t="s">
        <v>1338</v>
      </c>
      <c r="F133" t="s">
        <v>1381</v>
      </c>
      <c r="G133" t="s">
        <v>1541</v>
      </c>
      <c r="H133" t="s">
        <v>65</v>
      </c>
    </row>
    <row r="134" spans="1:8">
      <c r="A134">
        <v>299603</v>
      </c>
      <c r="B134" t="s">
        <v>721</v>
      </c>
      <c r="C134" t="s">
        <v>722</v>
      </c>
      <c r="D134" t="s">
        <v>1439</v>
      </c>
      <c r="E134" t="s">
        <v>1338</v>
      </c>
      <c r="F134" t="s">
        <v>1381</v>
      </c>
      <c r="G134" t="s">
        <v>1541</v>
      </c>
      <c r="H134" t="s">
        <v>65</v>
      </c>
    </row>
    <row r="135" spans="1:8">
      <c r="A135">
        <v>196095</v>
      </c>
      <c r="B135" t="s">
        <v>723</v>
      </c>
      <c r="C135" t="s">
        <v>1796</v>
      </c>
      <c r="D135" t="s">
        <v>1439</v>
      </c>
      <c r="E135" t="s">
        <v>692</v>
      </c>
      <c r="F135" t="s">
        <v>1371</v>
      </c>
      <c r="G135" t="s">
        <v>1540</v>
      </c>
      <c r="H135" t="s">
        <v>59</v>
      </c>
    </row>
    <row r="136" spans="1:8">
      <c r="A136">
        <v>293453</v>
      </c>
      <c r="B136" t="s">
        <v>724</v>
      </c>
      <c r="C136" t="s">
        <v>725</v>
      </c>
      <c r="D136" t="s">
        <v>1439</v>
      </c>
      <c r="E136" t="s">
        <v>1338</v>
      </c>
      <c r="F136" t="s">
        <v>1381</v>
      </c>
      <c r="G136" t="s">
        <v>1541</v>
      </c>
      <c r="H136" t="s">
        <v>65</v>
      </c>
    </row>
    <row r="137" spans="1:8">
      <c r="A137">
        <v>310711</v>
      </c>
      <c r="B137" t="s">
        <v>726</v>
      </c>
      <c r="C137" t="s">
        <v>727</v>
      </c>
      <c r="D137" t="s">
        <v>1439</v>
      </c>
      <c r="E137" t="s">
        <v>2395</v>
      </c>
      <c r="F137" t="s">
        <v>604</v>
      </c>
      <c r="G137" t="s">
        <v>1541</v>
      </c>
      <c r="H137" t="s">
        <v>65</v>
      </c>
    </row>
    <row r="138" spans="1:8">
      <c r="A138">
        <v>278709</v>
      </c>
      <c r="B138" t="s">
        <v>728</v>
      </c>
      <c r="C138" t="s">
        <v>729</v>
      </c>
      <c r="D138" t="s">
        <v>1439</v>
      </c>
      <c r="E138" t="s">
        <v>1207</v>
      </c>
      <c r="F138" t="s">
        <v>1375</v>
      </c>
      <c r="G138" t="s">
        <v>1543</v>
      </c>
      <c r="H138" t="s">
        <v>66</v>
      </c>
    </row>
    <row r="139" spans="1:8">
      <c r="A139">
        <v>145041</v>
      </c>
      <c r="B139" t="s">
        <v>730</v>
      </c>
      <c r="C139" t="s">
        <v>731</v>
      </c>
      <c r="D139" t="s">
        <v>1439</v>
      </c>
      <c r="E139" t="s">
        <v>937</v>
      </c>
      <c r="F139" t="s">
        <v>1378</v>
      </c>
      <c r="G139" t="s">
        <v>1536</v>
      </c>
      <c r="H139" t="s">
        <v>61</v>
      </c>
    </row>
    <row r="140" spans="1:8">
      <c r="A140">
        <v>231088</v>
      </c>
      <c r="B140" t="s">
        <v>732</v>
      </c>
      <c r="C140" t="s">
        <v>733</v>
      </c>
      <c r="D140" t="s">
        <v>1439</v>
      </c>
      <c r="E140" t="s">
        <v>598</v>
      </c>
      <c r="F140" t="s">
        <v>1375</v>
      </c>
      <c r="G140" t="s">
        <v>1537</v>
      </c>
      <c r="H140" t="s">
        <v>62</v>
      </c>
    </row>
    <row r="141" spans="1:8">
      <c r="A141">
        <v>194804</v>
      </c>
      <c r="B141" t="s">
        <v>1359</v>
      </c>
      <c r="C141" t="s">
        <v>1360</v>
      </c>
      <c r="D141" t="s">
        <v>1439</v>
      </c>
      <c r="E141" t="s">
        <v>1108</v>
      </c>
      <c r="F141" t="s">
        <v>1378</v>
      </c>
      <c r="G141" t="s">
        <v>1547</v>
      </c>
      <c r="H141" t="s">
        <v>61</v>
      </c>
    </row>
    <row r="142" spans="1:8">
      <c r="A142">
        <v>273687</v>
      </c>
      <c r="B142" t="s">
        <v>734</v>
      </c>
      <c r="C142" t="s">
        <v>735</v>
      </c>
      <c r="D142" t="s">
        <v>1439</v>
      </c>
      <c r="E142" t="s">
        <v>1207</v>
      </c>
      <c r="F142" t="s">
        <v>1375</v>
      </c>
      <c r="G142" t="s">
        <v>1543</v>
      </c>
      <c r="H142" t="s">
        <v>66</v>
      </c>
    </row>
    <row r="143" spans="1:8">
      <c r="A143">
        <v>172954</v>
      </c>
      <c r="B143" t="s">
        <v>736</v>
      </c>
      <c r="C143" t="s">
        <v>737</v>
      </c>
      <c r="D143" t="s">
        <v>1439</v>
      </c>
      <c r="E143" t="s">
        <v>1344</v>
      </c>
      <c r="F143" t="s">
        <v>604</v>
      </c>
      <c r="G143" t="s">
        <v>1554</v>
      </c>
      <c r="H143" t="s">
        <v>65</v>
      </c>
    </row>
    <row r="144" spans="1:8">
      <c r="A144">
        <v>77701</v>
      </c>
      <c r="B144" t="s">
        <v>738</v>
      </c>
      <c r="C144" t="s">
        <v>739</v>
      </c>
      <c r="D144" t="s">
        <v>1439</v>
      </c>
      <c r="E144" t="s">
        <v>1108</v>
      </c>
      <c r="F144" t="s">
        <v>1378</v>
      </c>
      <c r="G144" t="s">
        <v>1547</v>
      </c>
      <c r="H144" t="s">
        <v>61</v>
      </c>
    </row>
    <row r="145" spans="1:8">
      <c r="A145">
        <v>181312</v>
      </c>
      <c r="B145" t="s">
        <v>740</v>
      </c>
      <c r="C145" t="s">
        <v>741</v>
      </c>
      <c r="D145" t="s">
        <v>1438</v>
      </c>
      <c r="E145" t="s">
        <v>947</v>
      </c>
      <c r="F145" t="s">
        <v>1371</v>
      </c>
      <c r="G145" t="s">
        <v>1531</v>
      </c>
      <c r="H145" t="s">
        <v>1845</v>
      </c>
    </row>
    <row r="146" spans="1:8">
      <c r="A146">
        <v>194575</v>
      </c>
      <c r="B146" t="s">
        <v>742</v>
      </c>
      <c r="C146" t="s">
        <v>743</v>
      </c>
      <c r="D146" t="s">
        <v>1439</v>
      </c>
      <c r="E146" t="s">
        <v>1338</v>
      </c>
      <c r="F146" t="s">
        <v>1381</v>
      </c>
      <c r="G146" t="s">
        <v>1541</v>
      </c>
      <c r="H146" t="s">
        <v>65</v>
      </c>
    </row>
    <row r="147" spans="1:8">
      <c r="A147">
        <v>198043</v>
      </c>
      <c r="B147" t="s">
        <v>744</v>
      </c>
      <c r="C147" t="s">
        <v>745</v>
      </c>
      <c r="D147" t="s">
        <v>1439</v>
      </c>
      <c r="E147" t="s">
        <v>1207</v>
      </c>
      <c r="F147" t="s">
        <v>1375</v>
      </c>
      <c r="G147" t="s">
        <v>1543</v>
      </c>
      <c r="H147" t="s">
        <v>66</v>
      </c>
    </row>
    <row r="148" spans="1:8">
      <c r="A148">
        <v>173037</v>
      </c>
      <c r="B148" t="s">
        <v>746</v>
      </c>
      <c r="C148" t="s">
        <v>747</v>
      </c>
      <c r="D148" t="s">
        <v>1439</v>
      </c>
      <c r="E148" t="s">
        <v>2395</v>
      </c>
      <c r="F148" t="s">
        <v>604</v>
      </c>
      <c r="G148" t="s">
        <v>1541</v>
      </c>
      <c r="H148" t="s">
        <v>65</v>
      </c>
    </row>
    <row r="149" spans="1:8">
      <c r="A149">
        <v>100885</v>
      </c>
      <c r="B149" t="s">
        <v>748</v>
      </c>
      <c r="C149" t="s">
        <v>749</v>
      </c>
      <c r="D149" t="s">
        <v>1439</v>
      </c>
      <c r="E149" t="s">
        <v>2395</v>
      </c>
      <c r="F149" t="s">
        <v>604</v>
      </c>
      <c r="G149" t="s">
        <v>1533</v>
      </c>
      <c r="H149" t="s">
        <v>65</v>
      </c>
    </row>
    <row r="150" spans="1:8">
      <c r="A150">
        <v>241933</v>
      </c>
      <c r="B150" t="s">
        <v>750</v>
      </c>
      <c r="C150" t="s">
        <v>751</v>
      </c>
      <c r="D150" t="s">
        <v>1439</v>
      </c>
      <c r="E150" t="s">
        <v>584</v>
      </c>
      <c r="F150" t="s">
        <v>1374</v>
      </c>
      <c r="G150" t="s">
        <v>1536</v>
      </c>
      <c r="H150" t="s">
        <v>67</v>
      </c>
    </row>
    <row r="151" spans="1:8">
      <c r="A151">
        <v>273376</v>
      </c>
      <c r="B151" t="s">
        <v>752</v>
      </c>
      <c r="C151" t="s">
        <v>753</v>
      </c>
      <c r="D151" t="s">
        <v>1439</v>
      </c>
      <c r="E151" t="s">
        <v>1338</v>
      </c>
      <c r="F151" t="s">
        <v>1381</v>
      </c>
      <c r="G151" t="s">
        <v>1541</v>
      </c>
      <c r="H151" t="s">
        <v>65</v>
      </c>
    </row>
    <row r="152" spans="1:8">
      <c r="A152">
        <v>181984</v>
      </c>
      <c r="B152" t="s">
        <v>754</v>
      </c>
      <c r="C152" t="s">
        <v>755</v>
      </c>
      <c r="D152" t="s">
        <v>1439</v>
      </c>
      <c r="E152" t="s">
        <v>817</v>
      </c>
      <c r="F152" t="s">
        <v>1375</v>
      </c>
      <c r="G152" t="s">
        <v>1549</v>
      </c>
      <c r="H152" t="s">
        <v>64</v>
      </c>
    </row>
    <row r="153" spans="1:8">
      <c r="A153">
        <v>230571</v>
      </c>
      <c r="B153" t="s">
        <v>756</v>
      </c>
      <c r="C153" t="s">
        <v>757</v>
      </c>
      <c r="D153" t="s">
        <v>1439</v>
      </c>
      <c r="E153" t="s">
        <v>1338</v>
      </c>
      <c r="F153" t="s">
        <v>1381</v>
      </c>
      <c r="G153" t="s">
        <v>1541</v>
      </c>
      <c r="H153" t="s">
        <v>65</v>
      </c>
    </row>
    <row r="154" spans="1:8">
      <c r="A154">
        <v>224360</v>
      </c>
      <c r="B154" t="s">
        <v>758</v>
      </c>
      <c r="C154" t="s">
        <v>2264</v>
      </c>
      <c r="D154" t="s">
        <v>1439</v>
      </c>
      <c r="E154" t="s">
        <v>817</v>
      </c>
      <c r="F154" t="s">
        <v>1375</v>
      </c>
      <c r="G154" t="s">
        <v>1549</v>
      </c>
      <c r="H154" t="s">
        <v>66</v>
      </c>
    </row>
    <row r="155" spans="1:8">
      <c r="A155">
        <v>277339</v>
      </c>
      <c r="B155" t="s">
        <v>759</v>
      </c>
      <c r="C155" t="s">
        <v>760</v>
      </c>
      <c r="D155" t="s">
        <v>1439</v>
      </c>
      <c r="E155" t="s">
        <v>476</v>
      </c>
      <c r="F155" t="s">
        <v>1374</v>
      </c>
      <c r="G155" t="s">
        <v>1536</v>
      </c>
      <c r="H155" t="s">
        <v>67</v>
      </c>
    </row>
    <row r="156" spans="1:8">
      <c r="A156">
        <v>297622</v>
      </c>
      <c r="B156" t="s">
        <v>761</v>
      </c>
      <c r="C156" t="s">
        <v>762</v>
      </c>
      <c r="D156" t="s">
        <v>1439</v>
      </c>
      <c r="E156" t="s">
        <v>1191</v>
      </c>
      <c r="F156" t="s">
        <v>1381</v>
      </c>
      <c r="G156" t="s">
        <v>1541</v>
      </c>
      <c r="H156" t="s">
        <v>65</v>
      </c>
    </row>
    <row r="157" spans="1:8">
      <c r="A157">
        <v>145021</v>
      </c>
      <c r="B157" t="s">
        <v>763</v>
      </c>
      <c r="C157" t="s">
        <v>764</v>
      </c>
      <c r="D157" t="s">
        <v>1439</v>
      </c>
      <c r="E157" t="s">
        <v>1344</v>
      </c>
      <c r="F157" t="s">
        <v>604</v>
      </c>
      <c r="G157" t="s">
        <v>1550</v>
      </c>
      <c r="H157" t="s">
        <v>65</v>
      </c>
    </row>
    <row r="158" spans="1:8">
      <c r="A158">
        <v>196352</v>
      </c>
      <c r="B158" t="s">
        <v>765</v>
      </c>
      <c r="C158" t="s">
        <v>766</v>
      </c>
      <c r="D158" t="s">
        <v>1439</v>
      </c>
      <c r="E158" t="s">
        <v>929</v>
      </c>
      <c r="F158" t="s">
        <v>1378</v>
      </c>
      <c r="G158" t="s">
        <v>1542</v>
      </c>
      <c r="H158" t="s">
        <v>68</v>
      </c>
    </row>
    <row r="159" spans="1:8">
      <c r="A159">
        <v>111870</v>
      </c>
      <c r="B159" t="s">
        <v>767</v>
      </c>
      <c r="C159" t="s">
        <v>768</v>
      </c>
      <c r="D159" t="s">
        <v>1439</v>
      </c>
      <c r="E159" t="s">
        <v>791</v>
      </c>
      <c r="F159" t="s">
        <v>1381</v>
      </c>
      <c r="G159" t="s">
        <v>1554</v>
      </c>
      <c r="H159" t="s">
        <v>65</v>
      </c>
    </row>
    <row r="160" spans="1:8">
      <c r="A160">
        <v>311001</v>
      </c>
      <c r="B160" t="s">
        <v>769</v>
      </c>
      <c r="C160" t="s">
        <v>770</v>
      </c>
      <c r="D160" t="s">
        <v>1439</v>
      </c>
      <c r="E160" t="s">
        <v>791</v>
      </c>
      <c r="F160" t="s">
        <v>1381</v>
      </c>
      <c r="G160" t="s">
        <v>1541</v>
      </c>
      <c r="H160" t="s">
        <v>65</v>
      </c>
    </row>
    <row r="161" spans="1:8">
      <c r="A161">
        <v>229175</v>
      </c>
      <c r="B161" t="s">
        <v>771</v>
      </c>
      <c r="C161" t="s">
        <v>772</v>
      </c>
      <c r="D161" t="s">
        <v>1439</v>
      </c>
      <c r="E161" t="s">
        <v>817</v>
      </c>
      <c r="F161" t="s">
        <v>1375</v>
      </c>
      <c r="G161" t="s">
        <v>1558</v>
      </c>
      <c r="H161" t="s">
        <v>64</v>
      </c>
    </row>
    <row r="162" spans="1:8">
      <c r="A162">
        <v>144302</v>
      </c>
      <c r="B162" t="s">
        <v>773</v>
      </c>
      <c r="C162" t="s">
        <v>774</v>
      </c>
      <c r="D162" t="s">
        <v>1439</v>
      </c>
      <c r="E162" t="s">
        <v>2396</v>
      </c>
      <c r="F162" t="s">
        <v>1375</v>
      </c>
      <c r="G162" t="s">
        <v>1537</v>
      </c>
      <c r="H162" t="s">
        <v>62</v>
      </c>
    </row>
    <row r="163" spans="1:8">
      <c r="A163">
        <v>310942</v>
      </c>
      <c r="B163" t="s">
        <v>775</v>
      </c>
      <c r="C163" t="s">
        <v>776</v>
      </c>
      <c r="D163" t="s">
        <v>1439</v>
      </c>
      <c r="E163" t="s">
        <v>791</v>
      </c>
      <c r="F163" t="s">
        <v>1381</v>
      </c>
      <c r="G163" t="s">
        <v>1541</v>
      </c>
      <c r="H163" t="s">
        <v>65</v>
      </c>
    </row>
    <row r="164" spans="1:8">
      <c r="A164">
        <v>278132</v>
      </c>
      <c r="B164" t="s">
        <v>777</v>
      </c>
      <c r="C164" t="s">
        <v>778</v>
      </c>
      <c r="D164" t="s">
        <v>1439</v>
      </c>
      <c r="E164" t="s">
        <v>692</v>
      </c>
      <c r="F164" t="s">
        <v>1371</v>
      </c>
      <c r="G164" t="s">
        <v>1540</v>
      </c>
      <c r="H164" t="s">
        <v>59</v>
      </c>
    </row>
    <row r="165" spans="1:8">
      <c r="A165">
        <v>112066</v>
      </c>
      <c r="B165" t="s">
        <v>779</v>
      </c>
      <c r="C165" t="s">
        <v>780</v>
      </c>
      <c r="D165" t="s">
        <v>1439</v>
      </c>
      <c r="E165" t="s">
        <v>929</v>
      </c>
      <c r="F165" t="s">
        <v>1378</v>
      </c>
      <c r="G165" t="s">
        <v>1542</v>
      </c>
      <c r="H165" t="s">
        <v>68</v>
      </c>
    </row>
    <row r="166" spans="1:8">
      <c r="A166">
        <v>274436</v>
      </c>
      <c r="B166" t="s">
        <v>781</v>
      </c>
      <c r="C166" t="s">
        <v>782</v>
      </c>
      <c r="D166" t="s">
        <v>1439</v>
      </c>
      <c r="E166" t="s">
        <v>1346</v>
      </c>
      <c r="F166" t="s">
        <v>1374</v>
      </c>
      <c r="G166" t="s">
        <v>1536</v>
      </c>
      <c r="H166" t="s">
        <v>67</v>
      </c>
    </row>
    <row r="167" spans="1:8">
      <c r="A167">
        <v>3701</v>
      </c>
      <c r="B167" t="s">
        <v>784</v>
      </c>
      <c r="C167" t="s">
        <v>785</v>
      </c>
      <c r="D167" t="s">
        <v>1439</v>
      </c>
      <c r="E167" t="s">
        <v>817</v>
      </c>
      <c r="F167" t="s">
        <v>1375</v>
      </c>
      <c r="G167" t="s">
        <v>1549</v>
      </c>
      <c r="H167" t="s">
        <v>64</v>
      </c>
    </row>
    <row r="168" spans="1:8">
      <c r="A168">
        <v>296952</v>
      </c>
      <c r="B168" t="s">
        <v>786</v>
      </c>
      <c r="C168" t="s">
        <v>787</v>
      </c>
      <c r="D168" t="s">
        <v>1439</v>
      </c>
      <c r="E168" t="s">
        <v>1191</v>
      </c>
      <c r="F168" t="s">
        <v>1381</v>
      </c>
      <c r="G168" t="s">
        <v>1541</v>
      </c>
      <c r="H168" t="s">
        <v>65</v>
      </c>
    </row>
    <row r="169" spans="1:8">
      <c r="A169">
        <v>197709</v>
      </c>
      <c r="B169" t="s">
        <v>788</v>
      </c>
      <c r="C169" t="s">
        <v>789</v>
      </c>
      <c r="D169" t="s">
        <v>1439</v>
      </c>
      <c r="E169" t="s">
        <v>1108</v>
      </c>
      <c r="F169" t="s">
        <v>1378</v>
      </c>
      <c r="G169" t="s">
        <v>1533</v>
      </c>
      <c r="H169" t="s">
        <v>61</v>
      </c>
    </row>
    <row r="170" spans="1:8">
      <c r="A170">
        <v>180359</v>
      </c>
      <c r="B170" t="s">
        <v>790</v>
      </c>
      <c r="C170" t="s">
        <v>791</v>
      </c>
      <c r="D170" t="s">
        <v>1441</v>
      </c>
      <c r="E170" t="s">
        <v>1381</v>
      </c>
      <c r="F170" t="s">
        <v>1380</v>
      </c>
      <c r="G170" t="s">
        <v>1425</v>
      </c>
      <c r="H170" t="s">
        <v>1845</v>
      </c>
    </row>
    <row r="171" spans="1:8">
      <c r="A171">
        <v>195501</v>
      </c>
      <c r="B171" t="s">
        <v>792</v>
      </c>
      <c r="C171" t="s">
        <v>793</v>
      </c>
      <c r="D171" t="s">
        <v>1439</v>
      </c>
      <c r="E171" t="s">
        <v>642</v>
      </c>
      <c r="F171" t="s">
        <v>1378</v>
      </c>
      <c r="G171" t="s">
        <v>1532</v>
      </c>
      <c r="H171" t="s">
        <v>58</v>
      </c>
    </row>
    <row r="172" spans="1:8">
      <c r="A172">
        <v>89352</v>
      </c>
      <c r="B172" t="s">
        <v>794</v>
      </c>
      <c r="C172" t="s">
        <v>795</v>
      </c>
      <c r="D172" t="s">
        <v>1439</v>
      </c>
      <c r="E172" t="s">
        <v>937</v>
      </c>
      <c r="F172" t="s">
        <v>1378</v>
      </c>
      <c r="G172" t="s">
        <v>1556</v>
      </c>
      <c r="H172" t="s">
        <v>61</v>
      </c>
    </row>
    <row r="173" spans="1:8">
      <c r="A173">
        <v>105543</v>
      </c>
      <c r="B173" t="s">
        <v>796</v>
      </c>
      <c r="C173" t="s">
        <v>797</v>
      </c>
      <c r="D173" t="s">
        <v>1439</v>
      </c>
      <c r="E173" t="s">
        <v>1108</v>
      </c>
      <c r="F173" t="s">
        <v>1378</v>
      </c>
      <c r="G173" t="s">
        <v>1531</v>
      </c>
      <c r="H173" t="s">
        <v>1845</v>
      </c>
    </row>
    <row r="174" spans="1:8">
      <c r="A174">
        <v>260142</v>
      </c>
      <c r="B174" t="s">
        <v>798</v>
      </c>
      <c r="C174" t="s">
        <v>799</v>
      </c>
      <c r="D174" t="s">
        <v>1439</v>
      </c>
      <c r="E174" t="s">
        <v>1344</v>
      </c>
      <c r="F174" t="s">
        <v>604</v>
      </c>
      <c r="G174" t="s">
        <v>1541</v>
      </c>
      <c r="H174" t="s">
        <v>65</v>
      </c>
    </row>
    <row r="175" spans="1:8">
      <c r="A175">
        <v>243352</v>
      </c>
      <c r="B175" t="s">
        <v>800</v>
      </c>
      <c r="C175" t="s">
        <v>801</v>
      </c>
      <c r="D175" t="s">
        <v>1439</v>
      </c>
      <c r="E175" t="s">
        <v>817</v>
      </c>
      <c r="F175" t="s">
        <v>1375</v>
      </c>
      <c r="G175" t="s">
        <v>1558</v>
      </c>
      <c r="H175" t="s">
        <v>64</v>
      </c>
    </row>
    <row r="176" spans="1:8">
      <c r="A176">
        <v>265452</v>
      </c>
      <c r="B176" t="s">
        <v>802</v>
      </c>
      <c r="C176" t="s">
        <v>803</v>
      </c>
      <c r="D176" t="s">
        <v>1439</v>
      </c>
      <c r="E176" t="s">
        <v>1213</v>
      </c>
      <c r="F176" t="s">
        <v>1374</v>
      </c>
      <c r="G176" t="s">
        <v>1536</v>
      </c>
      <c r="H176" t="s">
        <v>67</v>
      </c>
    </row>
    <row r="177" spans="1:8">
      <c r="A177">
        <v>25741</v>
      </c>
      <c r="B177" t="s">
        <v>804</v>
      </c>
      <c r="C177" t="s">
        <v>805</v>
      </c>
      <c r="D177" t="s">
        <v>1439</v>
      </c>
      <c r="E177" t="s">
        <v>937</v>
      </c>
      <c r="F177" t="s">
        <v>1378</v>
      </c>
      <c r="G177" t="s">
        <v>1547</v>
      </c>
      <c r="H177" t="s">
        <v>61</v>
      </c>
    </row>
    <row r="178" spans="1:8">
      <c r="A178">
        <v>272447</v>
      </c>
      <c r="B178" t="s">
        <v>806</v>
      </c>
      <c r="C178" t="s">
        <v>807</v>
      </c>
      <c r="D178" t="s">
        <v>1439</v>
      </c>
      <c r="E178" t="s">
        <v>1338</v>
      </c>
      <c r="F178" t="s">
        <v>1381</v>
      </c>
      <c r="G178" t="s">
        <v>1541</v>
      </c>
      <c r="H178" t="s">
        <v>65</v>
      </c>
    </row>
    <row r="179" spans="1:8">
      <c r="A179">
        <v>279530</v>
      </c>
      <c r="B179" t="s">
        <v>808</v>
      </c>
      <c r="C179" t="s">
        <v>809</v>
      </c>
      <c r="D179" t="s">
        <v>1439</v>
      </c>
      <c r="E179" t="s">
        <v>2395</v>
      </c>
      <c r="F179" t="s">
        <v>604</v>
      </c>
      <c r="G179" t="s">
        <v>1541</v>
      </c>
      <c r="H179" t="s">
        <v>65</v>
      </c>
    </row>
    <row r="180" spans="1:8">
      <c r="A180">
        <v>274592</v>
      </c>
      <c r="B180" t="s">
        <v>810</v>
      </c>
      <c r="C180" t="s">
        <v>811</v>
      </c>
      <c r="D180" t="s">
        <v>1439</v>
      </c>
      <c r="E180" t="s">
        <v>1076</v>
      </c>
      <c r="F180" t="s">
        <v>1374</v>
      </c>
      <c r="G180" t="s">
        <v>1536</v>
      </c>
      <c r="H180" t="s">
        <v>67</v>
      </c>
    </row>
    <row r="181" spans="1:8">
      <c r="A181">
        <v>277589</v>
      </c>
      <c r="B181" t="s">
        <v>812</v>
      </c>
      <c r="C181" t="s">
        <v>813</v>
      </c>
      <c r="D181" t="s">
        <v>1439</v>
      </c>
      <c r="E181" t="s">
        <v>791</v>
      </c>
      <c r="F181" t="s">
        <v>1381</v>
      </c>
      <c r="G181" t="s">
        <v>1541</v>
      </c>
      <c r="H181" t="s">
        <v>65</v>
      </c>
    </row>
    <row r="182" spans="1:8">
      <c r="A182">
        <v>273256</v>
      </c>
      <c r="B182" t="s">
        <v>814</v>
      </c>
      <c r="C182" t="s">
        <v>815</v>
      </c>
      <c r="D182" t="s">
        <v>1439</v>
      </c>
      <c r="E182" t="s">
        <v>2395</v>
      </c>
      <c r="F182" t="s">
        <v>604</v>
      </c>
      <c r="G182" t="s">
        <v>1541</v>
      </c>
      <c r="H182" t="s">
        <v>65</v>
      </c>
    </row>
    <row r="183" spans="1:8">
      <c r="A183">
        <v>87359</v>
      </c>
      <c r="B183" t="s">
        <v>816</v>
      </c>
      <c r="C183" t="s">
        <v>817</v>
      </c>
      <c r="D183" t="s">
        <v>1441</v>
      </c>
      <c r="E183" t="s">
        <v>1375</v>
      </c>
      <c r="F183" t="s">
        <v>1380</v>
      </c>
      <c r="G183" t="s">
        <v>1425</v>
      </c>
      <c r="H183" t="s">
        <v>1845</v>
      </c>
    </row>
    <row r="184" spans="1:8">
      <c r="A184">
        <v>195307</v>
      </c>
      <c r="B184" t="s">
        <v>818</v>
      </c>
      <c r="C184" t="s">
        <v>819</v>
      </c>
      <c r="D184" t="s">
        <v>1439</v>
      </c>
      <c r="E184" t="s">
        <v>1066</v>
      </c>
      <c r="F184" t="s">
        <v>1378</v>
      </c>
      <c r="G184" t="s">
        <v>1532</v>
      </c>
      <c r="H184" t="s">
        <v>58</v>
      </c>
    </row>
    <row r="185" spans="1:8">
      <c r="A185">
        <v>198135</v>
      </c>
      <c r="B185" t="s">
        <v>1421</v>
      </c>
      <c r="C185" t="s">
        <v>1418</v>
      </c>
      <c r="D185" t="s">
        <v>1439</v>
      </c>
      <c r="E185" t="s">
        <v>642</v>
      </c>
      <c r="F185" t="s">
        <v>1378</v>
      </c>
      <c r="G185" t="s">
        <v>1532</v>
      </c>
      <c r="H185" t="s">
        <v>58</v>
      </c>
    </row>
    <row r="186" spans="1:8">
      <c r="A186">
        <v>278136</v>
      </c>
      <c r="B186" t="s">
        <v>820</v>
      </c>
      <c r="C186" t="s">
        <v>821</v>
      </c>
      <c r="D186" t="s">
        <v>1439</v>
      </c>
      <c r="E186" t="s">
        <v>692</v>
      </c>
      <c r="F186" t="s">
        <v>1371</v>
      </c>
      <c r="G186" t="s">
        <v>1540</v>
      </c>
      <c r="H186" t="s">
        <v>59</v>
      </c>
    </row>
    <row r="187" spans="1:8">
      <c r="A187">
        <v>291107</v>
      </c>
      <c r="B187" t="s">
        <v>822</v>
      </c>
      <c r="C187" t="s">
        <v>823</v>
      </c>
      <c r="D187" t="s">
        <v>1439</v>
      </c>
      <c r="E187" t="s">
        <v>512</v>
      </c>
      <c r="F187" t="s">
        <v>604</v>
      </c>
      <c r="G187" t="s">
        <v>1541</v>
      </c>
      <c r="H187" t="s">
        <v>65</v>
      </c>
    </row>
    <row r="188" spans="1:8">
      <c r="A188">
        <v>276020</v>
      </c>
      <c r="B188" t="s">
        <v>1431</v>
      </c>
      <c r="C188" t="s">
        <v>1428</v>
      </c>
      <c r="D188" t="s">
        <v>1439</v>
      </c>
      <c r="E188" t="s">
        <v>1346</v>
      </c>
      <c r="F188" t="s">
        <v>1374</v>
      </c>
      <c r="G188" t="s">
        <v>1536</v>
      </c>
      <c r="H188" t="s">
        <v>67</v>
      </c>
    </row>
    <row r="189" spans="1:8">
      <c r="A189">
        <v>221653</v>
      </c>
      <c r="B189" t="s">
        <v>824</v>
      </c>
      <c r="C189" t="s">
        <v>825</v>
      </c>
      <c r="D189" t="s">
        <v>1439</v>
      </c>
      <c r="E189" t="s">
        <v>1346</v>
      </c>
      <c r="F189" t="s">
        <v>1374</v>
      </c>
      <c r="G189" t="s">
        <v>1536</v>
      </c>
      <c r="H189" t="s">
        <v>67</v>
      </c>
    </row>
    <row r="190" spans="1:8">
      <c r="A190">
        <v>196243</v>
      </c>
      <c r="B190" t="s">
        <v>826</v>
      </c>
      <c r="C190" t="s">
        <v>827</v>
      </c>
      <c r="D190" t="s">
        <v>1438</v>
      </c>
      <c r="E190" t="s">
        <v>584</v>
      </c>
      <c r="F190" t="s">
        <v>1374</v>
      </c>
      <c r="G190" t="s">
        <v>1531</v>
      </c>
      <c r="H190" t="s">
        <v>1845</v>
      </c>
    </row>
    <row r="191" spans="1:8">
      <c r="A191">
        <v>145757</v>
      </c>
      <c r="B191" t="s">
        <v>828</v>
      </c>
      <c r="C191" t="s">
        <v>829</v>
      </c>
      <c r="D191" t="s">
        <v>1439</v>
      </c>
      <c r="E191" t="s">
        <v>1108</v>
      </c>
      <c r="F191" t="s">
        <v>1378</v>
      </c>
      <c r="G191" t="s">
        <v>1547</v>
      </c>
      <c r="H191" t="s">
        <v>61</v>
      </c>
    </row>
    <row r="192" spans="1:8">
      <c r="A192">
        <v>201220</v>
      </c>
      <c r="B192" t="s">
        <v>830</v>
      </c>
      <c r="C192" t="s">
        <v>831</v>
      </c>
      <c r="D192" t="s">
        <v>1439</v>
      </c>
      <c r="E192" t="s">
        <v>955</v>
      </c>
      <c r="F192" t="s">
        <v>1375</v>
      </c>
      <c r="G192" t="s">
        <v>1537</v>
      </c>
      <c r="H192" t="s">
        <v>62</v>
      </c>
    </row>
    <row r="193" spans="1:8">
      <c r="A193">
        <v>297912</v>
      </c>
      <c r="B193" t="s">
        <v>832</v>
      </c>
      <c r="C193" t="s">
        <v>833</v>
      </c>
      <c r="D193" t="s">
        <v>1439</v>
      </c>
      <c r="E193" t="s">
        <v>1344</v>
      </c>
      <c r="F193" t="s">
        <v>604</v>
      </c>
      <c r="G193" t="s">
        <v>1541</v>
      </c>
      <c r="H193" t="s">
        <v>65</v>
      </c>
    </row>
    <row r="194" spans="1:8">
      <c r="A194">
        <v>230776</v>
      </c>
      <c r="B194" t="s">
        <v>834</v>
      </c>
      <c r="C194" t="s">
        <v>835</v>
      </c>
      <c r="D194" t="s">
        <v>1439</v>
      </c>
      <c r="E194" t="s">
        <v>1191</v>
      </c>
      <c r="F194" t="s">
        <v>1381</v>
      </c>
      <c r="G194" t="s">
        <v>1541</v>
      </c>
      <c r="H194" t="s">
        <v>65</v>
      </c>
    </row>
    <row r="195" spans="1:8">
      <c r="A195">
        <v>102302</v>
      </c>
      <c r="B195" t="s">
        <v>836</v>
      </c>
      <c r="C195" t="s">
        <v>837</v>
      </c>
      <c r="D195" t="s">
        <v>1439</v>
      </c>
      <c r="E195" t="s">
        <v>1108</v>
      </c>
      <c r="F195" t="s">
        <v>1378</v>
      </c>
      <c r="G195" t="s">
        <v>1547</v>
      </c>
      <c r="H195" t="s">
        <v>61</v>
      </c>
    </row>
    <row r="196" spans="1:8">
      <c r="A196">
        <v>138166</v>
      </c>
      <c r="B196" t="s">
        <v>1351</v>
      </c>
      <c r="C196" t="s">
        <v>1352</v>
      </c>
      <c r="D196" t="s">
        <v>1439</v>
      </c>
      <c r="E196" t="s">
        <v>2396</v>
      </c>
      <c r="F196" t="s">
        <v>1375</v>
      </c>
      <c r="G196" t="s">
        <v>1537</v>
      </c>
      <c r="H196" t="s">
        <v>62</v>
      </c>
    </row>
    <row r="197" spans="1:8">
      <c r="A197">
        <v>278515</v>
      </c>
      <c r="B197" t="s">
        <v>838</v>
      </c>
      <c r="C197" t="s">
        <v>839</v>
      </c>
      <c r="D197" t="s">
        <v>1439</v>
      </c>
      <c r="E197" t="s">
        <v>1213</v>
      </c>
      <c r="F197" t="s">
        <v>1374</v>
      </c>
      <c r="G197" t="s">
        <v>1536</v>
      </c>
      <c r="H197" t="s">
        <v>67</v>
      </c>
    </row>
    <row r="198" spans="1:8">
      <c r="A198">
        <v>163207</v>
      </c>
      <c r="B198" t="s">
        <v>840</v>
      </c>
      <c r="C198" t="s">
        <v>841</v>
      </c>
      <c r="D198" t="s">
        <v>1439</v>
      </c>
      <c r="E198" t="s">
        <v>692</v>
      </c>
      <c r="F198" t="s">
        <v>1371</v>
      </c>
      <c r="G198" t="s">
        <v>1540</v>
      </c>
      <c r="H198" t="s">
        <v>59</v>
      </c>
    </row>
    <row r="199" spans="1:8">
      <c r="A199">
        <v>231757</v>
      </c>
      <c r="B199" t="s">
        <v>842</v>
      </c>
      <c r="C199" t="s">
        <v>1557</v>
      </c>
      <c r="D199" t="s">
        <v>1439</v>
      </c>
      <c r="E199" t="s">
        <v>512</v>
      </c>
      <c r="F199" t="s">
        <v>604</v>
      </c>
      <c r="G199" t="s">
        <v>1541</v>
      </c>
      <c r="H199" t="s">
        <v>65</v>
      </c>
    </row>
    <row r="200" spans="1:8">
      <c r="A200">
        <v>22023</v>
      </c>
      <c r="B200" t="s">
        <v>843</v>
      </c>
      <c r="C200" t="s">
        <v>844</v>
      </c>
      <c r="D200" t="s">
        <v>1439</v>
      </c>
      <c r="E200" t="s">
        <v>1108</v>
      </c>
      <c r="F200" t="s">
        <v>1378</v>
      </c>
      <c r="G200" t="s">
        <v>1555</v>
      </c>
      <c r="H200" t="s">
        <v>61</v>
      </c>
    </row>
    <row r="201" spans="1:8">
      <c r="A201">
        <v>65791</v>
      </c>
      <c r="B201" t="s">
        <v>845</v>
      </c>
      <c r="C201" t="s">
        <v>846</v>
      </c>
      <c r="D201" t="s">
        <v>1439</v>
      </c>
      <c r="E201" t="s">
        <v>1108</v>
      </c>
      <c r="F201" t="s">
        <v>1378</v>
      </c>
      <c r="G201" t="s">
        <v>1555</v>
      </c>
      <c r="H201" t="s">
        <v>61</v>
      </c>
    </row>
    <row r="202" spans="1:8">
      <c r="A202">
        <v>274576</v>
      </c>
      <c r="B202" t="s">
        <v>847</v>
      </c>
      <c r="C202" t="s">
        <v>848</v>
      </c>
      <c r="D202" t="s">
        <v>1439</v>
      </c>
      <c r="E202" t="s">
        <v>476</v>
      </c>
      <c r="F202" t="s">
        <v>1374</v>
      </c>
      <c r="G202" t="s">
        <v>1536</v>
      </c>
      <c r="H202" t="s">
        <v>67</v>
      </c>
    </row>
    <row r="203" spans="1:8">
      <c r="A203">
        <v>310717</v>
      </c>
      <c r="B203" t="s">
        <v>849</v>
      </c>
      <c r="C203" t="s">
        <v>850</v>
      </c>
      <c r="D203" t="s">
        <v>1439</v>
      </c>
      <c r="E203" t="s">
        <v>791</v>
      </c>
      <c r="F203" t="s">
        <v>1381</v>
      </c>
      <c r="G203" t="s">
        <v>1541</v>
      </c>
      <c r="H203" t="s">
        <v>65</v>
      </c>
    </row>
    <row r="204" spans="1:8">
      <c r="A204">
        <v>264953</v>
      </c>
      <c r="B204" t="s">
        <v>851</v>
      </c>
      <c r="C204" t="s">
        <v>852</v>
      </c>
      <c r="D204" t="s">
        <v>1439</v>
      </c>
      <c r="E204" t="s">
        <v>791</v>
      </c>
      <c r="F204" t="s">
        <v>1381</v>
      </c>
      <c r="G204" t="s">
        <v>1541</v>
      </c>
      <c r="H204" t="s">
        <v>65</v>
      </c>
    </row>
    <row r="205" spans="1:8">
      <c r="A205">
        <v>194470</v>
      </c>
      <c r="B205" t="s">
        <v>853</v>
      </c>
      <c r="C205" t="s">
        <v>854</v>
      </c>
      <c r="D205" t="s">
        <v>1440</v>
      </c>
      <c r="E205" t="s">
        <v>1076</v>
      </c>
      <c r="F205" t="s">
        <v>1374</v>
      </c>
      <c r="G205" t="s">
        <v>1535</v>
      </c>
      <c r="H205" t="s">
        <v>60</v>
      </c>
    </row>
    <row r="206" spans="1:8">
      <c r="A206">
        <v>65248</v>
      </c>
      <c r="B206" t="s">
        <v>855</v>
      </c>
      <c r="C206" t="s">
        <v>856</v>
      </c>
      <c r="D206" t="s">
        <v>1439</v>
      </c>
      <c r="E206" t="s">
        <v>1108</v>
      </c>
      <c r="F206" t="s">
        <v>1378</v>
      </c>
      <c r="G206" t="s">
        <v>1533</v>
      </c>
      <c r="H206" t="s">
        <v>61</v>
      </c>
    </row>
    <row r="207" spans="1:8">
      <c r="A207">
        <v>246264</v>
      </c>
      <c r="B207" t="s">
        <v>857</v>
      </c>
      <c r="C207" t="s">
        <v>858</v>
      </c>
      <c r="D207" t="s">
        <v>1439</v>
      </c>
      <c r="E207" t="s">
        <v>947</v>
      </c>
      <c r="F207" t="s">
        <v>1371</v>
      </c>
      <c r="G207" t="s">
        <v>1535</v>
      </c>
      <c r="H207" t="s">
        <v>59</v>
      </c>
    </row>
    <row r="208" spans="1:8">
      <c r="A208">
        <v>220961</v>
      </c>
      <c r="B208" t="s">
        <v>859</v>
      </c>
      <c r="C208" t="s">
        <v>860</v>
      </c>
      <c r="D208" t="s">
        <v>1439</v>
      </c>
      <c r="E208" t="s">
        <v>1338</v>
      </c>
      <c r="F208" t="s">
        <v>1381</v>
      </c>
      <c r="G208" t="s">
        <v>1541</v>
      </c>
      <c r="H208" t="s">
        <v>65</v>
      </c>
    </row>
    <row r="209" spans="1:8">
      <c r="A209">
        <v>194898</v>
      </c>
      <c r="B209" t="s">
        <v>861</v>
      </c>
      <c r="C209" t="s">
        <v>862</v>
      </c>
      <c r="D209" t="s">
        <v>1439</v>
      </c>
      <c r="E209" t="s">
        <v>817</v>
      </c>
      <c r="F209" t="s">
        <v>1375</v>
      </c>
      <c r="G209" t="s">
        <v>1558</v>
      </c>
      <c r="H209" t="s">
        <v>64</v>
      </c>
    </row>
    <row r="210" spans="1:8">
      <c r="A210">
        <v>300127</v>
      </c>
      <c r="B210" t="s">
        <v>863</v>
      </c>
      <c r="C210" t="s">
        <v>864</v>
      </c>
      <c r="D210" t="s">
        <v>1439</v>
      </c>
      <c r="E210" t="s">
        <v>1207</v>
      </c>
      <c r="F210" t="s">
        <v>1375</v>
      </c>
      <c r="G210" t="s">
        <v>1543</v>
      </c>
      <c r="H210" t="s">
        <v>66</v>
      </c>
    </row>
    <row r="211" spans="1:8">
      <c r="A211">
        <v>196171</v>
      </c>
      <c r="B211" t="s">
        <v>865</v>
      </c>
      <c r="C211" t="s">
        <v>866</v>
      </c>
      <c r="D211" t="s">
        <v>1439</v>
      </c>
      <c r="E211" t="s">
        <v>1012</v>
      </c>
      <c r="F211" t="s">
        <v>1371</v>
      </c>
      <c r="G211" t="s">
        <v>1540</v>
      </c>
      <c r="H211" t="s">
        <v>59</v>
      </c>
    </row>
    <row r="212" spans="1:8">
      <c r="A212">
        <v>213035</v>
      </c>
      <c r="B212" t="s">
        <v>867</v>
      </c>
      <c r="C212" t="s">
        <v>868</v>
      </c>
      <c r="D212" t="s">
        <v>1439</v>
      </c>
      <c r="E212" t="s">
        <v>2396</v>
      </c>
      <c r="F212" t="s">
        <v>1375</v>
      </c>
      <c r="G212" t="s">
        <v>1537</v>
      </c>
      <c r="H212" t="s">
        <v>62</v>
      </c>
    </row>
    <row r="213" spans="1:8">
      <c r="A213">
        <v>277740</v>
      </c>
      <c r="B213" t="s">
        <v>869</v>
      </c>
      <c r="C213" t="s">
        <v>870</v>
      </c>
      <c r="D213" t="s">
        <v>1439</v>
      </c>
      <c r="E213" t="s">
        <v>1346</v>
      </c>
      <c r="F213" t="s">
        <v>1374</v>
      </c>
      <c r="G213" t="s">
        <v>1536</v>
      </c>
      <c r="H213" t="s">
        <v>67</v>
      </c>
    </row>
    <row r="214" spans="1:8">
      <c r="A214">
        <v>303505</v>
      </c>
      <c r="B214" t="s">
        <v>871</v>
      </c>
      <c r="C214" t="s">
        <v>872</v>
      </c>
      <c r="D214" t="s">
        <v>1439</v>
      </c>
      <c r="E214" t="s">
        <v>1273</v>
      </c>
      <c r="F214" t="s">
        <v>1374</v>
      </c>
      <c r="G214" t="s">
        <v>1536</v>
      </c>
      <c r="H214" t="s">
        <v>67</v>
      </c>
    </row>
    <row r="215" spans="1:8">
      <c r="A215">
        <v>138751</v>
      </c>
      <c r="B215" t="s">
        <v>873</v>
      </c>
      <c r="C215" t="s">
        <v>874</v>
      </c>
      <c r="D215" t="s">
        <v>1439</v>
      </c>
      <c r="E215" t="s">
        <v>1066</v>
      </c>
      <c r="F215" t="s">
        <v>1378</v>
      </c>
      <c r="G215" t="s">
        <v>1532</v>
      </c>
      <c r="H215" t="s">
        <v>58</v>
      </c>
    </row>
    <row r="216" spans="1:8">
      <c r="A216">
        <v>284509</v>
      </c>
      <c r="B216" t="s">
        <v>875</v>
      </c>
      <c r="C216" t="s">
        <v>876</v>
      </c>
      <c r="D216" t="s">
        <v>1439</v>
      </c>
      <c r="E216" t="s">
        <v>955</v>
      </c>
      <c r="F216" t="s">
        <v>1375</v>
      </c>
      <c r="G216" t="s">
        <v>1537</v>
      </c>
      <c r="H216" t="s">
        <v>62</v>
      </c>
    </row>
    <row r="217" spans="1:8">
      <c r="A217">
        <v>231318</v>
      </c>
      <c r="B217" t="s">
        <v>877</v>
      </c>
      <c r="C217" t="s">
        <v>878</v>
      </c>
      <c r="D217" t="s">
        <v>1439</v>
      </c>
      <c r="E217" t="s">
        <v>1207</v>
      </c>
      <c r="F217" t="s">
        <v>1375</v>
      </c>
      <c r="G217" t="s">
        <v>1543</v>
      </c>
      <c r="H217" t="s">
        <v>66</v>
      </c>
    </row>
    <row r="218" spans="1:8">
      <c r="A218">
        <v>221285</v>
      </c>
      <c r="B218" t="s">
        <v>879</v>
      </c>
      <c r="C218" t="s">
        <v>880</v>
      </c>
      <c r="D218" t="s">
        <v>1439</v>
      </c>
      <c r="E218" t="s">
        <v>791</v>
      </c>
      <c r="F218" t="s">
        <v>1381</v>
      </c>
      <c r="G218" t="s">
        <v>1541</v>
      </c>
      <c r="H218" t="s">
        <v>65</v>
      </c>
    </row>
    <row r="219" spans="1:8">
      <c r="A219">
        <v>214533</v>
      </c>
      <c r="B219" t="s">
        <v>881</v>
      </c>
      <c r="C219" t="s">
        <v>882</v>
      </c>
      <c r="D219" t="s">
        <v>1439</v>
      </c>
      <c r="E219" t="s">
        <v>1213</v>
      </c>
      <c r="F219" t="s">
        <v>1374</v>
      </c>
      <c r="G219" t="s">
        <v>1536</v>
      </c>
      <c r="H219" t="s">
        <v>67</v>
      </c>
    </row>
    <row r="220" spans="1:8">
      <c r="A220">
        <v>293172</v>
      </c>
      <c r="B220" t="s">
        <v>883</v>
      </c>
      <c r="C220" t="s">
        <v>1429</v>
      </c>
      <c r="D220" t="s">
        <v>1439</v>
      </c>
      <c r="E220" t="s">
        <v>1338</v>
      </c>
      <c r="F220" t="s">
        <v>1381</v>
      </c>
      <c r="G220" t="s">
        <v>1541</v>
      </c>
      <c r="H220" t="s">
        <v>65</v>
      </c>
    </row>
    <row r="221" spans="1:8">
      <c r="A221">
        <v>183051</v>
      </c>
      <c r="B221" t="s">
        <v>884</v>
      </c>
      <c r="C221" t="s">
        <v>885</v>
      </c>
      <c r="D221" t="s">
        <v>1439</v>
      </c>
      <c r="E221" t="s">
        <v>929</v>
      </c>
      <c r="F221" t="s">
        <v>1378</v>
      </c>
      <c r="G221" t="s">
        <v>1534</v>
      </c>
      <c r="H221" t="s">
        <v>61</v>
      </c>
    </row>
    <row r="222" spans="1:8">
      <c r="A222">
        <v>272851</v>
      </c>
      <c r="B222" t="s">
        <v>886</v>
      </c>
      <c r="C222" t="s">
        <v>887</v>
      </c>
      <c r="D222" t="s">
        <v>1439</v>
      </c>
      <c r="E222" t="s">
        <v>791</v>
      </c>
      <c r="F222" t="s">
        <v>1381</v>
      </c>
      <c r="G222" t="s">
        <v>1541</v>
      </c>
      <c r="H222" t="s">
        <v>65</v>
      </c>
    </row>
    <row r="223" spans="1:8">
      <c r="A223">
        <v>31351</v>
      </c>
      <c r="B223" t="s">
        <v>888</v>
      </c>
      <c r="C223" t="s">
        <v>889</v>
      </c>
      <c r="D223" t="s">
        <v>1439</v>
      </c>
      <c r="E223" t="s">
        <v>817</v>
      </c>
      <c r="F223" t="s">
        <v>1375</v>
      </c>
      <c r="G223" t="s">
        <v>1558</v>
      </c>
      <c r="H223" t="s">
        <v>64</v>
      </c>
    </row>
    <row r="224" spans="1:8">
      <c r="A224">
        <v>299100</v>
      </c>
      <c r="B224" t="s">
        <v>890</v>
      </c>
      <c r="C224" t="s">
        <v>891</v>
      </c>
      <c r="D224" t="s">
        <v>1439</v>
      </c>
      <c r="E224" t="s">
        <v>955</v>
      </c>
      <c r="F224" t="s">
        <v>1375</v>
      </c>
      <c r="G224" t="s">
        <v>1537</v>
      </c>
      <c r="H224" t="s">
        <v>62</v>
      </c>
    </row>
    <row r="225" spans="1:8">
      <c r="A225">
        <v>239680</v>
      </c>
      <c r="B225" t="s">
        <v>892</v>
      </c>
      <c r="C225" t="s">
        <v>893</v>
      </c>
      <c r="D225" t="s">
        <v>1438</v>
      </c>
      <c r="E225" t="s">
        <v>1344</v>
      </c>
      <c r="F225" t="s">
        <v>604</v>
      </c>
      <c r="G225" t="s">
        <v>1531</v>
      </c>
      <c r="H225" t="s">
        <v>1845</v>
      </c>
    </row>
    <row r="226" spans="1:8">
      <c r="A226">
        <v>158650</v>
      </c>
      <c r="B226" t="s">
        <v>894</v>
      </c>
      <c r="C226" t="s">
        <v>895</v>
      </c>
      <c r="D226" t="s">
        <v>1439</v>
      </c>
      <c r="E226" t="s">
        <v>2396</v>
      </c>
      <c r="F226" t="s">
        <v>1375</v>
      </c>
      <c r="G226" t="s">
        <v>1537</v>
      </c>
      <c r="H226" t="s">
        <v>62</v>
      </c>
    </row>
    <row r="227" spans="1:8">
      <c r="A227">
        <v>299083</v>
      </c>
      <c r="B227" t="s">
        <v>896</v>
      </c>
      <c r="C227" t="s">
        <v>897</v>
      </c>
      <c r="D227" t="s">
        <v>1439</v>
      </c>
      <c r="E227" t="s">
        <v>1344</v>
      </c>
      <c r="F227" t="s">
        <v>604</v>
      </c>
      <c r="G227" t="s">
        <v>1541</v>
      </c>
      <c r="H227" t="s">
        <v>65</v>
      </c>
    </row>
    <row r="228" spans="1:8">
      <c r="A228">
        <v>221506</v>
      </c>
      <c r="B228" t="s">
        <v>898</v>
      </c>
      <c r="C228" t="s">
        <v>899</v>
      </c>
      <c r="D228" t="s">
        <v>1439</v>
      </c>
      <c r="E228" t="s">
        <v>791</v>
      </c>
      <c r="F228" t="s">
        <v>1381</v>
      </c>
      <c r="G228" t="s">
        <v>1541</v>
      </c>
      <c r="H228" t="s">
        <v>65</v>
      </c>
    </row>
    <row r="229" spans="1:8">
      <c r="A229">
        <v>293853</v>
      </c>
      <c r="B229" t="s">
        <v>900</v>
      </c>
      <c r="C229" t="s">
        <v>901</v>
      </c>
      <c r="D229" t="s">
        <v>1439</v>
      </c>
      <c r="E229" t="s">
        <v>1338</v>
      </c>
      <c r="F229" t="s">
        <v>1381</v>
      </c>
      <c r="G229" t="s">
        <v>1541</v>
      </c>
      <c r="H229" t="s">
        <v>65</v>
      </c>
    </row>
    <row r="230" spans="1:8">
      <c r="A230">
        <v>291087</v>
      </c>
      <c r="B230" t="s">
        <v>902</v>
      </c>
      <c r="C230" t="s">
        <v>903</v>
      </c>
      <c r="D230" t="s">
        <v>1439</v>
      </c>
      <c r="E230" t="s">
        <v>1338</v>
      </c>
      <c r="F230" t="s">
        <v>1381</v>
      </c>
      <c r="G230" t="s">
        <v>1541</v>
      </c>
      <c r="H230" t="s">
        <v>65</v>
      </c>
    </row>
    <row r="231" spans="1:8">
      <c r="A231">
        <v>274247</v>
      </c>
      <c r="B231" t="s">
        <v>904</v>
      </c>
      <c r="C231" t="s">
        <v>905</v>
      </c>
      <c r="D231" t="s">
        <v>1439</v>
      </c>
      <c r="E231" t="s">
        <v>692</v>
      </c>
      <c r="F231" t="s">
        <v>1371</v>
      </c>
      <c r="G231" t="s">
        <v>1540</v>
      </c>
      <c r="H231" t="s">
        <v>59</v>
      </c>
    </row>
    <row r="232" spans="1:8">
      <c r="A232">
        <v>81899</v>
      </c>
      <c r="B232" t="s">
        <v>906</v>
      </c>
      <c r="C232" t="s">
        <v>907</v>
      </c>
      <c r="D232" t="s">
        <v>1439</v>
      </c>
      <c r="E232" t="s">
        <v>1108</v>
      </c>
      <c r="F232" t="s">
        <v>1378</v>
      </c>
      <c r="G232" t="s">
        <v>1538</v>
      </c>
      <c r="H232" t="s">
        <v>61</v>
      </c>
    </row>
    <row r="233" spans="1:8">
      <c r="A233">
        <v>195034</v>
      </c>
      <c r="B233" t="s">
        <v>908</v>
      </c>
      <c r="C233" t="s">
        <v>909</v>
      </c>
      <c r="D233" t="s">
        <v>1440</v>
      </c>
      <c r="E233" t="s">
        <v>1273</v>
      </c>
      <c r="F233" t="s">
        <v>1374</v>
      </c>
      <c r="G233" t="s">
        <v>1535</v>
      </c>
      <c r="H233" t="s">
        <v>60</v>
      </c>
    </row>
    <row r="234" spans="1:8">
      <c r="A234">
        <v>195435</v>
      </c>
      <c r="B234" t="s">
        <v>910</v>
      </c>
      <c r="C234" t="s">
        <v>911</v>
      </c>
      <c r="D234" t="s">
        <v>1439</v>
      </c>
      <c r="E234" t="s">
        <v>937</v>
      </c>
      <c r="F234" t="s">
        <v>1378</v>
      </c>
      <c r="G234" t="s">
        <v>1533</v>
      </c>
      <c r="H234" t="s">
        <v>61</v>
      </c>
    </row>
    <row r="235" spans="1:8">
      <c r="A235">
        <v>260830</v>
      </c>
      <c r="B235" t="s">
        <v>912</v>
      </c>
      <c r="C235" t="s">
        <v>913</v>
      </c>
      <c r="D235" t="s">
        <v>1439</v>
      </c>
      <c r="E235" t="s">
        <v>791</v>
      </c>
      <c r="F235" t="s">
        <v>1381</v>
      </c>
      <c r="G235" t="s">
        <v>1541</v>
      </c>
      <c r="H235" t="s">
        <v>65</v>
      </c>
    </row>
    <row r="236" spans="1:8">
      <c r="A236">
        <v>196111</v>
      </c>
      <c r="B236" t="s">
        <v>916</v>
      </c>
      <c r="C236" t="s">
        <v>917</v>
      </c>
      <c r="D236" t="s">
        <v>1439</v>
      </c>
      <c r="E236" t="s">
        <v>692</v>
      </c>
      <c r="F236" t="s">
        <v>1371</v>
      </c>
      <c r="G236" t="s">
        <v>1559</v>
      </c>
      <c r="H236" t="s">
        <v>59</v>
      </c>
    </row>
    <row r="237" spans="1:8">
      <c r="A237">
        <v>198211</v>
      </c>
      <c r="B237" t="s">
        <v>1451</v>
      </c>
      <c r="C237" t="s">
        <v>1443</v>
      </c>
      <c r="D237" t="s">
        <v>1439</v>
      </c>
      <c r="E237" t="s">
        <v>937</v>
      </c>
      <c r="F237" t="s">
        <v>1378</v>
      </c>
      <c r="G237" t="s">
        <v>1560</v>
      </c>
      <c r="H237" t="s">
        <v>61</v>
      </c>
    </row>
    <row r="238" spans="1:8">
      <c r="A238">
        <v>312890</v>
      </c>
      <c r="B238" t="s">
        <v>1452</v>
      </c>
      <c r="C238" t="s">
        <v>1444</v>
      </c>
      <c r="D238" t="s">
        <v>1439</v>
      </c>
      <c r="E238" t="s">
        <v>1213</v>
      </c>
      <c r="F238" t="s">
        <v>1374</v>
      </c>
      <c r="G238" t="s">
        <v>1536</v>
      </c>
      <c r="H238" t="s">
        <v>67</v>
      </c>
    </row>
    <row r="239" spans="1:8">
      <c r="A239">
        <v>229517</v>
      </c>
      <c r="B239" t="s">
        <v>920</v>
      </c>
      <c r="C239" t="s">
        <v>921</v>
      </c>
      <c r="D239" t="s">
        <v>1439</v>
      </c>
      <c r="E239" t="s">
        <v>1191</v>
      </c>
      <c r="F239" t="s">
        <v>1381</v>
      </c>
      <c r="G239" t="s">
        <v>1541</v>
      </c>
      <c r="H239" t="s">
        <v>65</v>
      </c>
    </row>
    <row r="240" spans="1:8">
      <c r="A240">
        <v>231112</v>
      </c>
      <c r="B240" t="s">
        <v>922</v>
      </c>
      <c r="C240" t="s">
        <v>923</v>
      </c>
      <c r="D240" t="s">
        <v>1439</v>
      </c>
      <c r="E240" t="s">
        <v>512</v>
      </c>
      <c r="F240" t="s">
        <v>604</v>
      </c>
      <c r="G240" t="s">
        <v>1541</v>
      </c>
      <c r="H240" t="s">
        <v>65</v>
      </c>
    </row>
    <row r="241" spans="1:8">
      <c r="A241">
        <v>274699</v>
      </c>
      <c r="B241" t="s">
        <v>924</v>
      </c>
      <c r="C241" t="s">
        <v>925</v>
      </c>
      <c r="D241" t="s">
        <v>1439</v>
      </c>
      <c r="E241" t="s">
        <v>791</v>
      </c>
      <c r="F241" t="s">
        <v>1381</v>
      </c>
      <c r="G241" t="s">
        <v>1541</v>
      </c>
      <c r="H241" t="s">
        <v>65</v>
      </c>
    </row>
    <row r="242" spans="1:8">
      <c r="A242">
        <v>229220</v>
      </c>
      <c r="B242" t="s">
        <v>926</v>
      </c>
      <c r="C242" t="s">
        <v>927</v>
      </c>
      <c r="D242" t="s">
        <v>1439</v>
      </c>
      <c r="E242" t="s">
        <v>1191</v>
      </c>
      <c r="F242" t="s">
        <v>1381</v>
      </c>
      <c r="G242" t="s">
        <v>1541</v>
      </c>
      <c r="H242" t="s">
        <v>65</v>
      </c>
    </row>
    <row r="243" spans="1:8">
      <c r="A243">
        <v>181509</v>
      </c>
      <c r="B243" t="s">
        <v>928</v>
      </c>
      <c r="C243" t="s">
        <v>929</v>
      </c>
      <c r="D243" t="s">
        <v>1441</v>
      </c>
      <c r="E243" t="s">
        <v>1378</v>
      </c>
      <c r="F243" t="s">
        <v>1380</v>
      </c>
      <c r="G243" t="s">
        <v>1425</v>
      </c>
      <c r="H243" t="s">
        <v>1845</v>
      </c>
    </row>
    <row r="244" spans="1:8">
      <c r="A244">
        <v>230883</v>
      </c>
      <c r="B244" t="s">
        <v>930</v>
      </c>
      <c r="C244" t="s">
        <v>931</v>
      </c>
      <c r="D244" t="s">
        <v>1439</v>
      </c>
      <c r="E244" t="s">
        <v>1273</v>
      </c>
      <c r="F244" t="s">
        <v>1374</v>
      </c>
      <c r="G244" t="s">
        <v>1536</v>
      </c>
      <c r="H244" t="s">
        <v>1845</v>
      </c>
    </row>
    <row r="245" spans="1:8">
      <c r="A245">
        <v>299082</v>
      </c>
      <c r="B245" t="s">
        <v>932</v>
      </c>
      <c r="C245" t="s">
        <v>933</v>
      </c>
      <c r="D245" t="s">
        <v>1439</v>
      </c>
      <c r="E245" t="s">
        <v>1207</v>
      </c>
      <c r="F245" t="s">
        <v>1375</v>
      </c>
      <c r="G245" t="s">
        <v>1543</v>
      </c>
      <c r="H245" t="s">
        <v>66</v>
      </c>
    </row>
    <row r="246" spans="1:8">
      <c r="A246">
        <v>242877</v>
      </c>
      <c r="B246" t="s">
        <v>934</v>
      </c>
      <c r="C246" t="s">
        <v>935</v>
      </c>
      <c r="D246" t="s">
        <v>1439</v>
      </c>
      <c r="E246" t="s">
        <v>2396</v>
      </c>
      <c r="F246" t="s">
        <v>1375</v>
      </c>
      <c r="G246" t="s">
        <v>1537</v>
      </c>
      <c r="H246" t="s">
        <v>62</v>
      </c>
    </row>
    <row r="247" spans="1:8">
      <c r="A247">
        <v>86406</v>
      </c>
      <c r="B247" t="s">
        <v>936</v>
      </c>
      <c r="C247" t="s">
        <v>937</v>
      </c>
      <c r="D247" t="s">
        <v>1441</v>
      </c>
      <c r="E247" t="s">
        <v>1378</v>
      </c>
      <c r="F247" t="s">
        <v>1380</v>
      </c>
      <c r="G247" t="s">
        <v>1425</v>
      </c>
      <c r="H247" t="s">
        <v>1845</v>
      </c>
    </row>
    <row r="248" spans="1:8">
      <c r="A248">
        <v>234888</v>
      </c>
      <c r="B248" t="s">
        <v>938</v>
      </c>
      <c r="C248" t="s">
        <v>939</v>
      </c>
      <c r="D248" t="s">
        <v>1439</v>
      </c>
      <c r="E248" t="s">
        <v>1213</v>
      </c>
      <c r="F248" t="s">
        <v>1374</v>
      </c>
      <c r="G248" t="s">
        <v>1536</v>
      </c>
      <c r="H248" t="s">
        <v>67</v>
      </c>
    </row>
    <row r="249" spans="1:8">
      <c r="A249">
        <v>103566</v>
      </c>
      <c r="B249" t="s">
        <v>940</v>
      </c>
      <c r="C249" t="s">
        <v>941</v>
      </c>
      <c r="D249" t="s">
        <v>1440</v>
      </c>
      <c r="E249" t="s">
        <v>1213</v>
      </c>
      <c r="F249" t="s">
        <v>1374</v>
      </c>
      <c r="G249" t="s">
        <v>1535</v>
      </c>
      <c r="H249" t="s">
        <v>60</v>
      </c>
    </row>
    <row r="250" spans="1:8">
      <c r="A250">
        <v>118549</v>
      </c>
      <c r="B250" t="s">
        <v>942</v>
      </c>
      <c r="C250" t="s">
        <v>943</v>
      </c>
      <c r="D250" t="s">
        <v>1439</v>
      </c>
      <c r="E250" t="s">
        <v>1207</v>
      </c>
      <c r="F250" t="s">
        <v>1375</v>
      </c>
      <c r="G250" t="s">
        <v>1543</v>
      </c>
      <c r="H250" t="s">
        <v>66</v>
      </c>
    </row>
    <row r="251" spans="1:8">
      <c r="A251">
        <v>107006</v>
      </c>
      <c r="B251" t="s">
        <v>944</v>
      </c>
      <c r="C251" t="s">
        <v>945</v>
      </c>
      <c r="D251" t="s">
        <v>1439</v>
      </c>
      <c r="E251" t="s">
        <v>1108</v>
      </c>
      <c r="F251" t="s">
        <v>1378</v>
      </c>
      <c r="G251" t="s">
        <v>1533</v>
      </c>
      <c r="H251" t="s">
        <v>61</v>
      </c>
    </row>
    <row r="252" spans="1:8">
      <c r="A252">
        <v>175574</v>
      </c>
      <c r="B252" t="s">
        <v>946</v>
      </c>
      <c r="C252" t="s">
        <v>947</v>
      </c>
      <c r="D252" t="s">
        <v>1441</v>
      </c>
      <c r="E252" t="s">
        <v>1371</v>
      </c>
      <c r="F252" t="s">
        <v>1380</v>
      </c>
      <c r="G252" t="s">
        <v>1425</v>
      </c>
      <c r="H252" t="s">
        <v>1845</v>
      </c>
    </row>
    <row r="253" spans="1:8">
      <c r="A253">
        <v>242494</v>
      </c>
      <c r="B253" t="s">
        <v>948</v>
      </c>
      <c r="C253" t="s">
        <v>949</v>
      </c>
      <c r="D253" t="s">
        <v>1439</v>
      </c>
      <c r="E253" t="s">
        <v>955</v>
      </c>
      <c r="F253" t="s">
        <v>1375</v>
      </c>
      <c r="G253" t="s">
        <v>1537</v>
      </c>
      <c r="H253" t="s">
        <v>62</v>
      </c>
    </row>
    <row r="254" spans="1:8">
      <c r="A254">
        <v>109840</v>
      </c>
      <c r="B254" t="s">
        <v>950</v>
      </c>
      <c r="C254" t="s">
        <v>951</v>
      </c>
      <c r="D254" t="s">
        <v>1439</v>
      </c>
      <c r="E254" t="s">
        <v>817</v>
      </c>
      <c r="F254" t="s">
        <v>1375</v>
      </c>
      <c r="G254" t="s">
        <v>1558</v>
      </c>
      <c r="H254" t="s">
        <v>64</v>
      </c>
    </row>
    <row r="255" spans="1:8">
      <c r="A255">
        <v>194503</v>
      </c>
      <c r="B255" t="s">
        <v>952</v>
      </c>
      <c r="C255" t="s">
        <v>953</v>
      </c>
      <c r="D255" t="s">
        <v>1439</v>
      </c>
      <c r="E255" t="s">
        <v>692</v>
      </c>
      <c r="F255" t="s">
        <v>1371</v>
      </c>
      <c r="G255" t="s">
        <v>1540</v>
      </c>
      <c r="H255" t="s">
        <v>59</v>
      </c>
    </row>
    <row r="256" spans="1:8">
      <c r="A256">
        <v>134090</v>
      </c>
      <c r="B256" t="s">
        <v>954</v>
      </c>
      <c r="C256" t="s">
        <v>955</v>
      </c>
      <c r="D256" t="s">
        <v>1441</v>
      </c>
      <c r="E256" t="s">
        <v>1375</v>
      </c>
      <c r="F256" t="s">
        <v>1380</v>
      </c>
      <c r="G256" t="s">
        <v>1425</v>
      </c>
      <c r="H256" t="s">
        <v>1845</v>
      </c>
    </row>
    <row r="257" spans="1:8">
      <c r="A257">
        <v>229229</v>
      </c>
      <c r="B257" t="s">
        <v>956</v>
      </c>
      <c r="C257" t="s">
        <v>957</v>
      </c>
      <c r="D257" t="s">
        <v>1439</v>
      </c>
      <c r="E257" t="s">
        <v>1191</v>
      </c>
      <c r="F257" t="s">
        <v>1381</v>
      </c>
      <c r="G257" t="s">
        <v>1541</v>
      </c>
      <c r="H257" t="s">
        <v>65</v>
      </c>
    </row>
    <row r="258" spans="1:8">
      <c r="A258">
        <v>180839</v>
      </c>
      <c r="B258" t="s">
        <v>958</v>
      </c>
      <c r="C258" t="s">
        <v>959</v>
      </c>
      <c r="D258" t="s">
        <v>1439</v>
      </c>
      <c r="E258" t="s">
        <v>512</v>
      </c>
      <c r="F258" t="s">
        <v>604</v>
      </c>
      <c r="G258" t="s">
        <v>1561</v>
      </c>
      <c r="H258" t="s">
        <v>65</v>
      </c>
    </row>
    <row r="259" spans="1:8">
      <c r="A259">
        <v>263664</v>
      </c>
      <c r="B259" t="s">
        <v>960</v>
      </c>
      <c r="C259" t="s">
        <v>961</v>
      </c>
      <c r="D259" t="s">
        <v>1439</v>
      </c>
      <c r="E259" t="s">
        <v>1076</v>
      </c>
      <c r="F259" t="s">
        <v>1374</v>
      </c>
      <c r="G259" t="s">
        <v>1536</v>
      </c>
      <c r="H259" t="s">
        <v>67</v>
      </c>
    </row>
    <row r="260" spans="1:8">
      <c r="A260">
        <v>221595</v>
      </c>
      <c r="B260" t="s">
        <v>962</v>
      </c>
      <c r="C260" t="s">
        <v>963</v>
      </c>
      <c r="D260" t="s">
        <v>1439</v>
      </c>
      <c r="E260" t="s">
        <v>1213</v>
      </c>
      <c r="F260" t="s">
        <v>1374</v>
      </c>
      <c r="G260" t="s">
        <v>1536</v>
      </c>
      <c r="H260" t="s">
        <v>67</v>
      </c>
    </row>
    <row r="261" spans="1:8">
      <c r="A261">
        <v>311040</v>
      </c>
      <c r="B261" t="s">
        <v>964</v>
      </c>
      <c r="C261" t="s">
        <v>965</v>
      </c>
      <c r="D261" t="s">
        <v>1439</v>
      </c>
      <c r="E261" t="s">
        <v>947</v>
      </c>
      <c r="F261" t="s">
        <v>1371</v>
      </c>
      <c r="G261" t="s">
        <v>1540</v>
      </c>
      <c r="H261" t="s">
        <v>59</v>
      </c>
    </row>
    <row r="262" spans="1:8">
      <c r="A262">
        <v>221724</v>
      </c>
      <c r="B262" t="s">
        <v>966</v>
      </c>
      <c r="C262" t="s">
        <v>967</v>
      </c>
      <c r="D262" t="s">
        <v>1439</v>
      </c>
      <c r="E262" t="s">
        <v>2396</v>
      </c>
      <c r="F262" t="s">
        <v>1375</v>
      </c>
      <c r="G262" t="s">
        <v>1537</v>
      </c>
      <c r="H262" t="s">
        <v>62</v>
      </c>
    </row>
    <row r="263" spans="1:8">
      <c r="A263">
        <v>229312</v>
      </c>
      <c r="B263" t="s">
        <v>968</v>
      </c>
      <c r="C263" t="s">
        <v>969</v>
      </c>
      <c r="D263" t="s">
        <v>1439</v>
      </c>
      <c r="E263" t="s">
        <v>1108</v>
      </c>
      <c r="F263" t="s">
        <v>1378</v>
      </c>
      <c r="G263" t="s">
        <v>1555</v>
      </c>
      <c r="H263" t="s">
        <v>61</v>
      </c>
    </row>
    <row r="264" spans="1:8">
      <c r="A264">
        <v>299154</v>
      </c>
      <c r="B264" t="s">
        <v>1349</v>
      </c>
      <c r="C264" t="s">
        <v>1350</v>
      </c>
      <c r="D264" t="s">
        <v>1439</v>
      </c>
      <c r="E264" t="s">
        <v>1191</v>
      </c>
      <c r="F264" t="s">
        <v>1381</v>
      </c>
      <c r="G264" t="s">
        <v>1533</v>
      </c>
      <c r="H264" t="s">
        <v>65</v>
      </c>
    </row>
    <row r="265" spans="1:8">
      <c r="A265">
        <v>194969</v>
      </c>
      <c r="B265" t="s">
        <v>971</v>
      </c>
      <c r="C265" t="s">
        <v>972</v>
      </c>
      <c r="D265" t="s">
        <v>1439</v>
      </c>
      <c r="E265" t="s">
        <v>642</v>
      </c>
      <c r="F265" t="s">
        <v>1378</v>
      </c>
      <c r="G265" t="s">
        <v>1532</v>
      </c>
      <c r="H265" t="s">
        <v>58</v>
      </c>
    </row>
    <row r="266" spans="1:8">
      <c r="A266">
        <v>195460</v>
      </c>
      <c r="B266" t="s">
        <v>973</v>
      </c>
      <c r="C266" t="s">
        <v>974</v>
      </c>
      <c r="D266" t="s">
        <v>1439</v>
      </c>
      <c r="E266" t="s">
        <v>937</v>
      </c>
      <c r="F266" t="s">
        <v>1378</v>
      </c>
      <c r="G266" t="s">
        <v>1547</v>
      </c>
      <c r="H266" t="s">
        <v>61</v>
      </c>
    </row>
    <row r="267" spans="1:8">
      <c r="A267">
        <v>185118</v>
      </c>
      <c r="B267" t="s">
        <v>1420</v>
      </c>
      <c r="C267" t="s">
        <v>1417</v>
      </c>
      <c r="D267" t="s">
        <v>1438</v>
      </c>
      <c r="E267" t="s">
        <v>791</v>
      </c>
      <c r="F267" t="s">
        <v>1381</v>
      </c>
      <c r="G267" t="s">
        <v>1531</v>
      </c>
      <c r="H267" t="s">
        <v>1845</v>
      </c>
    </row>
    <row r="268" spans="1:8">
      <c r="A268">
        <v>45741</v>
      </c>
      <c r="B268" t="s">
        <v>975</v>
      </c>
      <c r="C268" t="s">
        <v>976</v>
      </c>
      <c r="D268" t="s">
        <v>1439</v>
      </c>
      <c r="E268" t="s">
        <v>1108</v>
      </c>
      <c r="F268" t="s">
        <v>1378</v>
      </c>
      <c r="G268" t="s">
        <v>1555</v>
      </c>
      <c r="H268" t="s">
        <v>61</v>
      </c>
    </row>
    <row r="269" spans="1:8">
      <c r="A269">
        <v>81491</v>
      </c>
      <c r="B269" t="s">
        <v>977</v>
      </c>
      <c r="C269" t="s">
        <v>978</v>
      </c>
      <c r="D269" t="s">
        <v>1439</v>
      </c>
      <c r="E269" t="s">
        <v>512</v>
      </c>
      <c r="F269" t="s">
        <v>604</v>
      </c>
      <c r="G269" t="s">
        <v>1541</v>
      </c>
      <c r="H269" t="s">
        <v>65</v>
      </c>
    </row>
    <row r="270" spans="1:8">
      <c r="A270">
        <v>275850</v>
      </c>
      <c r="B270" t="s">
        <v>979</v>
      </c>
      <c r="C270" t="s">
        <v>980</v>
      </c>
      <c r="D270" t="s">
        <v>1439</v>
      </c>
      <c r="E270" t="s">
        <v>1213</v>
      </c>
      <c r="F270" t="s">
        <v>1374</v>
      </c>
      <c r="G270" t="s">
        <v>1536</v>
      </c>
      <c r="H270" t="s">
        <v>67</v>
      </c>
    </row>
    <row r="271" spans="1:8">
      <c r="A271">
        <v>299672</v>
      </c>
      <c r="B271" t="s">
        <v>981</v>
      </c>
      <c r="C271" t="s">
        <v>982</v>
      </c>
      <c r="D271" t="s">
        <v>1439</v>
      </c>
      <c r="E271" t="s">
        <v>642</v>
      </c>
      <c r="F271" t="s">
        <v>1378</v>
      </c>
      <c r="G271" t="s">
        <v>1532</v>
      </c>
      <c r="H271" t="s">
        <v>58</v>
      </c>
    </row>
    <row r="272" spans="1:8">
      <c r="A272">
        <v>299166</v>
      </c>
      <c r="B272" t="s">
        <v>983</v>
      </c>
      <c r="C272" t="s">
        <v>984</v>
      </c>
      <c r="D272" t="s">
        <v>1439</v>
      </c>
      <c r="E272" t="s">
        <v>1076</v>
      </c>
      <c r="F272" t="s">
        <v>1374</v>
      </c>
      <c r="G272" t="s">
        <v>1536</v>
      </c>
      <c r="H272" t="s">
        <v>67</v>
      </c>
    </row>
    <row r="273" spans="1:8">
      <c r="A273">
        <v>197499</v>
      </c>
      <c r="B273" t="s">
        <v>985</v>
      </c>
      <c r="C273" t="s">
        <v>986</v>
      </c>
      <c r="D273" t="s">
        <v>1439</v>
      </c>
      <c r="E273" t="s">
        <v>1108</v>
      </c>
      <c r="F273" t="s">
        <v>1378</v>
      </c>
      <c r="G273" t="s">
        <v>1555</v>
      </c>
      <c r="H273" t="s">
        <v>61</v>
      </c>
    </row>
    <row r="274" spans="1:8">
      <c r="A274">
        <v>175494</v>
      </c>
      <c r="B274" t="s">
        <v>987</v>
      </c>
      <c r="C274" t="s">
        <v>988</v>
      </c>
      <c r="D274" t="s">
        <v>1439</v>
      </c>
      <c r="E274" t="s">
        <v>955</v>
      </c>
      <c r="F274" t="s">
        <v>1375</v>
      </c>
      <c r="G274" t="s">
        <v>1537</v>
      </c>
      <c r="H274" t="s">
        <v>62</v>
      </c>
    </row>
    <row r="275" spans="1:8">
      <c r="A275">
        <v>242695</v>
      </c>
      <c r="B275" t="s">
        <v>989</v>
      </c>
      <c r="C275" t="s">
        <v>990</v>
      </c>
      <c r="D275" t="s">
        <v>1439</v>
      </c>
      <c r="E275" t="s">
        <v>1207</v>
      </c>
      <c r="F275" t="s">
        <v>1375</v>
      </c>
      <c r="G275" t="s">
        <v>1543</v>
      </c>
      <c r="H275" t="s">
        <v>66</v>
      </c>
    </row>
    <row r="276" spans="1:8">
      <c r="A276">
        <v>220964</v>
      </c>
      <c r="B276" t="s">
        <v>991</v>
      </c>
      <c r="C276" t="s">
        <v>992</v>
      </c>
      <c r="D276" t="s">
        <v>1439</v>
      </c>
      <c r="E276" t="s">
        <v>791</v>
      </c>
      <c r="F276" t="s">
        <v>1381</v>
      </c>
      <c r="G276" t="s">
        <v>1541</v>
      </c>
      <c r="H276" t="s">
        <v>65</v>
      </c>
    </row>
    <row r="277" spans="1:8">
      <c r="A277">
        <v>275778</v>
      </c>
      <c r="B277" t="s">
        <v>993</v>
      </c>
      <c r="C277" t="s">
        <v>994</v>
      </c>
      <c r="D277" t="s">
        <v>1439</v>
      </c>
      <c r="E277" t="s">
        <v>1076</v>
      </c>
      <c r="F277" t="s">
        <v>1374</v>
      </c>
      <c r="G277" t="s">
        <v>1536</v>
      </c>
      <c r="H277" t="s">
        <v>67</v>
      </c>
    </row>
    <row r="278" spans="1:8">
      <c r="A278">
        <v>303339</v>
      </c>
      <c r="B278" t="s">
        <v>995</v>
      </c>
      <c r="C278" t="s">
        <v>996</v>
      </c>
      <c r="D278" t="s">
        <v>1439</v>
      </c>
      <c r="E278" t="s">
        <v>692</v>
      </c>
      <c r="F278" t="s">
        <v>1371</v>
      </c>
      <c r="G278" t="s">
        <v>1540</v>
      </c>
      <c r="H278" t="s">
        <v>59</v>
      </c>
    </row>
    <row r="279" spans="1:8">
      <c r="A279">
        <v>229313</v>
      </c>
      <c r="B279" t="s">
        <v>997</v>
      </c>
      <c r="C279" t="s">
        <v>998</v>
      </c>
      <c r="D279" t="s">
        <v>1439</v>
      </c>
      <c r="E279" t="s">
        <v>692</v>
      </c>
      <c r="F279" t="s">
        <v>1371</v>
      </c>
      <c r="G279" t="s">
        <v>1540</v>
      </c>
      <c r="H279" t="s">
        <v>59</v>
      </c>
    </row>
    <row r="280" spans="1:8">
      <c r="A280">
        <v>303473</v>
      </c>
      <c r="B280" t="s">
        <v>999</v>
      </c>
      <c r="C280" t="s">
        <v>1000</v>
      </c>
      <c r="D280" t="s">
        <v>1439</v>
      </c>
      <c r="E280" t="s">
        <v>584</v>
      </c>
      <c r="F280" t="s">
        <v>1374</v>
      </c>
      <c r="G280" t="s">
        <v>1536</v>
      </c>
      <c r="H280" t="s">
        <v>67</v>
      </c>
    </row>
    <row r="281" spans="1:8">
      <c r="A281">
        <v>82204</v>
      </c>
      <c r="B281" t="s">
        <v>1001</v>
      </c>
      <c r="C281" t="s">
        <v>1002</v>
      </c>
      <c r="D281" t="s">
        <v>1439</v>
      </c>
      <c r="E281" t="s">
        <v>1108</v>
      </c>
      <c r="F281" t="s">
        <v>1378</v>
      </c>
      <c r="G281" t="s">
        <v>1531</v>
      </c>
      <c r="H281" t="s">
        <v>1845</v>
      </c>
    </row>
    <row r="282" spans="1:8">
      <c r="A282">
        <v>276092</v>
      </c>
      <c r="B282" t="s">
        <v>1003</v>
      </c>
      <c r="C282" t="s">
        <v>1004</v>
      </c>
      <c r="D282" t="s">
        <v>1439</v>
      </c>
      <c r="E282" t="s">
        <v>1012</v>
      </c>
      <c r="F282" t="s">
        <v>1371</v>
      </c>
      <c r="G282" t="s">
        <v>1540</v>
      </c>
      <c r="H282" t="s">
        <v>59</v>
      </c>
    </row>
    <row r="283" spans="1:8">
      <c r="A283">
        <v>147448</v>
      </c>
      <c r="B283" t="s">
        <v>1005</v>
      </c>
      <c r="C283" t="s">
        <v>1006</v>
      </c>
      <c r="D283" t="s">
        <v>1439</v>
      </c>
      <c r="E283" t="s">
        <v>937</v>
      </c>
      <c r="F283" t="s">
        <v>1378</v>
      </c>
      <c r="G283" t="s">
        <v>1556</v>
      </c>
      <c r="H283" t="s">
        <v>61</v>
      </c>
    </row>
    <row r="284" spans="1:8">
      <c r="A284">
        <v>231731</v>
      </c>
      <c r="B284" t="s">
        <v>1007</v>
      </c>
      <c r="C284" t="s">
        <v>1008</v>
      </c>
      <c r="D284" t="s">
        <v>1439</v>
      </c>
      <c r="E284" t="s">
        <v>1346</v>
      </c>
      <c r="F284" t="s">
        <v>1374</v>
      </c>
      <c r="G284" t="s">
        <v>1536</v>
      </c>
      <c r="H284" t="s">
        <v>67</v>
      </c>
    </row>
    <row r="285" spans="1:8">
      <c r="A285">
        <v>105413</v>
      </c>
      <c r="B285" t="s">
        <v>1009</v>
      </c>
      <c r="C285" t="s">
        <v>1010</v>
      </c>
      <c r="D285" t="s">
        <v>1439</v>
      </c>
      <c r="E285" t="s">
        <v>1108</v>
      </c>
      <c r="F285" t="s">
        <v>1378</v>
      </c>
      <c r="G285" t="s">
        <v>1562</v>
      </c>
      <c r="H285" t="s">
        <v>61</v>
      </c>
    </row>
    <row r="286" spans="1:8">
      <c r="A286">
        <v>102892</v>
      </c>
      <c r="B286" t="s">
        <v>1011</v>
      </c>
      <c r="C286" t="s">
        <v>1012</v>
      </c>
      <c r="D286" t="s">
        <v>1441</v>
      </c>
      <c r="E286" t="s">
        <v>1371</v>
      </c>
      <c r="F286" t="s">
        <v>1380</v>
      </c>
      <c r="G286" t="s">
        <v>1425</v>
      </c>
      <c r="H286" t="s">
        <v>1845</v>
      </c>
    </row>
    <row r="287" spans="1:8">
      <c r="A287">
        <v>197711</v>
      </c>
      <c r="B287" t="s">
        <v>1013</v>
      </c>
      <c r="C287" t="s">
        <v>1014</v>
      </c>
      <c r="D287" t="s">
        <v>1439</v>
      </c>
      <c r="E287" t="s">
        <v>937</v>
      </c>
      <c r="F287" t="s">
        <v>1378</v>
      </c>
      <c r="G287" t="s">
        <v>1533</v>
      </c>
      <c r="H287" t="s">
        <v>61</v>
      </c>
    </row>
    <row r="288" spans="1:8">
      <c r="A288">
        <v>107740</v>
      </c>
      <c r="B288" t="s">
        <v>1015</v>
      </c>
      <c r="C288" t="s">
        <v>1016</v>
      </c>
      <c r="D288" t="s">
        <v>1439</v>
      </c>
      <c r="E288" t="s">
        <v>937</v>
      </c>
      <c r="F288" t="s">
        <v>1378</v>
      </c>
      <c r="G288" t="s">
        <v>1533</v>
      </c>
      <c r="H288" t="s">
        <v>61</v>
      </c>
    </row>
    <row r="289" spans="1:8">
      <c r="A289">
        <v>100597</v>
      </c>
      <c r="B289" t="s">
        <v>1017</v>
      </c>
      <c r="C289" t="s">
        <v>1018</v>
      </c>
      <c r="D289" t="s">
        <v>1439</v>
      </c>
      <c r="E289" t="s">
        <v>1108</v>
      </c>
      <c r="F289" t="s">
        <v>1378</v>
      </c>
      <c r="G289" t="s">
        <v>1563</v>
      </c>
      <c r="H289" t="s">
        <v>61</v>
      </c>
    </row>
    <row r="290" spans="1:8">
      <c r="A290">
        <v>196262</v>
      </c>
      <c r="B290" t="s">
        <v>1353</v>
      </c>
      <c r="C290" t="s">
        <v>1354</v>
      </c>
      <c r="D290" t="s">
        <v>1439</v>
      </c>
      <c r="E290" t="s">
        <v>947</v>
      </c>
      <c r="F290" t="s">
        <v>1371</v>
      </c>
      <c r="G290" t="s">
        <v>1559</v>
      </c>
      <c r="H290" t="s">
        <v>59</v>
      </c>
    </row>
    <row r="291" spans="1:8">
      <c r="A291">
        <v>122473</v>
      </c>
      <c r="B291" t="s">
        <v>1019</v>
      </c>
      <c r="C291" t="s">
        <v>1020</v>
      </c>
      <c r="D291" t="s">
        <v>1439</v>
      </c>
      <c r="E291" t="s">
        <v>1273</v>
      </c>
      <c r="F291" t="s">
        <v>1374</v>
      </c>
      <c r="G291" t="s">
        <v>1536</v>
      </c>
      <c r="H291" t="s">
        <v>67</v>
      </c>
    </row>
    <row r="292" spans="1:8">
      <c r="A292">
        <v>121122</v>
      </c>
      <c r="B292" t="s">
        <v>1021</v>
      </c>
      <c r="C292" t="s">
        <v>1022</v>
      </c>
      <c r="D292" t="s">
        <v>1439</v>
      </c>
      <c r="E292" t="s">
        <v>817</v>
      </c>
      <c r="F292" t="s">
        <v>1375</v>
      </c>
      <c r="G292" t="s">
        <v>1558</v>
      </c>
      <c r="H292" t="s">
        <v>64</v>
      </c>
    </row>
    <row r="293" spans="1:8">
      <c r="A293">
        <v>273000</v>
      </c>
      <c r="B293" t="s">
        <v>1023</v>
      </c>
      <c r="C293" t="s">
        <v>1024</v>
      </c>
      <c r="D293" t="s">
        <v>1439</v>
      </c>
      <c r="E293" t="s">
        <v>1273</v>
      </c>
      <c r="F293" t="s">
        <v>1374</v>
      </c>
      <c r="G293" t="s">
        <v>1545</v>
      </c>
      <c r="H293" t="s">
        <v>67</v>
      </c>
    </row>
    <row r="294" spans="1:8">
      <c r="A294">
        <v>273669</v>
      </c>
      <c r="B294" t="s">
        <v>1025</v>
      </c>
      <c r="C294" t="s">
        <v>1026</v>
      </c>
      <c r="D294" t="s">
        <v>1439</v>
      </c>
      <c r="E294" t="s">
        <v>1012</v>
      </c>
      <c r="F294" t="s">
        <v>1371</v>
      </c>
      <c r="G294" t="s">
        <v>1540</v>
      </c>
      <c r="H294" t="s">
        <v>59</v>
      </c>
    </row>
    <row r="295" spans="1:8">
      <c r="A295">
        <v>291012</v>
      </c>
      <c r="B295" t="s">
        <v>1027</v>
      </c>
      <c r="C295" t="s">
        <v>1028</v>
      </c>
      <c r="D295" t="s">
        <v>1439</v>
      </c>
      <c r="E295" t="s">
        <v>476</v>
      </c>
      <c r="F295" t="s">
        <v>1374</v>
      </c>
      <c r="G295" t="s">
        <v>1536</v>
      </c>
      <c r="H295" t="s">
        <v>67</v>
      </c>
    </row>
    <row r="296" spans="1:8">
      <c r="A296">
        <v>240699</v>
      </c>
      <c r="B296" t="s">
        <v>1029</v>
      </c>
      <c r="C296" t="s">
        <v>1030</v>
      </c>
      <c r="D296" t="s">
        <v>1439</v>
      </c>
      <c r="E296" t="s">
        <v>512</v>
      </c>
      <c r="F296" t="s">
        <v>604</v>
      </c>
      <c r="G296" t="s">
        <v>1541</v>
      </c>
      <c r="H296" t="s">
        <v>65</v>
      </c>
    </row>
    <row r="297" spans="1:8">
      <c r="A297">
        <v>276415</v>
      </c>
      <c r="B297" t="s">
        <v>1031</v>
      </c>
      <c r="C297" t="s">
        <v>1032</v>
      </c>
      <c r="D297" t="s">
        <v>1439</v>
      </c>
      <c r="E297" t="s">
        <v>1344</v>
      </c>
      <c r="F297" t="s">
        <v>604</v>
      </c>
      <c r="G297" t="s">
        <v>1541</v>
      </c>
      <c r="H297" t="s">
        <v>65</v>
      </c>
    </row>
    <row r="298" spans="1:8">
      <c r="A298">
        <v>276411</v>
      </c>
      <c r="B298" t="s">
        <v>1033</v>
      </c>
      <c r="C298" t="s">
        <v>1034</v>
      </c>
      <c r="D298" t="s">
        <v>1439</v>
      </c>
      <c r="E298" t="s">
        <v>1346</v>
      </c>
      <c r="F298" t="s">
        <v>1374</v>
      </c>
      <c r="G298" t="s">
        <v>1544</v>
      </c>
      <c r="H298" t="s">
        <v>67</v>
      </c>
    </row>
    <row r="299" spans="1:8">
      <c r="A299">
        <v>194883</v>
      </c>
      <c r="B299" t="s">
        <v>1035</v>
      </c>
      <c r="C299" t="s">
        <v>1036</v>
      </c>
      <c r="D299" t="s">
        <v>1439</v>
      </c>
      <c r="E299" t="s">
        <v>1346</v>
      </c>
      <c r="F299" t="s">
        <v>1374</v>
      </c>
      <c r="G299" t="s">
        <v>1545</v>
      </c>
      <c r="H299" t="s">
        <v>67</v>
      </c>
    </row>
    <row r="300" spans="1:8">
      <c r="A300">
        <v>195401</v>
      </c>
      <c r="B300" t="s">
        <v>1037</v>
      </c>
      <c r="C300" t="s">
        <v>1038</v>
      </c>
      <c r="D300" t="s">
        <v>1439</v>
      </c>
      <c r="E300" t="s">
        <v>2395</v>
      </c>
      <c r="F300" t="s">
        <v>604</v>
      </c>
      <c r="G300" t="s">
        <v>1550</v>
      </c>
      <c r="H300" t="s">
        <v>65</v>
      </c>
    </row>
    <row r="301" spans="1:8">
      <c r="A301">
        <v>273667</v>
      </c>
      <c r="B301" t="s">
        <v>1039</v>
      </c>
      <c r="C301" t="s">
        <v>1040</v>
      </c>
      <c r="D301" t="s">
        <v>1439</v>
      </c>
      <c r="E301" t="s">
        <v>642</v>
      </c>
      <c r="F301" t="s">
        <v>1378</v>
      </c>
      <c r="G301" t="s">
        <v>1532</v>
      </c>
      <c r="H301" t="s">
        <v>58</v>
      </c>
    </row>
    <row r="302" spans="1:8">
      <c r="A302">
        <v>196254</v>
      </c>
      <c r="B302" t="s">
        <v>1041</v>
      </c>
      <c r="C302" t="s">
        <v>1042</v>
      </c>
      <c r="D302" t="s">
        <v>1439</v>
      </c>
      <c r="E302" t="s">
        <v>1012</v>
      </c>
      <c r="F302" t="s">
        <v>1371</v>
      </c>
      <c r="G302" t="s">
        <v>1540</v>
      </c>
      <c r="H302" t="s">
        <v>59</v>
      </c>
    </row>
    <row r="303" spans="1:8">
      <c r="A303">
        <v>291005</v>
      </c>
      <c r="B303" t="s">
        <v>1043</v>
      </c>
      <c r="C303" t="s">
        <v>1044</v>
      </c>
      <c r="D303" t="s">
        <v>1439</v>
      </c>
      <c r="E303" t="s">
        <v>512</v>
      </c>
      <c r="F303" t="s">
        <v>604</v>
      </c>
      <c r="G303" t="s">
        <v>1541</v>
      </c>
      <c r="H303" t="s">
        <v>65</v>
      </c>
    </row>
    <row r="304" spans="1:8">
      <c r="A304">
        <v>137378</v>
      </c>
      <c r="B304" t="s">
        <v>1045</v>
      </c>
      <c r="C304" t="s">
        <v>1046</v>
      </c>
      <c r="D304" t="s">
        <v>1439</v>
      </c>
      <c r="E304" t="s">
        <v>929</v>
      </c>
      <c r="F304" t="s">
        <v>1378</v>
      </c>
      <c r="G304" t="s">
        <v>1542</v>
      </c>
      <c r="H304" t="s">
        <v>68</v>
      </c>
    </row>
    <row r="305" spans="1:8">
      <c r="A305">
        <v>298787</v>
      </c>
      <c r="B305" t="s">
        <v>1047</v>
      </c>
      <c r="C305" t="s">
        <v>1048</v>
      </c>
      <c r="D305" t="s">
        <v>1439</v>
      </c>
      <c r="E305" t="s">
        <v>1346</v>
      </c>
      <c r="F305" t="s">
        <v>1374</v>
      </c>
      <c r="G305" t="s">
        <v>1536</v>
      </c>
      <c r="H305" t="s">
        <v>67</v>
      </c>
    </row>
    <row r="306" spans="1:8">
      <c r="A306">
        <v>43485</v>
      </c>
      <c r="B306" t="s">
        <v>1049</v>
      </c>
      <c r="C306" t="s">
        <v>1050</v>
      </c>
      <c r="D306" t="s">
        <v>1439</v>
      </c>
      <c r="E306" t="s">
        <v>929</v>
      </c>
      <c r="F306" t="s">
        <v>1378</v>
      </c>
      <c r="G306" t="s">
        <v>1534</v>
      </c>
      <c r="H306" t="s">
        <v>61</v>
      </c>
    </row>
    <row r="307" spans="1:8">
      <c r="A307">
        <v>65895</v>
      </c>
      <c r="B307" t="s">
        <v>1051</v>
      </c>
      <c r="C307" t="s">
        <v>1052</v>
      </c>
      <c r="D307" t="s">
        <v>1439</v>
      </c>
      <c r="E307" t="s">
        <v>937</v>
      </c>
      <c r="F307" t="s">
        <v>1378</v>
      </c>
      <c r="G307" t="s">
        <v>1555</v>
      </c>
      <c r="H307" t="s">
        <v>61</v>
      </c>
    </row>
    <row r="308" spans="1:8">
      <c r="A308">
        <v>25745</v>
      </c>
      <c r="B308" t="s">
        <v>1053</v>
      </c>
      <c r="C308" t="s">
        <v>1054</v>
      </c>
      <c r="D308" t="s">
        <v>1439</v>
      </c>
      <c r="E308" t="s">
        <v>1108</v>
      </c>
      <c r="F308" t="s">
        <v>1378</v>
      </c>
      <c r="G308" t="s">
        <v>1539</v>
      </c>
      <c r="H308" t="s">
        <v>61</v>
      </c>
    </row>
    <row r="309" spans="1:8">
      <c r="A309">
        <v>172936</v>
      </c>
      <c r="B309" t="s">
        <v>1055</v>
      </c>
      <c r="C309" t="s">
        <v>1056</v>
      </c>
      <c r="D309" t="s">
        <v>1439</v>
      </c>
      <c r="E309" t="s">
        <v>817</v>
      </c>
      <c r="F309" t="s">
        <v>1375</v>
      </c>
      <c r="G309" t="s">
        <v>1558</v>
      </c>
      <c r="H309" t="s">
        <v>64</v>
      </c>
    </row>
    <row r="310" spans="1:8">
      <c r="A310">
        <v>272980</v>
      </c>
      <c r="B310" t="s">
        <v>1057</v>
      </c>
      <c r="C310" t="s">
        <v>1058</v>
      </c>
      <c r="D310" t="s">
        <v>1439</v>
      </c>
      <c r="E310" t="s">
        <v>512</v>
      </c>
      <c r="F310" t="s">
        <v>604</v>
      </c>
      <c r="G310" t="s">
        <v>1541</v>
      </c>
      <c r="H310" t="s">
        <v>65</v>
      </c>
    </row>
    <row r="311" spans="1:8">
      <c r="A311">
        <v>292097</v>
      </c>
      <c r="B311" t="s">
        <v>1059</v>
      </c>
      <c r="C311" t="s">
        <v>1060</v>
      </c>
      <c r="D311" t="s">
        <v>1439</v>
      </c>
      <c r="E311" t="s">
        <v>476</v>
      </c>
      <c r="F311" t="s">
        <v>1374</v>
      </c>
      <c r="G311" t="s">
        <v>1536</v>
      </c>
      <c r="H311" t="s">
        <v>67</v>
      </c>
    </row>
    <row r="312" spans="1:8">
      <c r="A312">
        <v>272998</v>
      </c>
      <c r="B312" t="s">
        <v>1061</v>
      </c>
      <c r="C312" t="s">
        <v>1062</v>
      </c>
      <c r="D312" t="s">
        <v>1439</v>
      </c>
      <c r="E312" t="s">
        <v>1344</v>
      </c>
      <c r="F312" t="s">
        <v>604</v>
      </c>
      <c r="G312" t="s">
        <v>1533</v>
      </c>
      <c r="H312" t="s">
        <v>65</v>
      </c>
    </row>
    <row r="313" spans="1:8">
      <c r="A313">
        <v>112140</v>
      </c>
      <c r="B313" t="s">
        <v>1063</v>
      </c>
      <c r="C313" t="s">
        <v>1064</v>
      </c>
      <c r="D313" t="s">
        <v>1439</v>
      </c>
      <c r="E313" t="s">
        <v>512</v>
      </c>
      <c r="F313" t="s">
        <v>604</v>
      </c>
      <c r="G313" t="s">
        <v>1564</v>
      </c>
      <c r="H313" t="s">
        <v>65</v>
      </c>
    </row>
    <row r="314" spans="1:8">
      <c r="A314">
        <v>143030</v>
      </c>
      <c r="B314" t="s">
        <v>1065</v>
      </c>
      <c r="C314" t="s">
        <v>1066</v>
      </c>
      <c r="D314" t="s">
        <v>1441</v>
      </c>
      <c r="E314" t="s">
        <v>1378</v>
      </c>
      <c r="F314" t="s">
        <v>1380</v>
      </c>
      <c r="G314" t="s">
        <v>1425</v>
      </c>
      <c r="H314" t="s">
        <v>1845</v>
      </c>
    </row>
    <row r="315" spans="1:8">
      <c r="A315">
        <v>278687</v>
      </c>
      <c r="B315" t="s">
        <v>1067</v>
      </c>
      <c r="C315" t="s">
        <v>1068</v>
      </c>
      <c r="D315" t="s">
        <v>1439</v>
      </c>
      <c r="E315" t="s">
        <v>1066</v>
      </c>
      <c r="F315" t="s">
        <v>1378</v>
      </c>
      <c r="G315" t="s">
        <v>1532</v>
      </c>
      <c r="H315" t="s">
        <v>58</v>
      </c>
    </row>
    <row r="316" spans="1:8">
      <c r="A316">
        <v>229172</v>
      </c>
      <c r="B316" t="s">
        <v>1069</v>
      </c>
      <c r="C316" t="s">
        <v>1070</v>
      </c>
      <c r="D316" t="s">
        <v>1439</v>
      </c>
      <c r="E316" t="s">
        <v>2395</v>
      </c>
      <c r="F316" t="s">
        <v>604</v>
      </c>
      <c r="G316" t="s">
        <v>1541</v>
      </c>
      <c r="H316" t="s">
        <v>65</v>
      </c>
    </row>
    <row r="317" spans="1:8">
      <c r="A317">
        <v>105786</v>
      </c>
      <c r="B317" t="s">
        <v>1071</v>
      </c>
      <c r="C317" t="s">
        <v>1072</v>
      </c>
      <c r="D317" t="s">
        <v>1439</v>
      </c>
      <c r="E317" t="s">
        <v>1344</v>
      </c>
      <c r="F317" t="s">
        <v>604</v>
      </c>
      <c r="G317" t="s">
        <v>1541</v>
      </c>
      <c r="H317" t="s">
        <v>65</v>
      </c>
    </row>
    <row r="318" spans="1:8">
      <c r="A318">
        <v>197198</v>
      </c>
      <c r="B318" t="s">
        <v>1073</v>
      </c>
      <c r="C318" t="s">
        <v>1074</v>
      </c>
      <c r="D318" t="s">
        <v>1439</v>
      </c>
      <c r="E318" t="s">
        <v>937</v>
      </c>
      <c r="F318" t="s">
        <v>1378</v>
      </c>
      <c r="G318" t="s">
        <v>1533</v>
      </c>
      <c r="H318" t="s">
        <v>61</v>
      </c>
    </row>
    <row r="319" spans="1:8">
      <c r="A319">
        <v>312894</v>
      </c>
      <c r="B319" t="s">
        <v>1453</v>
      </c>
      <c r="C319" t="s">
        <v>1445</v>
      </c>
      <c r="D319" t="s">
        <v>1439</v>
      </c>
      <c r="E319" t="s">
        <v>1346</v>
      </c>
      <c r="F319" t="s">
        <v>1374</v>
      </c>
      <c r="G319" t="s">
        <v>1536</v>
      </c>
      <c r="H319" t="s">
        <v>67</v>
      </c>
    </row>
    <row r="320" spans="1:8">
      <c r="A320">
        <v>8829</v>
      </c>
      <c r="B320" t="s">
        <v>1075</v>
      </c>
      <c r="C320" t="s">
        <v>1076</v>
      </c>
      <c r="D320" t="s">
        <v>1441</v>
      </c>
      <c r="E320" t="s">
        <v>1374</v>
      </c>
      <c r="F320" t="s">
        <v>1380</v>
      </c>
      <c r="G320" t="s">
        <v>1425</v>
      </c>
      <c r="H320" t="s">
        <v>1845</v>
      </c>
    </row>
    <row r="321" spans="1:8">
      <c r="A321">
        <v>138591</v>
      </c>
      <c r="B321" t="s">
        <v>1077</v>
      </c>
      <c r="C321" t="s">
        <v>1078</v>
      </c>
      <c r="D321" t="s">
        <v>1439</v>
      </c>
      <c r="E321" t="s">
        <v>947</v>
      </c>
      <c r="F321" t="s">
        <v>1371</v>
      </c>
      <c r="G321" t="s">
        <v>1540</v>
      </c>
      <c r="H321" t="s">
        <v>59</v>
      </c>
    </row>
    <row r="322" spans="1:8">
      <c r="A322">
        <v>275864</v>
      </c>
      <c r="B322" t="s">
        <v>1079</v>
      </c>
      <c r="C322" t="s">
        <v>1080</v>
      </c>
      <c r="D322" t="s">
        <v>1439</v>
      </c>
      <c r="E322" t="s">
        <v>1207</v>
      </c>
      <c r="F322" t="s">
        <v>1375</v>
      </c>
      <c r="G322" t="s">
        <v>1543</v>
      </c>
      <c r="H322" t="s">
        <v>66</v>
      </c>
    </row>
    <row r="323" spans="1:8">
      <c r="A323">
        <v>300562</v>
      </c>
      <c r="B323" t="s">
        <v>1081</v>
      </c>
      <c r="C323" t="s">
        <v>1082</v>
      </c>
      <c r="D323" t="s">
        <v>1439</v>
      </c>
      <c r="E323" t="s">
        <v>512</v>
      </c>
      <c r="F323" t="s">
        <v>604</v>
      </c>
      <c r="G323" t="s">
        <v>1541</v>
      </c>
      <c r="H323" t="s">
        <v>65</v>
      </c>
    </row>
    <row r="324" spans="1:8">
      <c r="A324">
        <v>80330</v>
      </c>
      <c r="B324" t="s">
        <v>1083</v>
      </c>
      <c r="C324" t="s">
        <v>1084</v>
      </c>
      <c r="D324" t="s">
        <v>1439</v>
      </c>
      <c r="E324" t="s">
        <v>937</v>
      </c>
      <c r="F324" t="s">
        <v>1378</v>
      </c>
      <c r="G324" t="s">
        <v>1565</v>
      </c>
      <c r="H324" t="s">
        <v>61</v>
      </c>
    </row>
    <row r="325" spans="1:8">
      <c r="A325">
        <v>245709</v>
      </c>
      <c r="B325" t="s">
        <v>1085</v>
      </c>
      <c r="C325" t="s">
        <v>1086</v>
      </c>
      <c r="D325" t="s">
        <v>1439</v>
      </c>
      <c r="E325" t="s">
        <v>598</v>
      </c>
      <c r="F325" t="s">
        <v>1375</v>
      </c>
      <c r="G325" t="s">
        <v>1537</v>
      </c>
      <c r="H325" t="s">
        <v>62</v>
      </c>
    </row>
    <row r="326" spans="1:8">
      <c r="A326">
        <v>242686</v>
      </c>
      <c r="B326" t="s">
        <v>1087</v>
      </c>
      <c r="C326" t="s">
        <v>1088</v>
      </c>
      <c r="D326" t="s">
        <v>1439</v>
      </c>
      <c r="E326" t="s">
        <v>1012</v>
      </c>
      <c r="F326" t="s">
        <v>1371</v>
      </c>
      <c r="G326" t="s">
        <v>1540</v>
      </c>
      <c r="H326" t="s">
        <v>59</v>
      </c>
    </row>
    <row r="327" spans="1:8">
      <c r="A327">
        <v>195110</v>
      </c>
      <c r="B327" t="s">
        <v>1089</v>
      </c>
      <c r="C327" t="s">
        <v>1090</v>
      </c>
      <c r="D327" t="s">
        <v>1439</v>
      </c>
      <c r="E327" t="s">
        <v>1012</v>
      </c>
      <c r="F327" t="s">
        <v>1371</v>
      </c>
      <c r="G327" t="s">
        <v>1540</v>
      </c>
      <c r="H327" t="s">
        <v>59</v>
      </c>
    </row>
    <row r="328" spans="1:8">
      <c r="A328">
        <v>143241</v>
      </c>
      <c r="B328" t="s">
        <v>1091</v>
      </c>
      <c r="C328" t="s">
        <v>1092</v>
      </c>
      <c r="D328" t="s">
        <v>1446</v>
      </c>
      <c r="E328" t="s">
        <v>947</v>
      </c>
      <c r="F328" t="s">
        <v>1371</v>
      </c>
      <c r="G328" t="s">
        <v>1535</v>
      </c>
      <c r="H328" t="s">
        <v>60</v>
      </c>
    </row>
    <row r="329" spans="1:8">
      <c r="A329">
        <v>279021</v>
      </c>
      <c r="B329" t="s">
        <v>1093</v>
      </c>
      <c r="C329" t="s">
        <v>1094</v>
      </c>
      <c r="D329" t="s">
        <v>1439</v>
      </c>
      <c r="E329" t="s">
        <v>642</v>
      </c>
      <c r="F329" t="s">
        <v>1378</v>
      </c>
      <c r="G329" t="s">
        <v>1532</v>
      </c>
      <c r="H329" t="s">
        <v>58</v>
      </c>
    </row>
    <row r="330" spans="1:8">
      <c r="A330">
        <v>293170</v>
      </c>
      <c r="B330" t="s">
        <v>1095</v>
      </c>
      <c r="C330" t="s">
        <v>1096</v>
      </c>
      <c r="D330" t="s">
        <v>1439</v>
      </c>
      <c r="E330" t="s">
        <v>512</v>
      </c>
      <c r="F330" t="s">
        <v>604</v>
      </c>
      <c r="G330" t="s">
        <v>1541</v>
      </c>
      <c r="H330" t="s">
        <v>65</v>
      </c>
    </row>
    <row r="331" spans="1:8">
      <c r="A331">
        <v>183747</v>
      </c>
      <c r="B331" t="s">
        <v>1097</v>
      </c>
      <c r="C331" t="s">
        <v>1098</v>
      </c>
      <c r="D331" t="s">
        <v>1439</v>
      </c>
      <c r="E331" t="s">
        <v>817</v>
      </c>
      <c r="F331" t="s">
        <v>1375</v>
      </c>
      <c r="G331" t="s">
        <v>1549</v>
      </c>
      <c r="H331" t="s">
        <v>64</v>
      </c>
    </row>
    <row r="332" spans="1:8">
      <c r="A332">
        <v>221714</v>
      </c>
      <c r="B332" t="s">
        <v>1099</v>
      </c>
      <c r="C332" t="s">
        <v>1100</v>
      </c>
      <c r="D332" t="s">
        <v>1439</v>
      </c>
      <c r="E332" t="s">
        <v>598</v>
      </c>
      <c r="F332" t="s">
        <v>1375</v>
      </c>
      <c r="G332" t="s">
        <v>1537</v>
      </c>
      <c r="H332" t="s">
        <v>62</v>
      </c>
    </row>
    <row r="333" spans="1:8">
      <c r="A333">
        <v>310912</v>
      </c>
      <c r="B333" t="s">
        <v>1101</v>
      </c>
      <c r="C333" t="s">
        <v>1102</v>
      </c>
      <c r="D333" t="s">
        <v>1439</v>
      </c>
      <c r="E333" t="s">
        <v>476</v>
      </c>
      <c r="F333" t="s">
        <v>1374</v>
      </c>
      <c r="G333" t="s">
        <v>1536</v>
      </c>
      <c r="H333" t="s">
        <v>67</v>
      </c>
    </row>
    <row r="334" spans="1:8">
      <c r="A334">
        <v>272696</v>
      </c>
      <c r="B334" t="s">
        <v>1103</v>
      </c>
      <c r="C334" t="s">
        <v>1104</v>
      </c>
      <c r="D334" t="s">
        <v>1439</v>
      </c>
      <c r="E334" t="s">
        <v>929</v>
      </c>
      <c r="F334" t="s">
        <v>1378</v>
      </c>
      <c r="G334" t="s">
        <v>1542</v>
      </c>
      <c r="H334" t="s">
        <v>68</v>
      </c>
    </row>
    <row r="335" spans="1:8">
      <c r="A335">
        <v>199101</v>
      </c>
      <c r="B335" t="s">
        <v>1105</v>
      </c>
      <c r="C335" t="s">
        <v>1106</v>
      </c>
      <c r="D335" t="s">
        <v>1439</v>
      </c>
      <c r="E335" t="s">
        <v>512</v>
      </c>
      <c r="F335" t="s">
        <v>604</v>
      </c>
      <c r="G335" t="s">
        <v>1541</v>
      </c>
      <c r="H335" t="s">
        <v>65</v>
      </c>
    </row>
    <row r="336" spans="1:8">
      <c r="A336">
        <v>106999</v>
      </c>
      <c r="B336" t="s">
        <v>1107</v>
      </c>
      <c r="C336" t="s">
        <v>1108</v>
      </c>
      <c r="D336" t="s">
        <v>1441</v>
      </c>
      <c r="E336" t="s">
        <v>1378</v>
      </c>
      <c r="F336" t="s">
        <v>1380</v>
      </c>
      <c r="G336" t="s">
        <v>1425</v>
      </c>
      <c r="H336" t="s">
        <v>1845</v>
      </c>
    </row>
    <row r="337" spans="1:8">
      <c r="A337">
        <v>194467</v>
      </c>
      <c r="B337" t="s">
        <v>1109</v>
      </c>
      <c r="C337" t="s">
        <v>1110</v>
      </c>
      <c r="D337" t="s">
        <v>1439</v>
      </c>
      <c r="E337" t="s">
        <v>1338</v>
      </c>
      <c r="F337" t="s">
        <v>1381</v>
      </c>
      <c r="G337" t="s">
        <v>1541</v>
      </c>
      <c r="H337" t="s">
        <v>65</v>
      </c>
    </row>
    <row r="338" spans="1:8">
      <c r="A338">
        <v>221413</v>
      </c>
      <c r="B338" t="s">
        <v>1111</v>
      </c>
      <c r="C338" t="s">
        <v>1112</v>
      </c>
      <c r="D338" t="s">
        <v>1439</v>
      </c>
      <c r="E338" t="s">
        <v>692</v>
      </c>
      <c r="F338" t="s">
        <v>1371</v>
      </c>
      <c r="G338" t="s">
        <v>1540</v>
      </c>
      <c r="H338" t="s">
        <v>59</v>
      </c>
    </row>
    <row r="339" spans="1:8">
      <c r="A339">
        <v>278920</v>
      </c>
      <c r="B339" t="s">
        <v>1113</v>
      </c>
      <c r="C339" t="s">
        <v>1114</v>
      </c>
      <c r="D339" t="s">
        <v>1439</v>
      </c>
      <c r="E339" t="s">
        <v>1344</v>
      </c>
      <c r="F339" t="s">
        <v>604</v>
      </c>
      <c r="G339" t="s">
        <v>1541</v>
      </c>
      <c r="H339" t="s">
        <v>65</v>
      </c>
    </row>
    <row r="340" spans="1:8">
      <c r="A340">
        <v>187975</v>
      </c>
      <c r="B340" t="s">
        <v>1115</v>
      </c>
      <c r="C340" t="s">
        <v>1116</v>
      </c>
      <c r="D340" t="s">
        <v>1439</v>
      </c>
      <c r="E340" t="s">
        <v>1012</v>
      </c>
      <c r="F340" t="s">
        <v>1371</v>
      </c>
      <c r="G340" t="s">
        <v>1553</v>
      </c>
      <c r="H340" t="s">
        <v>60</v>
      </c>
    </row>
    <row r="341" spans="1:8">
      <c r="A341">
        <v>158826</v>
      </c>
      <c r="B341" t="s">
        <v>1117</v>
      </c>
      <c r="C341" t="s">
        <v>1118</v>
      </c>
      <c r="D341" t="s">
        <v>1439</v>
      </c>
      <c r="E341" t="s">
        <v>937</v>
      </c>
      <c r="F341" t="s">
        <v>1378</v>
      </c>
      <c r="G341" t="s">
        <v>1555</v>
      </c>
      <c r="H341" t="s">
        <v>68</v>
      </c>
    </row>
    <row r="342" spans="1:8">
      <c r="A342">
        <v>100826</v>
      </c>
      <c r="B342" t="s">
        <v>1119</v>
      </c>
      <c r="C342" t="s">
        <v>1120</v>
      </c>
      <c r="D342" t="s">
        <v>1439</v>
      </c>
      <c r="E342" t="s">
        <v>937</v>
      </c>
      <c r="F342" t="s">
        <v>1378</v>
      </c>
      <c r="G342" t="s">
        <v>1533</v>
      </c>
      <c r="H342" t="s">
        <v>61</v>
      </c>
    </row>
    <row r="343" spans="1:8">
      <c r="A343">
        <v>274212</v>
      </c>
      <c r="B343" t="s">
        <v>1121</v>
      </c>
      <c r="C343" t="s">
        <v>1122</v>
      </c>
      <c r="D343" t="s">
        <v>1439</v>
      </c>
      <c r="E343" t="s">
        <v>1108</v>
      </c>
      <c r="F343" t="s">
        <v>1378</v>
      </c>
      <c r="G343" t="s">
        <v>1547</v>
      </c>
      <c r="H343" t="s">
        <v>61</v>
      </c>
    </row>
    <row r="344" spans="1:8">
      <c r="A344">
        <v>245760</v>
      </c>
      <c r="B344" t="s">
        <v>1123</v>
      </c>
      <c r="C344" t="s">
        <v>1124</v>
      </c>
      <c r="D344" t="s">
        <v>1439</v>
      </c>
      <c r="E344" t="s">
        <v>598</v>
      </c>
      <c r="F344" t="s">
        <v>1375</v>
      </c>
      <c r="G344" t="s">
        <v>1537</v>
      </c>
      <c r="H344" t="s">
        <v>62</v>
      </c>
    </row>
    <row r="345" spans="1:8">
      <c r="A345">
        <v>180358</v>
      </c>
      <c r="B345" t="s">
        <v>1125</v>
      </c>
      <c r="C345" t="s">
        <v>1126</v>
      </c>
      <c r="D345" t="s">
        <v>1440</v>
      </c>
      <c r="E345" t="s">
        <v>955</v>
      </c>
      <c r="F345" t="s">
        <v>1375</v>
      </c>
      <c r="G345" t="s">
        <v>1535</v>
      </c>
      <c r="H345" t="s">
        <v>62</v>
      </c>
    </row>
    <row r="346" spans="1:8">
      <c r="A346">
        <v>194720</v>
      </c>
      <c r="B346" t="s">
        <v>1127</v>
      </c>
      <c r="C346" t="s">
        <v>1128</v>
      </c>
      <c r="D346" t="s">
        <v>1439</v>
      </c>
      <c r="E346" t="s">
        <v>1076</v>
      </c>
      <c r="F346" t="s">
        <v>1374</v>
      </c>
      <c r="G346" t="s">
        <v>1536</v>
      </c>
      <c r="H346" t="s">
        <v>1845</v>
      </c>
    </row>
    <row r="347" spans="1:8">
      <c r="A347">
        <v>231117</v>
      </c>
      <c r="B347" t="s">
        <v>1129</v>
      </c>
      <c r="C347" t="s">
        <v>1130</v>
      </c>
      <c r="D347" t="s">
        <v>1439</v>
      </c>
      <c r="E347" t="s">
        <v>955</v>
      </c>
      <c r="F347" t="s">
        <v>1375</v>
      </c>
      <c r="G347" t="s">
        <v>1537</v>
      </c>
      <c r="H347" t="s">
        <v>62</v>
      </c>
    </row>
    <row r="348" spans="1:8">
      <c r="A348">
        <v>273305</v>
      </c>
      <c r="B348" t="s">
        <v>1131</v>
      </c>
      <c r="C348" t="s">
        <v>1132</v>
      </c>
      <c r="D348" t="s">
        <v>1439</v>
      </c>
      <c r="E348" t="s">
        <v>1273</v>
      </c>
      <c r="F348" t="s">
        <v>1374</v>
      </c>
      <c r="G348" t="s">
        <v>1536</v>
      </c>
      <c r="H348" t="s">
        <v>67</v>
      </c>
    </row>
    <row r="349" spans="1:8">
      <c r="A349">
        <v>147845</v>
      </c>
      <c r="B349" t="s">
        <v>1133</v>
      </c>
      <c r="C349" t="s">
        <v>1134</v>
      </c>
      <c r="D349" t="s">
        <v>1439</v>
      </c>
      <c r="E349" t="s">
        <v>929</v>
      </c>
      <c r="F349" t="s">
        <v>1378</v>
      </c>
      <c r="G349" t="s">
        <v>1542</v>
      </c>
      <c r="H349" t="s">
        <v>68</v>
      </c>
    </row>
    <row r="350" spans="1:8">
      <c r="A350">
        <v>138357</v>
      </c>
      <c r="B350" t="s">
        <v>1135</v>
      </c>
      <c r="C350" t="s">
        <v>1136</v>
      </c>
      <c r="D350" t="s">
        <v>1439</v>
      </c>
      <c r="E350" t="s">
        <v>955</v>
      </c>
      <c r="F350" t="s">
        <v>1375</v>
      </c>
      <c r="G350" t="s">
        <v>1537</v>
      </c>
      <c r="H350" t="s">
        <v>62</v>
      </c>
    </row>
    <row r="351" spans="1:8">
      <c r="A351">
        <v>265219</v>
      </c>
      <c r="B351" t="s">
        <v>1137</v>
      </c>
      <c r="C351" t="s">
        <v>1138</v>
      </c>
      <c r="D351" t="s">
        <v>1439</v>
      </c>
      <c r="E351" t="s">
        <v>584</v>
      </c>
      <c r="F351" t="s">
        <v>1374</v>
      </c>
      <c r="G351" t="s">
        <v>1536</v>
      </c>
      <c r="H351" t="s">
        <v>67</v>
      </c>
    </row>
    <row r="352" spans="1:8">
      <c r="A352">
        <v>221414</v>
      </c>
      <c r="B352" t="s">
        <v>1139</v>
      </c>
      <c r="C352" t="s">
        <v>1140</v>
      </c>
      <c r="D352" t="s">
        <v>1438</v>
      </c>
      <c r="E352" t="s">
        <v>512</v>
      </c>
      <c r="F352" t="s">
        <v>604</v>
      </c>
      <c r="G352" t="s">
        <v>1531</v>
      </c>
      <c r="H352" t="s">
        <v>1845</v>
      </c>
    </row>
    <row r="353" spans="1:8">
      <c r="A353">
        <v>231187</v>
      </c>
      <c r="B353" t="s">
        <v>1141</v>
      </c>
      <c r="C353" t="s">
        <v>1142</v>
      </c>
      <c r="D353" t="s">
        <v>1439</v>
      </c>
      <c r="E353" t="s">
        <v>2395</v>
      </c>
      <c r="F353" t="s">
        <v>604</v>
      </c>
      <c r="G353" t="s">
        <v>1541</v>
      </c>
      <c r="H353" t="s">
        <v>65</v>
      </c>
    </row>
    <row r="354" spans="1:8">
      <c r="A354">
        <v>100615</v>
      </c>
      <c r="B354" t="s">
        <v>1143</v>
      </c>
      <c r="C354" t="s">
        <v>1144</v>
      </c>
      <c r="D354" t="s">
        <v>1439</v>
      </c>
      <c r="E354" t="s">
        <v>937</v>
      </c>
      <c r="F354" t="s">
        <v>1378</v>
      </c>
      <c r="G354" t="s">
        <v>1555</v>
      </c>
      <c r="H354" t="s">
        <v>61</v>
      </c>
    </row>
    <row r="355" spans="1:8">
      <c r="A355">
        <v>168530</v>
      </c>
      <c r="B355" t="s">
        <v>1145</v>
      </c>
      <c r="C355" t="s">
        <v>1146</v>
      </c>
      <c r="D355" t="s">
        <v>1439</v>
      </c>
      <c r="E355" t="s">
        <v>817</v>
      </c>
      <c r="F355" t="s">
        <v>1375</v>
      </c>
      <c r="G355" t="s">
        <v>1558</v>
      </c>
      <c r="H355" t="s">
        <v>62</v>
      </c>
    </row>
    <row r="356" spans="1:8">
      <c r="A356">
        <v>182008</v>
      </c>
      <c r="B356" t="s">
        <v>1147</v>
      </c>
      <c r="C356" t="s">
        <v>1148</v>
      </c>
      <c r="D356" t="s">
        <v>1439</v>
      </c>
      <c r="E356" t="s">
        <v>1344</v>
      </c>
      <c r="F356" t="s">
        <v>604</v>
      </c>
      <c r="G356" t="s">
        <v>1554</v>
      </c>
      <c r="H356" t="s">
        <v>65</v>
      </c>
    </row>
    <row r="357" spans="1:8">
      <c r="A357">
        <v>230872</v>
      </c>
      <c r="B357" t="s">
        <v>1149</v>
      </c>
      <c r="C357" t="s">
        <v>1150</v>
      </c>
      <c r="D357" t="s">
        <v>1439</v>
      </c>
      <c r="E357" t="s">
        <v>476</v>
      </c>
      <c r="F357" t="s">
        <v>1374</v>
      </c>
      <c r="G357" t="s">
        <v>1536</v>
      </c>
      <c r="H357" t="s">
        <v>67</v>
      </c>
    </row>
    <row r="358" spans="1:8">
      <c r="A358">
        <v>290737</v>
      </c>
      <c r="B358" t="s">
        <v>1151</v>
      </c>
      <c r="C358" t="s">
        <v>1152</v>
      </c>
      <c r="D358" t="s">
        <v>1439</v>
      </c>
      <c r="E358" t="s">
        <v>1191</v>
      </c>
      <c r="F358" t="s">
        <v>1381</v>
      </c>
      <c r="G358" t="s">
        <v>1541</v>
      </c>
      <c r="H358" t="s">
        <v>65</v>
      </c>
    </row>
    <row r="359" spans="1:8">
      <c r="A359">
        <v>310849</v>
      </c>
      <c r="B359" t="s">
        <v>1153</v>
      </c>
      <c r="C359" t="s">
        <v>1154</v>
      </c>
      <c r="D359" t="s">
        <v>1439</v>
      </c>
      <c r="E359" t="s">
        <v>598</v>
      </c>
      <c r="F359" t="s">
        <v>1375</v>
      </c>
      <c r="G359" t="s">
        <v>1537</v>
      </c>
      <c r="H359" t="s">
        <v>62</v>
      </c>
    </row>
    <row r="360" spans="1:8">
      <c r="A360">
        <v>250171</v>
      </c>
      <c r="B360" t="s">
        <v>1155</v>
      </c>
      <c r="C360" t="s">
        <v>1156</v>
      </c>
      <c r="D360" t="s">
        <v>1439</v>
      </c>
      <c r="E360" t="s">
        <v>1338</v>
      </c>
      <c r="F360" t="s">
        <v>1381</v>
      </c>
      <c r="G360" t="s">
        <v>1541</v>
      </c>
      <c r="H360" t="s">
        <v>65</v>
      </c>
    </row>
    <row r="361" spans="1:8">
      <c r="A361">
        <v>65251</v>
      </c>
      <c r="B361" t="s">
        <v>1157</v>
      </c>
      <c r="C361" t="s">
        <v>1158</v>
      </c>
      <c r="D361" t="s">
        <v>1439</v>
      </c>
      <c r="E361" t="s">
        <v>937</v>
      </c>
      <c r="F361" t="s">
        <v>1378</v>
      </c>
      <c r="G361" t="s">
        <v>1533</v>
      </c>
      <c r="H361" t="s">
        <v>61</v>
      </c>
    </row>
    <row r="362" spans="1:8">
      <c r="A362">
        <v>289802</v>
      </c>
      <c r="B362" t="s">
        <v>1833</v>
      </c>
      <c r="C362" t="s">
        <v>1832</v>
      </c>
      <c r="D362" t="s">
        <v>1439</v>
      </c>
      <c r="E362" t="s">
        <v>1076</v>
      </c>
      <c r="F362" t="s">
        <v>1374</v>
      </c>
      <c r="G362" t="s">
        <v>1536</v>
      </c>
      <c r="H362" t="s">
        <v>67</v>
      </c>
    </row>
    <row r="363" spans="1:8">
      <c r="A363">
        <v>104264</v>
      </c>
      <c r="B363" t="s">
        <v>1159</v>
      </c>
      <c r="C363" t="s">
        <v>1160</v>
      </c>
      <c r="D363" t="s">
        <v>1439</v>
      </c>
      <c r="E363" t="s">
        <v>937</v>
      </c>
      <c r="F363" t="s">
        <v>1378</v>
      </c>
      <c r="G363" t="s">
        <v>1533</v>
      </c>
      <c r="H363" t="s">
        <v>61</v>
      </c>
    </row>
    <row r="364" spans="1:8">
      <c r="A364">
        <v>278690</v>
      </c>
      <c r="B364" t="s">
        <v>1161</v>
      </c>
      <c r="C364" t="s">
        <v>1162</v>
      </c>
      <c r="D364" t="s">
        <v>1439</v>
      </c>
      <c r="E364" t="s">
        <v>1066</v>
      </c>
      <c r="F364" t="s">
        <v>1378</v>
      </c>
      <c r="G364" t="s">
        <v>1532</v>
      </c>
      <c r="H364" t="s">
        <v>58</v>
      </c>
    </row>
    <row r="365" spans="1:8">
      <c r="A365">
        <v>298993</v>
      </c>
      <c r="B365" t="s">
        <v>1163</v>
      </c>
      <c r="C365" t="s">
        <v>1164</v>
      </c>
      <c r="D365" t="s">
        <v>1439</v>
      </c>
      <c r="E365" t="s">
        <v>1191</v>
      </c>
      <c r="F365" t="s">
        <v>1381</v>
      </c>
      <c r="G365" t="s">
        <v>1541</v>
      </c>
      <c r="H365" t="s">
        <v>65</v>
      </c>
    </row>
    <row r="366" spans="1:8">
      <c r="A366">
        <v>233010</v>
      </c>
      <c r="B366" t="s">
        <v>1165</v>
      </c>
      <c r="C366" t="s">
        <v>1166</v>
      </c>
      <c r="D366" t="s">
        <v>1439</v>
      </c>
      <c r="E366" t="s">
        <v>512</v>
      </c>
      <c r="F366" t="s">
        <v>604</v>
      </c>
      <c r="G366" t="s">
        <v>1541</v>
      </c>
      <c r="H366" t="s">
        <v>65</v>
      </c>
    </row>
    <row r="367" spans="1:8">
      <c r="A367">
        <v>234395</v>
      </c>
      <c r="B367" t="s">
        <v>1167</v>
      </c>
      <c r="C367" t="s">
        <v>1168</v>
      </c>
      <c r="D367" t="s">
        <v>1439</v>
      </c>
      <c r="E367" t="s">
        <v>1344</v>
      </c>
      <c r="F367" t="s">
        <v>604</v>
      </c>
      <c r="G367" t="s">
        <v>1541</v>
      </c>
      <c r="H367" t="s">
        <v>65</v>
      </c>
    </row>
    <row r="368" spans="1:8">
      <c r="A368">
        <v>220965</v>
      </c>
      <c r="B368" t="s">
        <v>1169</v>
      </c>
      <c r="C368" t="s">
        <v>1170</v>
      </c>
      <c r="D368" t="s">
        <v>1439</v>
      </c>
      <c r="E368" t="s">
        <v>2395</v>
      </c>
      <c r="F368" t="s">
        <v>604</v>
      </c>
      <c r="G368" t="s">
        <v>1541</v>
      </c>
      <c r="H368" t="s">
        <v>65</v>
      </c>
    </row>
    <row r="369" spans="1:8">
      <c r="A369">
        <v>86780</v>
      </c>
      <c r="B369" t="s">
        <v>1171</v>
      </c>
      <c r="C369" t="s">
        <v>1172</v>
      </c>
      <c r="D369" t="s">
        <v>1439</v>
      </c>
      <c r="E369" t="s">
        <v>937</v>
      </c>
      <c r="F369" t="s">
        <v>1378</v>
      </c>
      <c r="G369" t="s">
        <v>1566</v>
      </c>
      <c r="H369" t="s">
        <v>61</v>
      </c>
    </row>
    <row r="370" spans="1:8">
      <c r="A370">
        <v>272791</v>
      </c>
      <c r="B370" t="s">
        <v>1173</v>
      </c>
      <c r="C370" t="s">
        <v>1174</v>
      </c>
      <c r="D370" t="s">
        <v>1439</v>
      </c>
      <c r="E370" t="s">
        <v>791</v>
      </c>
      <c r="F370" t="s">
        <v>1381</v>
      </c>
      <c r="G370" t="s">
        <v>1541</v>
      </c>
      <c r="H370" t="s">
        <v>65</v>
      </c>
    </row>
    <row r="371" spans="1:8">
      <c r="A371">
        <v>310818</v>
      </c>
      <c r="B371" t="s">
        <v>1175</v>
      </c>
      <c r="C371" t="s">
        <v>1176</v>
      </c>
      <c r="D371" t="s">
        <v>1439</v>
      </c>
      <c r="E371" t="s">
        <v>1076</v>
      </c>
      <c r="F371" t="s">
        <v>1374</v>
      </c>
      <c r="G371" t="s">
        <v>1536</v>
      </c>
      <c r="H371" t="s">
        <v>67</v>
      </c>
    </row>
    <row r="372" spans="1:8">
      <c r="A372">
        <v>106249</v>
      </c>
      <c r="B372" t="s">
        <v>1177</v>
      </c>
      <c r="C372" t="s">
        <v>1178</v>
      </c>
      <c r="D372" t="s">
        <v>1439</v>
      </c>
      <c r="E372" t="s">
        <v>929</v>
      </c>
      <c r="F372" t="s">
        <v>1378</v>
      </c>
      <c r="G372" t="s">
        <v>1542</v>
      </c>
      <c r="H372" t="s">
        <v>68</v>
      </c>
    </row>
    <row r="373" spans="1:8">
      <c r="A373">
        <v>275769</v>
      </c>
      <c r="B373" t="s">
        <v>1179</v>
      </c>
      <c r="C373" t="s">
        <v>1178</v>
      </c>
      <c r="D373" t="s">
        <v>1439</v>
      </c>
      <c r="E373" t="s">
        <v>1273</v>
      </c>
      <c r="F373" t="s">
        <v>1374</v>
      </c>
      <c r="G373" t="s">
        <v>1536</v>
      </c>
      <c r="H373" t="s">
        <v>67</v>
      </c>
    </row>
    <row r="374" spans="1:8">
      <c r="A374">
        <v>90121</v>
      </c>
      <c r="B374" t="s">
        <v>1180</v>
      </c>
      <c r="C374" t="s">
        <v>1181</v>
      </c>
      <c r="D374" t="s">
        <v>1439</v>
      </c>
      <c r="E374" t="s">
        <v>817</v>
      </c>
      <c r="F374" t="s">
        <v>1375</v>
      </c>
      <c r="G374" t="s">
        <v>1549</v>
      </c>
      <c r="H374" t="s">
        <v>64</v>
      </c>
    </row>
    <row r="375" spans="1:8">
      <c r="A375">
        <v>194579</v>
      </c>
      <c r="B375" t="s">
        <v>1182</v>
      </c>
      <c r="C375" t="s">
        <v>1183</v>
      </c>
      <c r="D375" t="s">
        <v>1439</v>
      </c>
      <c r="E375" t="s">
        <v>1213</v>
      </c>
      <c r="F375" t="s">
        <v>1374</v>
      </c>
      <c r="G375" t="s">
        <v>1531</v>
      </c>
      <c r="H375" t="s">
        <v>1845</v>
      </c>
    </row>
    <row r="376" spans="1:8">
      <c r="A376">
        <v>273666</v>
      </c>
      <c r="B376" t="s">
        <v>1184</v>
      </c>
      <c r="C376" t="s">
        <v>1185</v>
      </c>
      <c r="D376" t="s">
        <v>1439</v>
      </c>
      <c r="E376" t="s">
        <v>512</v>
      </c>
      <c r="F376" t="s">
        <v>604</v>
      </c>
      <c r="G376" t="s">
        <v>1564</v>
      </c>
      <c r="H376" t="s">
        <v>65</v>
      </c>
    </row>
    <row r="377" spans="1:8">
      <c r="A377">
        <v>300566</v>
      </c>
      <c r="B377" t="s">
        <v>1186</v>
      </c>
      <c r="C377" t="s">
        <v>1187</v>
      </c>
      <c r="D377" t="s">
        <v>1439</v>
      </c>
      <c r="E377" t="s">
        <v>1338</v>
      </c>
      <c r="F377" t="s">
        <v>1381</v>
      </c>
      <c r="G377" t="s">
        <v>1541</v>
      </c>
      <c r="H377" t="s">
        <v>65</v>
      </c>
    </row>
    <row r="378" spans="1:8">
      <c r="A378">
        <v>144924</v>
      </c>
      <c r="B378" t="s">
        <v>1188</v>
      </c>
      <c r="C378" t="s">
        <v>1189</v>
      </c>
      <c r="D378" t="s">
        <v>1439</v>
      </c>
      <c r="E378" t="s">
        <v>929</v>
      </c>
      <c r="F378" t="s">
        <v>1378</v>
      </c>
      <c r="G378" t="s">
        <v>1542</v>
      </c>
      <c r="H378" t="s">
        <v>68</v>
      </c>
    </row>
    <row r="379" spans="1:8">
      <c r="A379">
        <v>111769</v>
      </c>
      <c r="B379" t="s">
        <v>1190</v>
      </c>
      <c r="C379" t="s">
        <v>1191</v>
      </c>
      <c r="D379" t="s">
        <v>1441</v>
      </c>
      <c r="E379" t="s">
        <v>1381</v>
      </c>
      <c r="F379" t="s">
        <v>1380</v>
      </c>
      <c r="G379" t="s">
        <v>1425</v>
      </c>
      <c r="H379" t="s">
        <v>1845</v>
      </c>
    </row>
    <row r="380" spans="1:8">
      <c r="A380">
        <v>248372</v>
      </c>
      <c r="B380" t="s">
        <v>1192</v>
      </c>
      <c r="C380" t="s">
        <v>1193</v>
      </c>
      <c r="D380" t="s">
        <v>1439</v>
      </c>
      <c r="E380" t="s">
        <v>1273</v>
      </c>
      <c r="F380" t="s">
        <v>1374</v>
      </c>
      <c r="G380" t="s">
        <v>1536</v>
      </c>
      <c r="H380" t="s">
        <v>67</v>
      </c>
    </row>
    <row r="381" spans="1:8">
      <c r="A381">
        <v>198037</v>
      </c>
      <c r="B381" t="s">
        <v>1194</v>
      </c>
      <c r="C381" t="s">
        <v>1195</v>
      </c>
      <c r="D381" t="s">
        <v>1439</v>
      </c>
      <c r="E381" t="s">
        <v>692</v>
      </c>
      <c r="F381" t="s">
        <v>1371</v>
      </c>
      <c r="G381" t="s">
        <v>1540</v>
      </c>
      <c r="H381" t="s">
        <v>59</v>
      </c>
    </row>
    <row r="382" spans="1:8">
      <c r="A382">
        <v>195312</v>
      </c>
      <c r="B382" t="s">
        <v>1196</v>
      </c>
      <c r="C382" t="s">
        <v>1197</v>
      </c>
      <c r="D382" t="s">
        <v>1439</v>
      </c>
      <c r="E382" t="s">
        <v>2395</v>
      </c>
      <c r="F382" t="s">
        <v>604</v>
      </c>
      <c r="G382" t="s">
        <v>1541</v>
      </c>
      <c r="H382" t="s">
        <v>65</v>
      </c>
    </row>
    <row r="383" spans="1:8">
      <c r="A383">
        <v>86460</v>
      </c>
      <c r="B383" t="s">
        <v>1198</v>
      </c>
      <c r="C383" t="s">
        <v>1199</v>
      </c>
      <c r="D383" t="s">
        <v>1439</v>
      </c>
      <c r="E383" t="s">
        <v>1066</v>
      </c>
      <c r="F383" t="s">
        <v>1378</v>
      </c>
      <c r="G383" t="s">
        <v>1532</v>
      </c>
      <c r="H383" t="s">
        <v>58</v>
      </c>
    </row>
    <row r="384" spans="1:8">
      <c r="A384">
        <v>221848</v>
      </c>
      <c r="B384" t="s">
        <v>1200</v>
      </c>
      <c r="C384" t="s">
        <v>1201</v>
      </c>
      <c r="D384" t="s">
        <v>1439</v>
      </c>
      <c r="E384" t="s">
        <v>1076</v>
      </c>
      <c r="F384" t="s">
        <v>1374</v>
      </c>
      <c r="G384" t="s">
        <v>1536</v>
      </c>
      <c r="H384" t="s">
        <v>67</v>
      </c>
    </row>
    <row r="385" spans="1:8">
      <c r="A385">
        <v>105100</v>
      </c>
      <c r="B385" t="s">
        <v>1202</v>
      </c>
      <c r="C385" t="s">
        <v>1203</v>
      </c>
      <c r="D385" t="s">
        <v>1439</v>
      </c>
      <c r="E385" t="s">
        <v>1108</v>
      </c>
      <c r="F385" t="s">
        <v>1378</v>
      </c>
      <c r="G385" t="s">
        <v>1547</v>
      </c>
      <c r="H385" t="s">
        <v>61</v>
      </c>
    </row>
    <row r="386" spans="1:8">
      <c r="A386">
        <v>300112</v>
      </c>
      <c r="B386" t="s">
        <v>1204</v>
      </c>
      <c r="C386" t="s">
        <v>1205</v>
      </c>
      <c r="D386" t="s">
        <v>1439</v>
      </c>
      <c r="E386" t="s">
        <v>1066</v>
      </c>
      <c r="F386" t="s">
        <v>1378</v>
      </c>
      <c r="G386" t="s">
        <v>1532</v>
      </c>
      <c r="H386" t="s">
        <v>58</v>
      </c>
    </row>
    <row r="387" spans="1:8">
      <c r="A387">
        <v>82162</v>
      </c>
      <c r="B387" t="s">
        <v>1206</v>
      </c>
      <c r="C387" t="s">
        <v>1207</v>
      </c>
      <c r="D387" t="s">
        <v>1441</v>
      </c>
      <c r="E387" t="s">
        <v>1375</v>
      </c>
      <c r="F387" t="s">
        <v>1380</v>
      </c>
      <c r="G387" t="s">
        <v>1425</v>
      </c>
      <c r="H387" t="s">
        <v>1845</v>
      </c>
    </row>
    <row r="388" spans="1:8">
      <c r="A388">
        <v>80707</v>
      </c>
      <c r="B388" t="s">
        <v>1454</v>
      </c>
      <c r="C388" t="s">
        <v>1447</v>
      </c>
      <c r="D388" t="s">
        <v>1439</v>
      </c>
      <c r="E388" t="s">
        <v>937</v>
      </c>
      <c r="F388" t="s">
        <v>1378</v>
      </c>
      <c r="G388" t="s">
        <v>1560</v>
      </c>
      <c r="H388" t="s">
        <v>61</v>
      </c>
    </row>
    <row r="389" spans="1:8">
      <c r="A389">
        <v>231079</v>
      </c>
      <c r="B389" t="s">
        <v>1208</v>
      </c>
      <c r="C389" t="s">
        <v>1209</v>
      </c>
      <c r="D389" t="s">
        <v>1439</v>
      </c>
      <c r="E389" t="s">
        <v>937</v>
      </c>
      <c r="F389" t="s">
        <v>1378</v>
      </c>
      <c r="G389" t="s">
        <v>1533</v>
      </c>
      <c r="H389" t="s">
        <v>61</v>
      </c>
    </row>
    <row r="390" spans="1:8">
      <c r="A390">
        <v>194990</v>
      </c>
      <c r="B390" t="s">
        <v>1210</v>
      </c>
      <c r="C390" t="s">
        <v>1211</v>
      </c>
      <c r="D390" t="s">
        <v>1439</v>
      </c>
      <c r="E390" t="s">
        <v>1066</v>
      </c>
      <c r="F390" t="s">
        <v>1378</v>
      </c>
      <c r="G390" t="s">
        <v>1532</v>
      </c>
      <c r="H390" t="s">
        <v>58</v>
      </c>
    </row>
    <row r="391" spans="1:8">
      <c r="A391">
        <v>138930</v>
      </c>
      <c r="B391" t="s">
        <v>1212</v>
      </c>
      <c r="C391" t="s">
        <v>1213</v>
      </c>
      <c r="D391" t="s">
        <v>1441</v>
      </c>
      <c r="E391" t="s">
        <v>1374</v>
      </c>
      <c r="F391" t="s">
        <v>1380</v>
      </c>
      <c r="G391" t="s">
        <v>1425</v>
      </c>
      <c r="H391" t="s">
        <v>1845</v>
      </c>
    </row>
    <row r="392" spans="1:8">
      <c r="A392">
        <v>195300</v>
      </c>
      <c r="B392" t="s">
        <v>1214</v>
      </c>
      <c r="C392" t="s">
        <v>1215</v>
      </c>
      <c r="D392" t="s">
        <v>1439</v>
      </c>
      <c r="E392" t="s">
        <v>2395</v>
      </c>
      <c r="F392" t="s">
        <v>604</v>
      </c>
      <c r="G392" t="s">
        <v>1541</v>
      </c>
      <c r="H392" t="s">
        <v>65</v>
      </c>
    </row>
    <row r="393" spans="1:8">
      <c r="A393">
        <v>275004</v>
      </c>
      <c r="B393" t="s">
        <v>1216</v>
      </c>
      <c r="C393" t="s">
        <v>1217</v>
      </c>
      <c r="D393" t="s">
        <v>1439</v>
      </c>
      <c r="E393" t="s">
        <v>692</v>
      </c>
      <c r="F393" t="s">
        <v>1371</v>
      </c>
      <c r="G393" t="s">
        <v>1540</v>
      </c>
      <c r="H393" t="s">
        <v>59</v>
      </c>
    </row>
    <row r="394" spans="1:8">
      <c r="A394">
        <v>274218</v>
      </c>
      <c r="B394" t="s">
        <v>1218</v>
      </c>
      <c r="C394" t="s">
        <v>1219</v>
      </c>
      <c r="D394" t="s">
        <v>1439</v>
      </c>
      <c r="E394" t="s">
        <v>692</v>
      </c>
      <c r="F394" t="s">
        <v>1371</v>
      </c>
      <c r="G394" t="s">
        <v>1540</v>
      </c>
      <c r="H394" t="s">
        <v>59</v>
      </c>
    </row>
    <row r="395" spans="1:8">
      <c r="A395">
        <v>222339</v>
      </c>
      <c r="B395" t="s">
        <v>1220</v>
      </c>
      <c r="C395" t="s">
        <v>1221</v>
      </c>
      <c r="D395" t="s">
        <v>1438</v>
      </c>
      <c r="E395" t="s">
        <v>1346</v>
      </c>
      <c r="F395" t="s">
        <v>1374</v>
      </c>
      <c r="G395" t="s">
        <v>1531</v>
      </c>
      <c r="H395" t="s">
        <v>1845</v>
      </c>
    </row>
    <row r="396" spans="1:8">
      <c r="A396">
        <v>310915</v>
      </c>
      <c r="B396" t="s">
        <v>1222</v>
      </c>
      <c r="C396" t="s">
        <v>1223</v>
      </c>
      <c r="D396" t="s">
        <v>1439</v>
      </c>
      <c r="E396" t="s">
        <v>1344</v>
      </c>
      <c r="F396" t="s">
        <v>604</v>
      </c>
      <c r="G396" t="s">
        <v>1541</v>
      </c>
      <c r="H396" t="s">
        <v>65</v>
      </c>
    </row>
    <row r="397" spans="1:8">
      <c r="A397">
        <v>195002</v>
      </c>
      <c r="B397" t="s">
        <v>1224</v>
      </c>
      <c r="C397" t="s">
        <v>1225</v>
      </c>
      <c r="D397" t="s">
        <v>1439</v>
      </c>
      <c r="E397" t="s">
        <v>1207</v>
      </c>
      <c r="F397" t="s">
        <v>1375</v>
      </c>
      <c r="G397" t="s">
        <v>1543</v>
      </c>
      <c r="H397" t="s">
        <v>66</v>
      </c>
    </row>
    <row r="398" spans="1:8">
      <c r="A398">
        <v>189075</v>
      </c>
      <c r="B398" t="s">
        <v>1226</v>
      </c>
      <c r="C398" t="s">
        <v>1227</v>
      </c>
      <c r="D398" t="s">
        <v>1439</v>
      </c>
      <c r="E398" t="s">
        <v>1108</v>
      </c>
      <c r="F398" t="s">
        <v>1378</v>
      </c>
      <c r="G398" t="s">
        <v>1533</v>
      </c>
      <c r="H398" t="s">
        <v>61</v>
      </c>
    </row>
    <row r="399" spans="1:8">
      <c r="A399">
        <v>118493</v>
      </c>
      <c r="B399" t="s">
        <v>1228</v>
      </c>
      <c r="C399" t="s">
        <v>1229</v>
      </c>
      <c r="D399" t="s">
        <v>1439</v>
      </c>
      <c r="E399" t="s">
        <v>929</v>
      </c>
      <c r="F399" t="s">
        <v>1378</v>
      </c>
      <c r="G399" t="s">
        <v>1542</v>
      </c>
      <c r="H399" t="s">
        <v>68</v>
      </c>
    </row>
    <row r="400" spans="1:8">
      <c r="A400">
        <v>107060</v>
      </c>
      <c r="B400" t="s">
        <v>1230</v>
      </c>
      <c r="C400" t="s">
        <v>1231</v>
      </c>
      <c r="D400" t="s">
        <v>1439</v>
      </c>
      <c r="E400" t="s">
        <v>937</v>
      </c>
      <c r="F400" t="s">
        <v>1378</v>
      </c>
      <c r="G400" t="s">
        <v>1533</v>
      </c>
      <c r="H400" t="s">
        <v>61</v>
      </c>
    </row>
    <row r="401" spans="1:8">
      <c r="A401">
        <v>81939</v>
      </c>
      <c r="B401" t="s">
        <v>1232</v>
      </c>
      <c r="C401" t="s">
        <v>1233</v>
      </c>
      <c r="D401" t="s">
        <v>1439</v>
      </c>
      <c r="E401" t="s">
        <v>937</v>
      </c>
      <c r="F401" t="s">
        <v>1378</v>
      </c>
      <c r="G401" t="s">
        <v>1547</v>
      </c>
      <c r="H401" t="s">
        <v>61</v>
      </c>
    </row>
    <row r="402" spans="1:8">
      <c r="A402">
        <v>100677</v>
      </c>
      <c r="B402" t="s">
        <v>1234</v>
      </c>
      <c r="C402" t="s">
        <v>1235</v>
      </c>
      <c r="D402" t="s">
        <v>1439</v>
      </c>
      <c r="E402" t="s">
        <v>791</v>
      </c>
      <c r="F402" t="s">
        <v>1381</v>
      </c>
      <c r="G402" t="s">
        <v>1567</v>
      </c>
      <c r="H402" t="s">
        <v>65</v>
      </c>
    </row>
    <row r="403" spans="1:8">
      <c r="A403">
        <v>292759</v>
      </c>
      <c r="B403" t="s">
        <v>1236</v>
      </c>
      <c r="C403" t="s">
        <v>1237</v>
      </c>
      <c r="D403" t="s">
        <v>1439</v>
      </c>
      <c r="E403" t="s">
        <v>937</v>
      </c>
      <c r="F403" t="s">
        <v>1378</v>
      </c>
      <c r="G403" t="s">
        <v>1533</v>
      </c>
      <c r="H403" t="s">
        <v>61</v>
      </c>
    </row>
    <row r="404" spans="1:8">
      <c r="A404">
        <v>310943</v>
      </c>
      <c r="B404" t="s">
        <v>1238</v>
      </c>
      <c r="C404" t="s">
        <v>1239</v>
      </c>
      <c r="D404" t="s">
        <v>1439</v>
      </c>
      <c r="E404" t="s">
        <v>791</v>
      </c>
      <c r="F404" t="s">
        <v>1381</v>
      </c>
      <c r="G404" t="s">
        <v>1541</v>
      </c>
      <c r="H404" t="s">
        <v>65</v>
      </c>
    </row>
    <row r="405" spans="1:8">
      <c r="A405">
        <v>239902</v>
      </c>
      <c r="B405" t="s">
        <v>1240</v>
      </c>
      <c r="C405" t="s">
        <v>1241</v>
      </c>
      <c r="D405" t="s">
        <v>1439</v>
      </c>
      <c r="E405" t="s">
        <v>598</v>
      </c>
      <c r="F405" t="s">
        <v>1375</v>
      </c>
      <c r="G405" t="s">
        <v>1537</v>
      </c>
      <c r="H405" t="s">
        <v>62</v>
      </c>
    </row>
    <row r="406" spans="1:8">
      <c r="A406">
        <v>185126</v>
      </c>
      <c r="B406" t="s">
        <v>1242</v>
      </c>
      <c r="C406" t="s">
        <v>1243</v>
      </c>
      <c r="D406" t="s">
        <v>1439</v>
      </c>
      <c r="E406" t="s">
        <v>598</v>
      </c>
      <c r="F406" t="s">
        <v>1375</v>
      </c>
      <c r="G406" t="s">
        <v>1531</v>
      </c>
      <c r="H406" t="s">
        <v>1845</v>
      </c>
    </row>
    <row r="407" spans="1:8">
      <c r="A407">
        <v>293715</v>
      </c>
      <c r="B407" t="s">
        <v>1244</v>
      </c>
      <c r="C407" t="s">
        <v>1245</v>
      </c>
      <c r="D407" t="s">
        <v>1439</v>
      </c>
      <c r="E407" t="s">
        <v>1191</v>
      </c>
      <c r="F407" t="s">
        <v>1381</v>
      </c>
      <c r="G407" t="s">
        <v>1541</v>
      </c>
      <c r="H407" t="s">
        <v>65</v>
      </c>
    </row>
    <row r="408" spans="1:8">
      <c r="A408">
        <v>62549</v>
      </c>
      <c r="B408" t="s">
        <v>1455</v>
      </c>
      <c r="C408" t="s">
        <v>1448</v>
      </c>
      <c r="D408" t="s">
        <v>1439</v>
      </c>
      <c r="E408" t="s">
        <v>937</v>
      </c>
      <c r="F408" t="s">
        <v>1378</v>
      </c>
      <c r="G408" t="s">
        <v>1560</v>
      </c>
      <c r="H408" t="s">
        <v>61</v>
      </c>
    </row>
    <row r="409" spans="1:8">
      <c r="A409">
        <v>274080</v>
      </c>
      <c r="B409" t="s">
        <v>1246</v>
      </c>
      <c r="C409" t="s">
        <v>1247</v>
      </c>
      <c r="D409" t="s">
        <v>1439</v>
      </c>
      <c r="E409" t="s">
        <v>584</v>
      </c>
      <c r="F409" t="s">
        <v>1374</v>
      </c>
      <c r="G409" t="s">
        <v>1536</v>
      </c>
      <c r="H409" t="s">
        <v>67</v>
      </c>
    </row>
    <row r="410" spans="1:8">
      <c r="A410">
        <v>221031</v>
      </c>
      <c r="B410" t="s">
        <v>1248</v>
      </c>
      <c r="C410" t="s">
        <v>1249</v>
      </c>
      <c r="D410" t="s">
        <v>1439</v>
      </c>
      <c r="E410" t="s">
        <v>642</v>
      </c>
      <c r="F410" t="s">
        <v>1378</v>
      </c>
      <c r="G410" t="s">
        <v>1532</v>
      </c>
      <c r="H410" t="s">
        <v>58</v>
      </c>
    </row>
    <row r="411" spans="1:8">
      <c r="A411">
        <v>276312</v>
      </c>
      <c r="B411" t="s">
        <v>1250</v>
      </c>
      <c r="C411" t="s">
        <v>1251</v>
      </c>
      <c r="D411" t="s">
        <v>1439</v>
      </c>
      <c r="E411" t="s">
        <v>584</v>
      </c>
      <c r="F411" t="s">
        <v>1374</v>
      </c>
      <c r="G411" t="s">
        <v>1536</v>
      </c>
      <c r="H411" t="s">
        <v>67</v>
      </c>
    </row>
    <row r="412" spans="1:8">
      <c r="A412">
        <v>149738</v>
      </c>
      <c r="B412" t="s">
        <v>1252</v>
      </c>
      <c r="C412" t="s">
        <v>1253</v>
      </c>
      <c r="D412" t="s">
        <v>1439</v>
      </c>
      <c r="E412" t="s">
        <v>1338</v>
      </c>
      <c r="F412" t="s">
        <v>1381</v>
      </c>
      <c r="G412" t="s">
        <v>1564</v>
      </c>
      <c r="H412" t="s">
        <v>65</v>
      </c>
    </row>
    <row r="413" spans="1:8">
      <c r="A413">
        <v>276423</v>
      </c>
      <c r="B413" t="s">
        <v>1254</v>
      </c>
      <c r="C413" t="s">
        <v>1255</v>
      </c>
      <c r="D413" t="s">
        <v>1439</v>
      </c>
      <c r="E413" t="s">
        <v>1346</v>
      </c>
      <c r="F413" t="s">
        <v>1374</v>
      </c>
      <c r="G413" t="s">
        <v>1536</v>
      </c>
      <c r="H413" t="s">
        <v>67</v>
      </c>
    </row>
    <row r="414" spans="1:8">
      <c r="A414">
        <v>303637</v>
      </c>
      <c r="B414" t="s">
        <v>1256</v>
      </c>
      <c r="C414" t="s">
        <v>1257</v>
      </c>
      <c r="D414" t="s">
        <v>1439</v>
      </c>
      <c r="E414" t="s">
        <v>955</v>
      </c>
      <c r="F414" t="s">
        <v>1375</v>
      </c>
      <c r="G414" t="s">
        <v>1537</v>
      </c>
      <c r="H414" t="s">
        <v>62</v>
      </c>
    </row>
    <row r="415" spans="1:8">
      <c r="A415">
        <v>182403</v>
      </c>
      <c r="B415" t="s">
        <v>1258</v>
      </c>
      <c r="C415" t="s">
        <v>1259</v>
      </c>
      <c r="D415" t="s">
        <v>1439</v>
      </c>
      <c r="E415" t="s">
        <v>1108</v>
      </c>
      <c r="F415" t="s">
        <v>1378</v>
      </c>
      <c r="G415" t="s">
        <v>1547</v>
      </c>
      <c r="H415" t="s">
        <v>61</v>
      </c>
    </row>
    <row r="416" spans="1:8">
      <c r="A416">
        <v>274095</v>
      </c>
      <c r="B416" t="s">
        <v>1260</v>
      </c>
      <c r="C416" t="s">
        <v>1261</v>
      </c>
      <c r="D416" t="s">
        <v>1439</v>
      </c>
      <c r="E416" t="s">
        <v>1076</v>
      </c>
      <c r="F416" t="s">
        <v>1374</v>
      </c>
      <c r="G416" t="s">
        <v>1536</v>
      </c>
      <c r="H416" t="s">
        <v>67</v>
      </c>
    </row>
    <row r="417" spans="1:8">
      <c r="A417">
        <v>260823</v>
      </c>
      <c r="B417" t="s">
        <v>1262</v>
      </c>
      <c r="C417" t="s">
        <v>1263</v>
      </c>
      <c r="D417" t="s">
        <v>1439</v>
      </c>
      <c r="E417" t="s">
        <v>2395</v>
      </c>
      <c r="F417" t="s">
        <v>604</v>
      </c>
      <c r="G417" t="s">
        <v>1541</v>
      </c>
      <c r="H417" t="s">
        <v>65</v>
      </c>
    </row>
    <row r="418" spans="1:8">
      <c r="A418">
        <v>278593</v>
      </c>
      <c r="B418" t="s">
        <v>1456</v>
      </c>
      <c r="C418" t="s">
        <v>1449</v>
      </c>
      <c r="D418" t="s">
        <v>1439</v>
      </c>
      <c r="E418" t="s">
        <v>476</v>
      </c>
      <c r="F418" t="s">
        <v>1374</v>
      </c>
      <c r="G418" t="s">
        <v>1536</v>
      </c>
      <c r="H418" t="s">
        <v>67</v>
      </c>
    </row>
    <row r="419" spans="1:8">
      <c r="A419">
        <v>194827</v>
      </c>
      <c r="B419" t="s">
        <v>1264</v>
      </c>
      <c r="C419" t="s">
        <v>1265</v>
      </c>
      <c r="D419" t="s">
        <v>1439</v>
      </c>
      <c r="E419" t="s">
        <v>937</v>
      </c>
      <c r="F419" t="s">
        <v>1378</v>
      </c>
      <c r="G419" t="s">
        <v>1555</v>
      </c>
      <c r="H419" t="s">
        <v>61</v>
      </c>
    </row>
    <row r="420" spans="1:8">
      <c r="A420">
        <v>183055</v>
      </c>
      <c r="B420" t="s">
        <v>1266</v>
      </c>
      <c r="C420" t="s">
        <v>1267</v>
      </c>
      <c r="D420" t="s">
        <v>1439</v>
      </c>
      <c r="E420" t="s">
        <v>955</v>
      </c>
      <c r="F420" t="s">
        <v>1375</v>
      </c>
      <c r="G420" t="s">
        <v>1537</v>
      </c>
      <c r="H420" t="s">
        <v>1845</v>
      </c>
    </row>
    <row r="421" spans="1:8">
      <c r="A421">
        <v>260042</v>
      </c>
      <c r="B421" t="s">
        <v>1268</v>
      </c>
      <c r="C421" t="s">
        <v>1269</v>
      </c>
      <c r="D421" t="s">
        <v>1439</v>
      </c>
      <c r="E421" t="s">
        <v>584</v>
      </c>
      <c r="F421" t="s">
        <v>1374</v>
      </c>
      <c r="G421" t="s">
        <v>1536</v>
      </c>
      <c r="H421" t="s">
        <v>67</v>
      </c>
    </row>
    <row r="422" spans="1:8">
      <c r="A422">
        <v>105319</v>
      </c>
      <c r="B422" t="s">
        <v>1270</v>
      </c>
      <c r="C422" t="s">
        <v>1271</v>
      </c>
      <c r="D422" t="s">
        <v>1439</v>
      </c>
      <c r="E422" t="s">
        <v>692</v>
      </c>
      <c r="F422" t="s">
        <v>1371</v>
      </c>
      <c r="G422" t="s">
        <v>1540</v>
      </c>
      <c r="H422" t="s">
        <v>59</v>
      </c>
    </row>
    <row r="423" spans="1:8">
      <c r="A423">
        <v>86249</v>
      </c>
      <c r="B423" t="s">
        <v>1272</v>
      </c>
      <c r="C423" t="s">
        <v>1273</v>
      </c>
      <c r="D423" t="s">
        <v>1441</v>
      </c>
      <c r="E423" t="s">
        <v>1374</v>
      </c>
      <c r="F423" t="s">
        <v>1380</v>
      </c>
      <c r="G423" t="s">
        <v>1425</v>
      </c>
      <c r="H423" t="s">
        <v>1845</v>
      </c>
    </row>
    <row r="424" spans="1:8">
      <c r="A424">
        <v>276043</v>
      </c>
      <c r="B424" t="s">
        <v>1274</v>
      </c>
      <c r="C424" t="s">
        <v>1275</v>
      </c>
      <c r="D424" t="s">
        <v>1439</v>
      </c>
      <c r="E424" t="s">
        <v>1213</v>
      </c>
      <c r="F424" t="s">
        <v>1374</v>
      </c>
      <c r="G424" t="s">
        <v>1536</v>
      </c>
      <c r="H424" t="s">
        <v>67</v>
      </c>
    </row>
    <row r="425" spans="1:8">
      <c r="A425">
        <v>275985</v>
      </c>
      <c r="B425" t="s">
        <v>1276</v>
      </c>
      <c r="C425" t="s">
        <v>1277</v>
      </c>
      <c r="D425" t="s">
        <v>1439</v>
      </c>
      <c r="E425" t="s">
        <v>1213</v>
      </c>
      <c r="F425" t="s">
        <v>1374</v>
      </c>
      <c r="G425" t="s">
        <v>1536</v>
      </c>
      <c r="H425" t="s">
        <v>67</v>
      </c>
    </row>
    <row r="426" spans="1:8">
      <c r="A426">
        <v>293511</v>
      </c>
      <c r="B426" t="s">
        <v>1278</v>
      </c>
      <c r="C426" t="s">
        <v>1430</v>
      </c>
      <c r="D426" t="s">
        <v>1439</v>
      </c>
      <c r="E426" t="s">
        <v>598</v>
      </c>
      <c r="F426" t="s">
        <v>1375</v>
      </c>
      <c r="G426" t="s">
        <v>1537</v>
      </c>
      <c r="H426" t="s">
        <v>62</v>
      </c>
    </row>
    <row r="427" spans="1:8">
      <c r="A427">
        <v>43575</v>
      </c>
      <c r="B427" t="s">
        <v>2463</v>
      </c>
      <c r="C427" t="s">
        <v>2396</v>
      </c>
      <c r="D427" t="s">
        <v>1441</v>
      </c>
      <c r="E427" t="s">
        <v>1375</v>
      </c>
      <c r="F427" t="s">
        <v>1380</v>
      </c>
      <c r="G427" t="s">
        <v>1425</v>
      </c>
      <c r="H427" t="s">
        <v>1845</v>
      </c>
    </row>
    <row r="428" spans="1:8">
      <c r="A428">
        <v>173204</v>
      </c>
      <c r="B428" t="s">
        <v>1279</v>
      </c>
      <c r="C428" t="s">
        <v>1280</v>
      </c>
      <c r="D428" t="s">
        <v>1439</v>
      </c>
      <c r="E428" t="s">
        <v>476</v>
      </c>
      <c r="F428" t="s">
        <v>1374</v>
      </c>
      <c r="G428" t="s">
        <v>1536</v>
      </c>
      <c r="H428" t="s">
        <v>67</v>
      </c>
    </row>
    <row r="429" spans="1:8">
      <c r="A429">
        <v>230910</v>
      </c>
      <c r="B429" t="s">
        <v>1281</v>
      </c>
      <c r="C429" t="s">
        <v>1282</v>
      </c>
      <c r="D429" t="s">
        <v>1439</v>
      </c>
      <c r="E429" t="s">
        <v>1338</v>
      </c>
      <c r="F429" t="s">
        <v>1381</v>
      </c>
      <c r="G429" t="s">
        <v>1541</v>
      </c>
      <c r="H429" t="s">
        <v>65</v>
      </c>
    </row>
    <row r="430" spans="1:8">
      <c r="A430">
        <v>51743</v>
      </c>
      <c r="B430" t="s">
        <v>1283</v>
      </c>
      <c r="C430" t="s">
        <v>1284</v>
      </c>
      <c r="D430" t="s">
        <v>1439</v>
      </c>
      <c r="E430" t="s">
        <v>1108</v>
      </c>
      <c r="F430" t="s">
        <v>1378</v>
      </c>
      <c r="G430" t="s">
        <v>1533</v>
      </c>
      <c r="H430" t="s">
        <v>61</v>
      </c>
    </row>
    <row r="431" spans="1:8">
      <c r="A431">
        <v>173038</v>
      </c>
      <c r="B431" t="s">
        <v>1285</v>
      </c>
      <c r="C431" t="s">
        <v>1286</v>
      </c>
      <c r="D431" t="s">
        <v>1439</v>
      </c>
      <c r="E431" t="s">
        <v>598</v>
      </c>
      <c r="F431" t="s">
        <v>1375</v>
      </c>
      <c r="G431" t="s">
        <v>1537</v>
      </c>
      <c r="H431" t="s">
        <v>62</v>
      </c>
    </row>
    <row r="432" spans="1:8">
      <c r="A432">
        <v>159181</v>
      </c>
      <c r="B432" t="s">
        <v>1287</v>
      </c>
      <c r="C432" t="s">
        <v>1288</v>
      </c>
      <c r="D432" t="s">
        <v>1439</v>
      </c>
      <c r="E432" t="s">
        <v>1191</v>
      </c>
      <c r="F432" t="s">
        <v>1381</v>
      </c>
      <c r="G432" t="s">
        <v>1531</v>
      </c>
      <c r="H432" t="s">
        <v>65</v>
      </c>
    </row>
    <row r="433" spans="1:8">
      <c r="A433">
        <v>195363</v>
      </c>
      <c r="B433" t="s">
        <v>1289</v>
      </c>
      <c r="C433" t="s">
        <v>1288</v>
      </c>
      <c r="D433" t="s">
        <v>1439</v>
      </c>
      <c r="E433" t="s">
        <v>1338</v>
      </c>
      <c r="F433" t="s">
        <v>1381</v>
      </c>
      <c r="G433" t="s">
        <v>1541</v>
      </c>
      <c r="H433" t="s">
        <v>65</v>
      </c>
    </row>
    <row r="434" spans="1:8">
      <c r="A434">
        <v>180342</v>
      </c>
      <c r="B434" t="s">
        <v>1290</v>
      </c>
      <c r="C434" t="s">
        <v>1291</v>
      </c>
      <c r="D434" t="s">
        <v>1438</v>
      </c>
      <c r="E434" t="s">
        <v>1338</v>
      </c>
      <c r="F434" t="s">
        <v>1381</v>
      </c>
      <c r="G434" t="s">
        <v>1531</v>
      </c>
      <c r="H434" t="s">
        <v>1845</v>
      </c>
    </row>
    <row r="435" spans="1:8">
      <c r="A435">
        <v>108333</v>
      </c>
      <c r="B435" t="s">
        <v>1292</v>
      </c>
      <c r="C435" t="s">
        <v>1293</v>
      </c>
      <c r="D435" t="s">
        <v>1439</v>
      </c>
      <c r="E435" t="s">
        <v>937</v>
      </c>
      <c r="F435" t="s">
        <v>1378</v>
      </c>
      <c r="G435" t="s">
        <v>1533</v>
      </c>
      <c r="H435" t="s">
        <v>61</v>
      </c>
    </row>
    <row r="436" spans="1:8">
      <c r="A436">
        <v>221548</v>
      </c>
      <c r="B436" t="s">
        <v>1294</v>
      </c>
      <c r="C436" t="s">
        <v>1295</v>
      </c>
      <c r="D436" t="s">
        <v>1439</v>
      </c>
      <c r="E436" t="s">
        <v>692</v>
      </c>
      <c r="F436" t="s">
        <v>1371</v>
      </c>
      <c r="G436" t="s">
        <v>1540</v>
      </c>
      <c r="H436" t="s">
        <v>59</v>
      </c>
    </row>
    <row r="437" spans="1:8">
      <c r="A437">
        <v>194739</v>
      </c>
      <c r="B437" t="s">
        <v>1296</v>
      </c>
      <c r="C437" t="s">
        <v>1297</v>
      </c>
      <c r="D437" t="s">
        <v>1439</v>
      </c>
      <c r="E437" t="s">
        <v>947</v>
      </c>
      <c r="F437" t="s">
        <v>1371</v>
      </c>
      <c r="G437" t="s">
        <v>1553</v>
      </c>
      <c r="H437" t="s">
        <v>60</v>
      </c>
    </row>
    <row r="438" spans="1:8">
      <c r="A438">
        <v>111494</v>
      </c>
      <c r="B438" t="s">
        <v>1298</v>
      </c>
      <c r="C438" t="s">
        <v>1299</v>
      </c>
      <c r="D438" t="s">
        <v>1439</v>
      </c>
      <c r="E438" t="s">
        <v>692</v>
      </c>
      <c r="F438" t="s">
        <v>1371</v>
      </c>
      <c r="G438" t="s">
        <v>1553</v>
      </c>
      <c r="H438" t="s">
        <v>60</v>
      </c>
    </row>
    <row r="439" spans="1:8">
      <c r="A439">
        <v>56349</v>
      </c>
      <c r="B439" t="s">
        <v>1300</v>
      </c>
      <c r="C439" t="s">
        <v>1301</v>
      </c>
      <c r="D439" t="s">
        <v>1439</v>
      </c>
      <c r="E439" t="s">
        <v>1108</v>
      </c>
      <c r="F439" t="s">
        <v>1378</v>
      </c>
      <c r="G439" t="s">
        <v>1547</v>
      </c>
      <c r="H439" t="s">
        <v>61</v>
      </c>
    </row>
    <row r="440" spans="1:8">
      <c r="A440">
        <v>279132</v>
      </c>
      <c r="B440" t="s">
        <v>1302</v>
      </c>
      <c r="C440" t="s">
        <v>1303</v>
      </c>
      <c r="D440" t="s">
        <v>1439</v>
      </c>
      <c r="E440" t="s">
        <v>512</v>
      </c>
      <c r="F440" t="s">
        <v>604</v>
      </c>
      <c r="G440" t="s">
        <v>1564</v>
      </c>
      <c r="H440" t="s">
        <v>65</v>
      </c>
    </row>
    <row r="441" spans="1:8">
      <c r="A441">
        <v>81511</v>
      </c>
      <c r="B441" t="s">
        <v>1304</v>
      </c>
      <c r="C441" t="s">
        <v>1305</v>
      </c>
      <c r="D441" t="s">
        <v>1439</v>
      </c>
      <c r="E441" t="s">
        <v>937</v>
      </c>
      <c r="F441" t="s">
        <v>1378</v>
      </c>
      <c r="G441" t="s">
        <v>1572</v>
      </c>
      <c r="H441" t="s">
        <v>61</v>
      </c>
    </row>
    <row r="442" spans="1:8">
      <c r="A442">
        <v>100573</v>
      </c>
      <c r="B442" t="s">
        <v>1306</v>
      </c>
      <c r="C442" t="s">
        <v>1307</v>
      </c>
      <c r="D442" t="s">
        <v>1439</v>
      </c>
      <c r="E442" t="s">
        <v>1338</v>
      </c>
      <c r="F442" t="s">
        <v>1381</v>
      </c>
      <c r="G442" t="s">
        <v>1564</v>
      </c>
      <c r="H442" t="s">
        <v>65</v>
      </c>
    </row>
    <row r="443" spans="1:8">
      <c r="A443">
        <v>95148</v>
      </c>
      <c r="B443" t="s">
        <v>1308</v>
      </c>
      <c r="C443" t="s">
        <v>2745</v>
      </c>
      <c r="D443" t="s">
        <v>1439</v>
      </c>
      <c r="E443" t="s">
        <v>937</v>
      </c>
      <c r="F443" t="s">
        <v>1378</v>
      </c>
      <c r="G443" t="s">
        <v>1572</v>
      </c>
      <c r="H443" t="s">
        <v>61</v>
      </c>
    </row>
    <row r="444" spans="1:8">
      <c r="A444">
        <v>78540</v>
      </c>
      <c r="B444" t="s">
        <v>1309</v>
      </c>
      <c r="C444" t="s">
        <v>1310</v>
      </c>
      <c r="D444" t="s">
        <v>1439</v>
      </c>
      <c r="E444" t="s">
        <v>512</v>
      </c>
      <c r="F444" t="s">
        <v>604</v>
      </c>
      <c r="G444" t="s">
        <v>1564</v>
      </c>
      <c r="H444" t="s">
        <v>65</v>
      </c>
    </row>
    <row r="445" spans="1:8">
      <c r="A445">
        <v>172626</v>
      </c>
      <c r="B445" t="s">
        <v>1311</v>
      </c>
      <c r="C445" t="s">
        <v>1312</v>
      </c>
      <c r="D445" t="s">
        <v>1439</v>
      </c>
      <c r="E445" t="s">
        <v>1338</v>
      </c>
      <c r="F445" t="s">
        <v>1381</v>
      </c>
      <c r="G445" t="s">
        <v>1561</v>
      </c>
      <c r="H445" t="s">
        <v>65</v>
      </c>
    </row>
    <row r="446" spans="1:8">
      <c r="A446">
        <v>194777</v>
      </c>
      <c r="B446" t="s">
        <v>1313</v>
      </c>
      <c r="C446" t="s">
        <v>1314</v>
      </c>
      <c r="D446" t="s">
        <v>1439</v>
      </c>
      <c r="E446" t="s">
        <v>692</v>
      </c>
      <c r="F446" t="s">
        <v>1371</v>
      </c>
      <c r="G446" t="s">
        <v>1553</v>
      </c>
      <c r="H446" t="s">
        <v>60</v>
      </c>
    </row>
    <row r="447" spans="1:8">
      <c r="A447">
        <v>229409</v>
      </c>
      <c r="B447" t="s">
        <v>1315</v>
      </c>
      <c r="C447" t="s">
        <v>1316</v>
      </c>
      <c r="D447" t="s">
        <v>1439</v>
      </c>
      <c r="E447" t="s">
        <v>1012</v>
      </c>
      <c r="F447" t="s">
        <v>1371</v>
      </c>
      <c r="G447" t="s">
        <v>1540</v>
      </c>
      <c r="H447" t="s">
        <v>59</v>
      </c>
    </row>
    <row r="448" spans="1:8">
      <c r="A448">
        <v>291001</v>
      </c>
      <c r="B448" t="s">
        <v>1317</v>
      </c>
      <c r="C448" t="s">
        <v>1318</v>
      </c>
      <c r="D448" t="s">
        <v>1439</v>
      </c>
      <c r="E448" t="s">
        <v>1346</v>
      </c>
      <c r="F448" t="s">
        <v>1374</v>
      </c>
      <c r="G448" t="s">
        <v>1536</v>
      </c>
      <c r="H448" t="s">
        <v>67</v>
      </c>
    </row>
    <row r="449" spans="1:8">
      <c r="A449">
        <v>195310</v>
      </c>
      <c r="B449" t="s">
        <v>1319</v>
      </c>
      <c r="C449" t="s">
        <v>1320</v>
      </c>
      <c r="D449" t="s">
        <v>1438</v>
      </c>
      <c r="E449" t="s">
        <v>1191</v>
      </c>
      <c r="F449" t="s">
        <v>1381</v>
      </c>
      <c r="G449" t="s">
        <v>1531</v>
      </c>
      <c r="H449" t="s">
        <v>1845</v>
      </c>
    </row>
    <row r="450" spans="1:8">
      <c r="A450">
        <v>80224</v>
      </c>
      <c r="B450" t="s">
        <v>1321</v>
      </c>
      <c r="C450" t="s">
        <v>1322</v>
      </c>
      <c r="D450" t="s">
        <v>1439</v>
      </c>
      <c r="E450" t="s">
        <v>1108</v>
      </c>
      <c r="F450" t="s">
        <v>1378</v>
      </c>
      <c r="G450" t="s">
        <v>1547</v>
      </c>
      <c r="H450" t="s">
        <v>61</v>
      </c>
    </row>
    <row r="451" spans="1:8">
      <c r="A451">
        <v>117633</v>
      </c>
      <c r="B451" t="s">
        <v>1323</v>
      </c>
      <c r="C451" t="s">
        <v>1324</v>
      </c>
      <c r="D451" t="s">
        <v>1439</v>
      </c>
      <c r="E451" t="s">
        <v>929</v>
      </c>
      <c r="F451" t="s">
        <v>1378</v>
      </c>
      <c r="G451" t="s">
        <v>1542</v>
      </c>
      <c r="H451" t="s">
        <v>68</v>
      </c>
    </row>
    <row r="452" spans="1:8">
      <c r="A452">
        <v>105627</v>
      </c>
      <c r="B452" t="s">
        <v>1325</v>
      </c>
      <c r="C452" t="s">
        <v>1326</v>
      </c>
      <c r="D452" t="s">
        <v>1446</v>
      </c>
      <c r="E452" t="s">
        <v>692</v>
      </c>
      <c r="F452" t="s">
        <v>1371</v>
      </c>
      <c r="G452" t="s">
        <v>1573</v>
      </c>
      <c r="H452" t="s">
        <v>60</v>
      </c>
    </row>
    <row r="453" spans="1:8">
      <c r="A453">
        <v>310998</v>
      </c>
      <c r="B453" t="s">
        <v>1327</v>
      </c>
      <c r="C453" t="s">
        <v>1328</v>
      </c>
      <c r="D453" t="s">
        <v>1439</v>
      </c>
      <c r="E453" t="s">
        <v>692</v>
      </c>
      <c r="F453" t="s">
        <v>1371</v>
      </c>
      <c r="G453" t="s">
        <v>1540</v>
      </c>
      <c r="H453" t="s">
        <v>59</v>
      </c>
    </row>
    <row r="454" spans="1:8">
      <c r="A454">
        <v>104603</v>
      </c>
      <c r="B454" t="s">
        <v>1329</v>
      </c>
      <c r="C454" t="s">
        <v>1330</v>
      </c>
      <c r="D454" t="s">
        <v>1439</v>
      </c>
      <c r="E454" t="s">
        <v>2396</v>
      </c>
      <c r="F454" t="s">
        <v>1375</v>
      </c>
      <c r="G454" t="s">
        <v>1537</v>
      </c>
      <c r="H454" t="s">
        <v>62</v>
      </c>
    </row>
    <row r="455" spans="1:8">
      <c r="A455">
        <v>221727</v>
      </c>
      <c r="B455" t="s">
        <v>1355</v>
      </c>
      <c r="C455" t="s">
        <v>1356</v>
      </c>
      <c r="D455" t="s">
        <v>1439</v>
      </c>
      <c r="E455" t="s">
        <v>584</v>
      </c>
      <c r="F455" t="s">
        <v>1374</v>
      </c>
      <c r="G455" t="s">
        <v>1536</v>
      </c>
      <c r="H455" t="s">
        <v>67</v>
      </c>
    </row>
    <row r="456" spans="1:8">
      <c r="A456">
        <v>178804</v>
      </c>
      <c r="B456" t="s">
        <v>1331</v>
      </c>
      <c r="C456" t="s">
        <v>1332</v>
      </c>
      <c r="D456" t="s">
        <v>1439</v>
      </c>
      <c r="E456" t="s">
        <v>1076</v>
      </c>
      <c r="F456" t="s">
        <v>1374</v>
      </c>
      <c r="G456" t="s">
        <v>1536</v>
      </c>
      <c r="H456" t="s">
        <v>67</v>
      </c>
    </row>
    <row r="457" spans="1:8">
      <c r="A457">
        <v>194995</v>
      </c>
      <c r="B457" t="s">
        <v>1419</v>
      </c>
      <c r="C457" t="s">
        <v>1416</v>
      </c>
      <c r="D457" t="s">
        <v>1439</v>
      </c>
      <c r="E457" t="s">
        <v>947</v>
      </c>
      <c r="F457" t="s">
        <v>1371</v>
      </c>
      <c r="G457" t="s">
        <v>1540</v>
      </c>
      <c r="H457" t="s">
        <v>59</v>
      </c>
    </row>
    <row r="458" spans="1:8">
      <c r="A458">
        <v>229215</v>
      </c>
      <c r="B458" t="s">
        <v>1333</v>
      </c>
      <c r="C458" t="s">
        <v>1334</v>
      </c>
      <c r="D458" t="s">
        <v>1439</v>
      </c>
      <c r="E458" t="s">
        <v>1012</v>
      </c>
      <c r="F458" t="s">
        <v>1371</v>
      </c>
      <c r="G458" t="s">
        <v>1540</v>
      </c>
      <c r="H458" t="s">
        <v>59</v>
      </c>
    </row>
    <row r="459" spans="1:8">
      <c r="A459">
        <v>111571</v>
      </c>
      <c r="B459" t="s">
        <v>1335</v>
      </c>
      <c r="C459" t="s">
        <v>1336</v>
      </c>
      <c r="D459" t="s">
        <v>1439</v>
      </c>
      <c r="E459" t="s">
        <v>476</v>
      </c>
      <c r="F459" t="s">
        <v>1374</v>
      </c>
      <c r="G459" t="s">
        <v>1536</v>
      </c>
      <c r="H459" t="s">
        <v>67</v>
      </c>
    </row>
    <row r="460" spans="1:8">
      <c r="A460">
        <v>81717</v>
      </c>
      <c r="B460" t="s">
        <v>1337</v>
      </c>
      <c r="C460" t="s">
        <v>1338</v>
      </c>
      <c r="D460" t="s">
        <v>1441</v>
      </c>
      <c r="E460" t="s">
        <v>1381</v>
      </c>
      <c r="F460" t="s">
        <v>1380</v>
      </c>
      <c r="G460" t="s">
        <v>1425</v>
      </c>
      <c r="H460" t="s">
        <v>1845</v>
      </c>
    </row>
    <row r="461" spans="1:8">
      <c r="A461">
        <v>277843</v>
      </c>
      <c r="B461" t="s">
        <v>1339</v>
      </c>
      <c r="C461" t="s">
        <v>1340</v>
      </c>
      <c r="D461" t="s">
        <v>1439</v>
      </c>
      <c r="E461" t="s">
        <v>1207</v>
      </c>
      <c r="F461" t="s">
        <v>1375</v>
      </c>
      <c r="G461" t="s">
        <v>1543</v>
      </c>
      <c r="H461" t="s">
        <v>66</v>
      </c>
    </row>
    <row r="462" spans="1:8">
      <c r="A462">
        <v>194729</v>
      </c>
      <c r="B462" t="s">
        <v>1341</v>
      </c>
      <c r="C462" t="s">
        <v>1342</v>
      </c>
      <c r="D462" t="s">
        <v>1439</v>
      </c>
      <c r="E462" t="s">
        <v>1191</v>
      </c>
      <c r="F462" t="s">
        <v>1381</v>
      </c>
      <c r="G462" t="s">
        <v>1541</v>
      </c>
      <c r="H462" t="s">
        <v>65</v>
      </c>
    </row>
    <row r="463" spans="1:8">
      <c r="A463">
        <v>150391</v>
      </c>
      <c r="B463" t="s">
        <v>1343</v>
      </c>
      <c r="C463" t="s">
        <v>1344</v>
      </c>
      <c r="D463" t="s">
        <v>1441</v>
      </c>
      <c r="E463" t="s">
        <v>604</v>
      </c>
      <c r="F463" t="s">
        <v>1380</v>
      </c>
      <c r="G463" t="s">
        <v>1425</v>
      </c>
      <c r="H463" t="s">
        <v>1845</v>
      </c>
    </row>
    <row r="464" spans="1:8">
      <c r="A464">
        <v>138098</v>
      </c>
      <c r="B464" t="s">
        <v>1345</v>
      </c>
      <c r="C464" t="s">
        <v>1346</v>
      </c>
      <c r="D464" t="s">
        <v>1441</v>
      </c>
      <c r="E464" t="s">
        <v>1374</v>
      </c>
      <c r="F464" t="s">
        <v>1380</v>
      </c>
      <c r="G464" t="s">
        <v>1425</v>
      </c>
      <c r="H464" t="s">
        <v>1845</v>
      </c>
    </row>
    <row r="465" spans="1:8">
      <c r="A465">
        <v>276758</v>
      </c>
      <c r="B465" t="s">
        <v>1347</v>
      </c>
      <c r="C465" t="s">
        <v>1348</v>
      </c>
      <c r="D465" t="s">
        <v>1439</v>
      </c>
      <c r="E465" t="s">
        <v>1273</v>
      </c>
      <c r="F465" t="s">
        <v>1374</v>
      </c>
      <c r="G465" t="s">
        <v>1536</v>
      </c>
      <c r="H465" t="s">
        <v>67</v>
      </c>
    </row>
    <row r="466" spans="1:8">
      <c r="A466">
        <v>182988</v>
      </c>
      <c r="B466" t="s">
        <v>1457</v>
      </c>
      <c r="C466" t="s">
        <v>2746</v>
      </c>
      <c r="D466" t="s">
        <v>1439</v>
      </c>
      <c r="E466" t="s">
        <v>1191</v>
      </c>
      <c r="F466" t="s">
        <v>1381</v>
      </c>
      <c r="G466" t="s">
        <v>1541</v>
      </c>
      <c r="H466" t="s">
        <v>65</v>
      </c>
    </row>
    <row r="467" spans="1:8">
      <c r="A467">
        <v>239224</v>
      </c>
      <c r="B467" t="s">
        <v>1492</v>
      </c>
      <c r="C467" t="s">
        <v>1495</v>
      </c>
      <c r="D467" t="s">
        <v>1439</v>
      </c>
      <c r="E467" t="s">
        <v>476</v>
      </c>
      <c r="F467" t="s">
        <v>1374</v>
      </c>
      <c r="G467" t="s">
        <v>1536</v>
      </c>
      <c r="H467" t="s">
        <v>67</v>
      </c>
    </row>
    <row r="468" spans="1:8">
      <c r="A468">
        <v>189228</v>
      </c>
      <c r="B468" t="s">
        <v>1481</v>
      </c>
      <c r="C468" t="s">
        <v>1496</v>
      </c>
      <c r="D468" t="s">
        <v>1439</v>
      </c>
      <c r="E468" t="s">
        <v>1012</v>
      </c>
      <c r="F468" t="s">
        <v>1371</v>
      </c>
      <c r="G468" t="s">
        <v>1540</v>
      </c>
      <c r="H468" t="s">
        <v>59</v>
      </c>
    </row>
    <row r="469" spans="1:8">
      <c r="A469">
        <v>224773</v>
      </c>
      <c r="B469" t="s">
        <v>1488</v>
      </c>
      <c r="C469" t="s">
        <v>1497</v>
      </c>
      <c r="D469" t="s">
        <v>1439</v>
      </c>
      <c r="E469" t="s">
        <v>947</v>
      </c>
      <c r="F469" t="s">
        <v>1371</v>
      </c>
      <c r="G469" t="s">
        <v>1540</v>
      </c>
      <c r="H469" t="s">
        <v>59</v>
      </c>
    </row>
    <row r="470" spans="1:8">
      <c r="A470">
        <v>145377</v>
      </c>
      <c r="B470" t="s">
        <v>1494</v>
      </c>
      <c r="C470" t="s">
        <v>1498</v>
      </c>
      <c r="D470" t="s">
        <v>1439</v>
      </c>
      <c r="E470" t="s">
        <v>584</v>
      </c>
      <c r="F470" t="s">
        <v>1374</v>
      </c>
      <c r="G470" t="s">
        <v>1536</v>
      </c>
      <c r="H470" t="s">
        <v>67</v>
      </c>
    </row>
    <row r="471" spans="1:8">
      <c r="A471">
        <v>229218</v>
      </c>
      <c r="B471" t="s">
        <v>1489</v>
      </c>
      <c r="C471" t="s">
        <v>1499</v>
      </c>
      <c r="D471" t="s">
        <v>1439</v>
      </c>
      <c r="E471" t="s">
        <v>1076</v>
      </c>
      <c r="F471" t="s">
        <v>1374</v>
      </c>
      <c r="G471" t="s">
        <v>1536</v>
      </c>
      <c r="H471" t="s">
        <v>67</v>
      </c>
    </row>
    <row r="472" spans="1:8">
      <c r="A472">
        <v>158390</v>
      </c>
      <c r="B472" t="s">
        <v>1493</v>
      </c>
      <c r="C472" t="s">
        <v>1500</v>
      </c>
      <c r="D472" t="s">
        <v>1439</v>
      </c>
      <c r="E472" t="s">
        <v>1076</v>
      </c>
      <c r="F472" t="s">
        <v>1374</v>
      </c>
      <c r="G472" t="s">
        <v>1536</v>
      </c>
      <c r="H472" t="s">
        <v>67</v>
      </c>
    </row>
    <row r="473" spans="1:8">
      <c r="A473">
        <v>250223</v>
      </c>
      <c r="B473" t="s">
        <v>1467</v>
      </c>
      <c r="C473" t="s">
        <v>1501</v>
      </c>
      <c r="D473" t="s">
        <v>1439</v>
      </c>
      <c r="E473" t="s">
        <v>1076</v>
      </c>
      <c r="F473" t="s">
        <v>1374</v>
      </c>
      <c r="G473" t="s">
        <v>1536</v>
      </c>
      <c r="H473" t="s">
        <v>67</v>
      </c>
    </row>
    <row r="474" spans="1:8">
      <c r="A474">
        <v>250313</v>
      </c>
      <c r="B474" t="s">
        <v>1466</v>
      </c>
      <c r="C474" t="s">
        <v>1502</v>
      </c>
      <c r="D474" t="s">
        <v>1439</v>
      </c>
      <c r="E474" t="s">
        <v>1076</v>
      </c>
      <c r="F474" t="s">
        <v>1374</v>
      </c>
      <c r="G474" t="s">
        <v>1536</v>
      </c>
      <c r="H474" t="s">
        <v>67</v>
      </c>
    </row>
    <row r="475" spans="1:8">
      <c r="A475">
        <v>239658</v>
      </c>
      <c r="B475" t="s">
        <v>1486</v>
      </c>
      <c r="C475" t="s">
        <v>1503</v>
      </c>
      <c r="D475" t="s">
        <v>1439</v>
      </c>
      <c r="E475" t="s">
        <v>1346</v>
      </c>
      <c r="F475" t="s">
        <v>1374</v>
      </c>
      <c r="G475" t="s">
        <v>1536</v>
      </c>
      <c r="H475" t="s">
        <v>67</v>
      </c>
    </row>
    <row r="476" spans="1:8">
      <c r="A476">
        <v>121910</v>
      </c>
      <c r="B476" t="s">
        <v>1482</v>
      </c>
      <c r="C476" t="s">
        <v>1504</v>
      </c>
      <c r="D476" t="s">
        <v>1439</v>
      </c>
      <c r="E476" t="s">
        <v>1346</v>
      </c>
      <c r="F476" t="s">
        <v>1374</v>
      </c>
      <c r="G476" t="s">
        <v>1536</v>
      </c>
      <c r="H476" t="s">
        <v>67</v>
      </c>
    </row>
    <row r="477" spans="1:8">
      <c r="A477">
        <v>299889</v>
      </c>
      <c r="B477" t="s">
        <v>1471</v>
      </c>
      <c r="C477" t="s">
        <v>1505</v>
      </c>
      <c r="D477" t="s">
        <v>1439</v>
      </c>
      <c r="E477" t="s">
        <v>1346</v>
      </c>
      <c r="F477" t="s">
        <v>1374</v>
      </c>
      <c r="G477" t="s">
        <v>1536</v>
      </c>
      <c r="H477" t="s">
        <v>67</v>
      </c>
    </row>
    <row r="478" spans="1:8">
      <c r="A478">
        <v>268327</v>
      </c>
      <c r="B478" t="s">
        <v>1462</v>
      </c>
      <c r="C478" t="s">
        <v>1506</v>
      </c>
      <c r="D478" t="s">
        <v>1439</v>
      </c>
      <c r="E478" t="s">
        <v>1213</v>
      </c>
      <c r="F478" t="s">
        <v>1374</v>
      </c>
      <c r="G478" t="s">
        <v>1536</v>
      </c>
      <c r="H478" t="s">
        <v>67</v>
      </c>
    </row>
    <row r="479" spans="1:8">
      <c r="A479">
        <v>243274</v>
      </c>
      <c r="B479" t="s">
        <v>1459</v>
      </c>
      <c r="C479" t="s">
        <v>1507</v>
      </c>
      <c r="D479" t="s">
        <v>1439</v>
      </c>
      <c r="E479" t="s">
        <v>2395</v>
      </c>
      <c r="F479" t="s">
        <v>604</v>
      </c>
      <c r="G479" t="s">
        <v>1541</v>
      </c>
      <c r="H479" t="s">
        <v>65</v>
      </c>
    </row>
    <row r="480" spans="1:8">
      <c r="A480">
        <v>173210</v>
      </c>
      <c r="B480" t="s">
        <v>1483</v>
      </c>
      <c r="C480" t="s">
        <v>1508</v>
      </c>
      <c r="D480" t="s">
        <v>1439</v>
      </c>
      <c r="E480" t="s">
        <v>1213</v>
      </c>
      <c r="F480" t="s">
        <v>1374</v>
      </c>
      <c r="G480" t="s">
        <v>1536</v>
      </c>
      <c r="H480" t="s">
        <v>67</v>
      </c>
    </row>
    <row r="481" spans="1:8">
      <c r="A481">
        <v>290627</v>
      </c>
      <c r="B481" t="s">
        <v>1476</v>
      </c>
      <c r="C481" t="s">
        <v>1509</v>
      </c>
      <c r="D481" t="s">
        <v>1439</v>
      </c>
      <c r="E481" t="s">
        <v>512</v>
      </c>
      <c r="F481" t="s">
        <v>604</v>
      </c>
      <c r="G481" t="s">
        <v>1541</v>
      </c>
      <c r="H481" t="s">
        <v>65</v>
      </c>
    </row>
    <row r="482" spans="1:8">
      <c r="A482">
        <v>290504</v>
      </c>
      <c r="B482" t="s">
        <v>1478</v>
      </c>
      <c r="C482" t="s">
        <v>1510</v>
      </c>
      <c r="D482" t="s">
        <v>1439</v>
      </c>
      <c r="E482" t="s">
        <v>1191</v>
      </c>
      <c r="F482" t="s">
        <v>1381</v>
      </c>
      <c r="G482" t="s">
        <v>1541</v>
      </c>
      <c r="H482" t="s">
        <v>65</v>
      </c>
    </row>
    <row r="483" spans="1:8">
      <c r="A483">
        <v>265500</v>
      </c>
      <c r="B483" t="s">
        <v>1479</v>
      </c>
      <c r="C483" t="s">
        <v>1511</v>
      </c>
      <c r="D483" t="s">
        <v>1439</v>
      </c>
      <c r="E483" t="s">
        <v>1191</v>
      </c>
      <c r="F483" t="s">
        <v>1381</v>
      </c>
      <c r="G483" t="s">
        <v>1541</v>
      </c>
      <c r="H483" t="s">
        <v>65</v>
      </c>
    </row>
    <row r="484" spans="1:8">
      <c r="A484">
        <v>106389</v>
      </c>
      <c r="B484" t="s">
        <v>1490</v>
      </c>
      <c r="C484" t="s">
        <v>1797</v>
      </c>
      <c r="D484" t="s">
        <v>1439</v>
      </c>
      <c r="E484" t="s">
        <v>1191</v>
      </c>
      <c r="F484" t="s">
        <v>1381</v>
      </c>
      <c r="G484" t="s">
        <v>1541</v>
      </c>
      <c r="H484" t="s">
        <v>65</v>
      </c>
    </row>
    <row r="485" spans="1:8">
      <c r="A485">
        <v>243347</v>
      </c>
      <c r="B485" t="s">
        <v>1469</v>
      </c>
      <c r="C485" t="s">
        <v>2265</v>
      </c>
      <c r="D485" t="s">
        <v>1439</v>
      </c>
      <c r="E485" t="s">
        <v>1213</v>
      </c>
      <c r="F485" t="s">
        <v>1374</v>
      </c>
      <c r="G485" t="s">
        <v>1536</v>
      </c>
      <c r="H485" t="s">
        <v>67</v>
      </c>
    </row>
    <row r="486" spans="1:8">
      <c r="A486">
        <v>292935</v>
      </c>
      <c r="B486" t="s">
        <v>1475</v>
      </c>
      <c r="C486" t="s">
        <v>1512</v>
      </c>
      <c r="D486" t="s">
        <v>1439</v>
      </c>
      <c r="E486" t="s">
        <v>791</v>
      </c>
      <c r="F486" t="s">
        <v>1381</v>
      </c>
      <c r="G486" t="s">
        <v>1541</v>
      </c>
      <c r="H486" t="s">
        <v>65</v>
      </c>
    </row>
    <row r="487" spans="1:8">
      <c r="A487">
        <v>265578</v>
      </c>
      <c r="B487" t="s">
        <v>1465</v>
      </c>
      <c r="C487" t="s">
        <v>1513</v>
      </c>
      <c r="D487" t="s">
        <v>1439</v>
      </c>
      <c r="E487" t="s">
        <v>791</v>
      </c>
      <c r="F487" t="s">
        <v>1381</v>
      </c>
      <c r="G487" t="s">
        <v>1541</v>
      </c>
      <c r="H487" t="s">
        <v>65</v>
      </c>
    </row>
    <row r="488" spans="1:8">
      <c r="A488">
        <v>250225</v>
      </c>
      <c r="B488" t="s">
        <v>1458</v>
      </c>
      <c r="C488" t="s">
        <v>1514</v>
      </c>
      <c r="D488" t="s">
        <v>1439</v>
      </c>
      <c r="E488" t="s">
        <v>2395</v>
      </c>
      <c r="F488" t="s">
        <v>604</v>
      </c>
      <c r="G488" t="s">
        <v>1541</v>
      </c>
      <c r="H488" t="s">
        <v>65</v>
      </c>
    </row>
    <row r="489" spans="1:8">
      <c r="A489">
        <v>81280</v>
      </c>
      <c r="B489" t="s">
        <v>1491</v>
      </c>
      <c r="C489" t="s">
        <v>1515</v>
      </c>
      <c r="D489" t="s">
        <v>1439</v>
      </c>
      <c r="E489" t="s">
        <v>2395</v>
      </c>
      <c r="F489" t="s">
        <v>604</v>
      </c>
      <c r="G489" t="s">
        <v>1541</v>
      </c>
      <c r="H489" t="s">
        <v>65</v>
      </c>
    </row>
    <row r="490" spans="1:8">
      <c r="A490">
        <v>289469</v>
      </c>
      <c r="B490" t="s">
        <v>1461</v>
      </c>
      <c r="C490" t="s">
        <v>1516</v>
      </c>
      <c r="D490" t="s">
        <v>1439</v>
      </c>
      <c r="E490" t="s">
        <v>1338</v>
      </c>
      <c r="F490" t="s">
        <v>1381</v>
      </c>
      <c r="G490" t="s">
        <v>1541</v>
      </c>
      <c r="H490" t="s">
        <v>65</v>
      </c>
    </row>
    <row r="491" spans="1:8">
      <c r="A491">
        <v>250714</v>
      </c>
      <c r="B491" t="s">
        <v>1468</v>
      </c>
      <c r="C491" t="s">
        <v>1517</v>
      </c>
      <c r="D491" t="s">
        <v>1439</v>
      </c>
      <c r="E491" t="s">
        <v>1338</v>
      </c>
      <c r="F491" t="s">
        <v>1381</v>
      </c>
      <c r="G491" t="s">
        <v>1541</v>
      </c>
      <c r="H491" t="s">
        <v>65</v>
      </c>
    </row>
    <row r="492" spans="1:8">
      <c r="A492">
        <v>296325</v>
      </c>
      <c r="B492" t="s">
        <v>1460</v>
      </c>
      <c r="C492" t="s">
        <v>1518</v>
      </c>
      <c r="D492" t="s">
        <v>1439</v>
      </c>
      <c r="E492" t="s">
        <v>1191</v>
      </c>
      <c r="F492" t="s">
        <v>1381</v>
      </c>
      <c r="G492" t="s">
        <v>1541</v>
      </c>
      <c r="H492" t="s">
        <v>65</v>
      </c>
    </row>
    <row r="493" spans="1:8">
      <c r="A493">
        <v>289480</v>
      </c>
      <c r="B493" t="s">
        <v>1484</v>
      </c>
      <c r="C493" t="s">
        <v>1519</v>
      </c>
      <c r="D493" t="s">
        <v>1439</v>
      </c>
      <c r="E493" t="s">
        <v>1191</v>
      </c>
      <c r="F493" t="s">
        <v>1381</v>
      </c>
      <c r="G493" t="s">
        <v>1541</v>
      </c>
      <c r="H493" t="s">
        <v>65</v>
      </c>
    </row>
    <row r="494" spans="1:8">
      <c r="A494">
        <v>229031</v>
      </c>
      <c r="B494" t="s">
        <v>1487</v>
      </c>
      <c r="C494" t="s">
        <v>1520</v>
      </c>
      <c r="D494" t="s">
        <v>1439</v>
      </c>
      <c r="E494" t="s">
        <v>1344</v>
      </c>
      <c r="F494" t="s">
        <v>604</v>
      </c>
      <c r="G494" t="s">
        <v>1541</v>
      </c>
      <c r="H494" t="s">
        <v>65</v>
      </c>
    </row>
    <row r="495" spans="1:8">
      <c r="A495">
        <v>199149</v>
      </c>
      <c r="B495" t="s">
        <v>1485</v>
      </c>
      <c r="C495" t="s">
        <v>1521</v>
      </c>
      <c r="D495" t="s">
        <v>1439</v>
      </c>
      <c r="E495" t="s">
        <v>476</v>
      </c>
      <c r="F495" t="s">
        <v>1374</v>
      </c>
      <c r="G495" t="s">
        <v>1536</v>
      </c>
      <c r="H495" t="s">
        <v>67</v>
      </c>
    </row>
    <row r="496" spans="1:8">
      <c r="A496">
        <v>265692</v>
      </c>
      <c r="B496" t="s">
        <v>1464</v>
      </c>
      <c r="C496" t="s">
        <v>1522</v>
      </c>
      <c r="D496" t="s">
        <v>1439</v>
      </c>
      <c r="E496" t="s">
        <v>584</v>
      </c>
      <c r="F496" t="s">
        <v>1374</v>
      </c>
      <c r="G496" t="s">
        <v>1536</v>
      </c>
      <c r="H496" t="s">
        <v>67</v>
      </c>
    </row>
    <row r="497" spans="1:8">
      <c r="A497">
        <v>267711</v>
      </c>
      <c r="B497" t="s">
        <v>1463</v>
      </c>
      <c r="C497" t="s">
        <v>1523</v>
      </c>
      <c r="D497" t="s">
        <v>1439</v>
      </c>
      <c r="E497" t="s">
        <v>1012</v>
      </c>
      <c r="F497" t="s">
        <v>1371</v>
      </c>
      <c r="G497" t="s">
        <v>1553</v>
      </c>
      <c r="H497" t="s">
        <v>59</v>
      </c>
    </row>
    <row r="498" spans="1:8">
      <c r="A498">
        <v>290586</v>
      </c>
      <c r="B498" t="s">
        <v>1477</v>
      </c>
      <c r="C498" t="s">
        <v>1524</v>
      </c>
      <c r="D498" t="s">
        <v>1439</v>
      </c>
      <c r="E498" t="s">
        <v>1273</v>
      </c>
      <c r="F498" t="s">
        <v>1374</v>
      </c>
      <c r="G498" t="s">
        <v>1536</v>
      </c>
      <c r="H498" t="s">
        <v>67</v>
      </c>
    </row>
    <row r="499" spans="1:8">
      <c r="A499">
        <v>243335</v>
      </c>
      <c r="B499" t="s">
        <v>1473</v>
      </c>
      <c r="C499" t="s">
        <v>1525</v>
      </c>
      <c r="D499" t="s">
        <v>1439</v>
      </c>
      <c r="E499" t="s">
        <v>1273</v>
      </c>
      <c r="F499" t="s">
        <v>1374</v>
      </c>
      <c r="G499" t="s">
        <v>1536</v>
      </c>
      <c r="H499" t="s">
        <v>67</v>
      </c>
    </row>
    <row r="500" spans="1:8">
      <c r="A500">
        <v>213056</v>
      </c>
      <c r="B500" t="s">
        <v>1474</v>
      </c>
      <c r="C500" t="s">
        <v>1526</v>
      </c>
      <c r="D500" t="s">
        <v>1439</v>
      </c>
      <c r="E500" t="s">
        <v>1346</v>
      </c>
      <c r="F500" t="s">
        <v>1374</v>
      </c>
      <c r="G500" t="s">
        <v>1536</v>
      </c>
      <c r="H500" t="s">
        <v>67</v>
      </c>
    </row>
    <row r="501" spans="1:8">
      <c r="A501">
        <v>300953</v>
      </c>
      <c r="B501" t="s">
        <v>1470</v>
      </c>
      <c r="C501" t="s">
        <v>1527</v>
      </c>
      <c r="D501" t="s">
        <v>1439</v>
      </c>
      <c r="E501" t="s">
        <v>1346</v>
      </c>
      <c r="F501" t="s">
        <v>1374</v>
      </c>
      <c r="G501" t="s">
        <v>1536</v>
      </c>
      <c r="H501" t="s">
        <v>67</v>
      </c>
    </row>
    <row r="502" spans="1:8">
      <c r="A502">
        <v>267966</v>
      </c>
      <c r="B502" t="s">
        <v>1480</v>
      </c>
      <c r="C502" t="s">
        <v>1528</v>
      </c>
      <c r="D502" t="s">
        <v>1439</v>
      </c>
      <c r="E502" t="s">
        <v>1213</v>
      </c>
      <c r="F502" t="s">
        <v>1374</v>
      </c>
      <c r="G502" t="s">
        <v>1536</v>
      </c>
      <c r="H502" t="s">
        <v>67</v>
      </c>
    </row>
    <row r="503" spans="1:8">
      <c r="A503">
        <v>240780</v>
      </c>
      <c r="B503" t="s">
        <v>1472</v>
      </c>
      <c r="C503" t="s">
        <v>1529</v>
      </c>
      <c r="D503" t="s">
        <v>1439</v>
      </c>
      <c r="E503" t="s">
        <v>1213</v>
      </c>
      <c r="F503" t="s">
        <v>1374</v>
      </c>
      <c r="G503" t="s">
        <v>1536</v>
      </c>
      <c r="H503" t="s">
        <v>67</v>
      </c>
    </row>
    <row r="504" spans="1:8">
      <c r="A504">
        <v>195108</v>
      </c>
      <c r="B504" t="s">
        <v>1574</v>
      </c>
      <c r="C504" t="s">
        <v>1575</v>
      </c>
      <c r="D504" t="s">
        <v>1439</v>
      </c>
      <c r="E504" t="s">
        <v>1273</v>
      </c>
      <c r="F504" t="s">
        <v>1374</v>
      </c>
      <c r="G504" t="s">
        <v>1536</v>
      </c>
      <c r="H504" t="s">
        <v>67</v>
      </c>
    </row>
    <row r="505" spans="1:8">
      <c r="A505">
        <v>325644</v>
      </c>
      <c r="B505" t="s">
        <v>1576</v>
      </c>
      <c r="C505" t="s">
        <v>1577</v>
      </c>
      <c r="D505" t="s">
        <v>1439</v>
      </c>
      <c r="E505" t="s">
        <v>1273</v>
      </c>
      <c r="F505" t="s">
        <v>1374</v>
      </c>
      <c r="G505" t="s">
        <v>1536</v>
      </c>
      <c r="H505" t="s">
        <v>67</v>
      </c>
    </row>
    <row r="506" spans="1:8">
      <c r="A506">
        <v>325717</v>
      </c>
      <c r="B506" t="s">
        <v>1578</v>
      </c>
      <c r="C506" t="s">
        <v>1579</v>
      </c>
      <c r="D506" t="s">
        <v>1439</v>
      </c>
      <c r="E506" t="s">
        <v>584</v>
      </c>
      <c r="F506" t="s">
        <v>1374</v>
      </c>
      <c r="G506" t="s">
        <v>1536</v>
      </c>
      <c r="H506" t="s">
        <v>67</v>
      </c>
    </row>
    <row r="507" spans="1:8">
      <c r="A507">
        <v>325847</v>
      </c>
      <c r="B507" t="s">
        <v>1582</v>
      </c>
      <c r="C507" t="s">
        <v>1583</v>
      </c>
      <c r="D507" t="s">
        <v>1439</v>
      </c>
      <c r="E507" t="s">
        <v>1076</v>
      </c>
      <c r="F507" t="s">
        <v>1374</v>
      </c>
      <c r="G507" t="s">
        <v>1536</v>
      </c>
      <c r="H507" t="s">
        <v>67</v>
      </c>
    </row>
    <row r="508" spans="1:8">
      <c r="A508">
        <v>326289</v>
      </c>
      <c r="B508" t="s">
        <v>1584</v>
      </c>
      <c r="C508" t="s">
        <v>1585</v>
      </c>
      <c r="D508" t="s">
        <v>1439</v>
      </c>
      <c r="E508" t="s">
        <v>1076</v>
      </c>
      <c r="F508" t="s">
        <v>1374</v>
      </c>
      <c r="G508" t="s">
        <v>1536</v>
      </c>
      <c r="H508" t="s">
        <v>67</v>
      </c>
    </row>
    <row r="509" spans="1:8">
      <c r="A509">
        <v>312997</v>
      </c>
      <c r="B509" t="s">
        <v>1586</v>
      </c>
      <c r="C509" t="s">
        <v>1587</v>
      </c>
      <c r="D509" t="s">
        <v>1439</v>
      </c>
      <c r="E509" t="s">
        <v>476</v>
      </c>
      <c r="F509" t="s">
        <v>1374</v>
      </c>
      <c r="G509" t="s">
        <v>1536</v>
      </c>
      <c r="H509" t="s">
        <v>67</v>
      </c>
    </row>
    <row r="510" spans="1:8">
      <c r="A510">
        <v>325722</v>
      </c>
      <c r="B510" t="s">
        <v>1588</v>
      </c>
      <c r="C510" t="s">
        <v>1589</v>
      </c>
      <c r="D510" t="s">
        <v>1439</v>
      </c>
      <c r="E510" t="s">
        <v>476</v>
      </c>
      <c r="F510" t="s">
        <v>1374</v>
      </c>
      <c r="G510" t="s">
        <v>1536</v>
      </c>
      <c r="H510" t="s">
        <v>67</v>
      </c>
    </row>
    <row r="511" spans="1:8">
      <c r="A511">
        <v>325781</v>
      </c>
      <c r="B511" t="s">
        <v>1590</v>
      </c>
      <c r="C511" t="s">
        <v>1798</v>
      </c>
      <c r="D511" t="s">
        <v>1439</v>
      </c>
      <c r="E511" t="s">
        <v>1346</v>
      </c>
      <c r="F511" t="s">
        <v>1374</v>
      </c>
      <c r="G511" t="s">
        <v>1536</v>
      </c>
      <c r="H511" t="s">
        <v>67</v>
      </c>
    </row>
    <row r="512" spans="1:8">
      <c r="A512">
        <v>325855</v>
      </c>
      <c r="B512" t="s">
        <v>1591</v>
      </c>
      <c r="C512" t="s">
        <v>1592</v>
      </c>
      <c r="D512" t="s">
        <v>1439</v>
      </c>
      <c r="E512" t="s">
        <v>1346</v>
      </c>
      <c r="F512" t="s">
        <v>1374</v>
      </c>
      <c r="G512" t="s">
        <v>1536</v>
      </c>
      <c r="H512" t="s">
        <v>67</v>
      </c>
    </row>
    <row r="513" spans="1:8">
      <c r="A513">
        <v>325925</v>
      </c>
      <c r="B513" t="s">
        <v>1593</v>
      </c>
      <c r="C513" t="s">
        <v>1594</v>
      </c>
      <c r="D513" t="s">
        <v>1439</v>
      </c>
      <c r="E513" t="s">
        <v>1346</v>
      </c>
      <c r="F513" t="s">
        <v>1374</v>
      </c>
      <c r="G513" t="s">
        <v>1536</v>
      </c>
      <c r="H513" t="s">
        <v>67</v>
      </c>
    </row>
    <row r="514" spans="1:8">
      <c r="A514">
        <v>325645</v>
      </c>
      <c r="B514" t="s">
        <v>1595</v>
      </c>
      <c r="C514" t="s">
        <v>1596</v>
      </c>
      <c r="D514" t="s">
        <v>1439</v>
      </c>
      <c r="E514" t="s">
        <v>1346</v>
      </c>
      <c r="F514" t="s">
        <v>1374</v>
      </c>
      <c r="G514" t="s">
        <v>1536</v>
      </c>
      <c r="H514" t="s">
        <v>67</v>
      </c>
    </row>
    <row r="515" spans="1:8">
      <c r="A515">
        <v>325782</v>
      </c>
      <c r="B515" t="s">
        <v>1597</v>
      </c>
      <c r="C515" t="s">
        <v>1598</v>
      </c>
      <c r="D515" t="s">
        <v>1439</v>
      </c>
      <c r="E515" t="s">
        <v>1213</v>
      </c>
      <c r="F515" t="s">
        <v>1374</v>
      </c>
      <c r="G515" t="s">
        <v>1536</v>
      </c>
      <c r="H515" t="s">
        <v>67</v>
      </c>
    </row>
    <row r="516" spans="1:8">
      <c r="A516">
        <v>325790</v>
      </c>
      <c r="B516" t="s">
        <v>1599</v>
      </c>
      <c r="C516" t="s">
        <v>1600</v>
      </c>
      <c r="D516" t="s">
        <v>1439</v>
      </c>
      <c r="E516" t="s">
        <v>1213</v>
      </c>
      <c r="F516" t="s">
        <v>1374</v>
      </c>
      <c r="G516" t="s">
        <v>1536</v>
      </c>
      <c r="H516" t="s">
        <v>67</v>
      </c>
    </row>
    <row r="517" spans="1:8">
      <c r="A517">
        <v>326035</v>
      </c>
      <c r="B517" t="s">
        <v>1601</v>
      </c>
      <c r="C517" t="s">
        <v>1602</v>
      </c>
      <c r="D517" t="s">
        <v>1439</v>
      </c>
      <c r="E517" t="s">
        <v>1213</v>
      </c>
      <c r="F517" t="s">
        <v>1374</v>
      </c>
      <c r="G517" t="s">
        <v>1536</v>
      </c>
      <c r="H517" t="s">
        <v>67</v>
      </c>
    </row>
    <row r="518" spans="1:8">
      <c r="A518">
        <v>276034</v>
      </c>
      <c r="B518" t="s">
        <v>1603</v>
      </c>
      <c r="C518" t="s">
        <v>1604</v>
      </c>
      <c r="D518" t="s">
        <v>1439</v>
      </c>
      <c r="E518" t="s">
        <v>2395</v>
      </c>
      <c r="F518" t="s">
        <v>604</v>
      </c>
      <c r="G518" t="s">
        <v>1541</v>
      </c>
      <c r="H518" t="s">
        <v>65</v>
      </c>
    </row>
    <row r="519" spans="1:8">
      <c r="A519">
        <v>325656</v>
      </c>
      <c r="B519" t="s">
        <v>1605</v>
      </c>
      <c r="C519" t="s">
        <v>1606</v>
      </c>
      <c r="D519" t="s">
        <v>1439</v>
      </c>
      <c r="E519" t="s">
        <v>512</v>
      </c>
      <c r="F519" t="s">
        <v>604</v>
      </c>
      <c r="G519" t="s">
        <v>1541</v>
      </c>
      <c r="H519" t="s">
        <v>65</v>
      </c>
    </row>
    <row r="520" spans="1:8">
      <c r="A520">
        <v>325670</v>
      </c>
      <c r="B520" t="s">
        <v>1607</v>
      </c>
      <c r="C520" t="s">
        <v>1608</v>
      </c>
      <c r="D520" t="s">
        <v>1439</v>
      </c>
      <c r="E520" t="s">
        <v>2395</v>
      </c>
      <c r="F520" t="s">
        <v>604</v>
      </c>
      <c r="G520" t="s">
        <v>1541</v>
      </c>
      <c r="H520" t="s">
        <v>65</v>
      </c>
    </row>
    <row r="521" spans="1:8">
      <c r="A521">
        <v>325875</v>
      </c>
      <c r="B521" t="s">
        <v>1609</v>
      </c>
      <c r="C521" t="s">
        <v>1610</v>
      </c>
      <c r="D521" t="s">
        <v>1439</v>
      </c>
      <c r="E521" t="s">
        <v>512</v>
      </c>
      <c r="F521" t="s">
        <v>604</v>
      </c>
      <c r="G521" t="s">
        <v>1541</v>
      </c>
      <c r="H521" t="s">
        <v>65</v>
      </c>
    </row>
    <row r="522" spans="1:8">
      <c r="A522">
        <v>325896</v>
      </c>
      <c r="B522" t="s">
        <v>1611</v>
      </c>
      <c r="C522" t="s">
        <v>1612</v>
      </c>
      <c r="D522" t="s">
        <v>1439</v>
      </c>
      <c r="E522" t="s">
        <v>2395</v>
      </c>
      <c r="F522" t="s">
        <v>604</v>
      </c>
      <c r="G522" t="s">
        <v>1541</v>
      </c>
      <c r="H522" t="s">
        <v>65</v>
      </c>
    </row>
    <row r="523" spans="1:8">
      <c r="A523">
        <v>325865</v>
      </c>
      <c r="B523" t="s">
        <v>1613</v>
      </c>
      <c r="C523" t="s">
        <v>1614</v>
      </c>
      <c r="D523" t="s">
        <v>1439</v>
      </c>
      <c r="E523" t="s">
        <v>512</v>
      </c>
      <c r="F523" t="s">
        <v>604</v>
      </c>
      <c r="G523" t="s">
        <v>1541</v>
      </c>
      <c r="H523" t="s">
        <v>65</v>
      </c>
    </row>
    <row r="524" spans="1:8">
      <c r="A524">
        <v>325631</v>
      </c>
      <c r="B524" t="s">
        <v>1615</v>
      </c>
      <c r="C524" t="s">
        <v>1616</v>
      </c>
      <c r="D524" t="s">
        <v>1439</v>
      </c>
      <c r="E524" t="s">
        <v>791</v>
      </c>
      <c r="F524" t="s">
        <v>1381</v>
      </c>
      <c r="G524" t="s">
        <v>1541</v>
      </c>
      <c r="H524" t="s">
        <v>65</v>
      </c>
    </row>
    <row r="525" spans="1:8">
      <c r="A525">
        <v>326018</v>
      </c>
      <c r="B525" t="s">
        <v>1617</v>
      </c>
      <c r="C525" t="s">
        <v>1618</v>
      </c>
      <c r="D525" t="s">
        <v>1439</v>
      </c>
      <c r="E525" t="s">
        <v>791</v>
      </c>
      <c r="F525" t="s">
        <v>1381</v>
      </c>
      <c r="G525" t="s">
        <v>1541</v>
      </c>
      <c r="H525" t="s">
        <v>65</v>
      </c>
    </row>
    <row r="526" spans="1:8">
      <c r="A526">
        <v>326031</v>
      </c>
      <c r="B526" t="s">
        <v>1619</v>
      </c>
      <c r="C526" t="s">
        <v>1620</v>
      </c>
      <c r="D526" t="s">
        <v>1439</v>
      </c>
      <c r="E526" t="s">
        <v>791</v>
      </c>
      <c r="F526" t="s">
        <v>1381</v>
      </c>
      <c r="G526" t="s">
        <v>1541</v>
      </c>
      <c r="H526" t="s">
        <v>65</v>
      </c>
    </row>
    <row r="527" spans="1:8">
      <c r="A527">
        <v>326259</v>
      </c>
      <c r="B527" t="s">
        <v>1621</v>
      </c>
      <c r="C527" t="s">
        <v>1622</v>
      </c>
      <c r="D527" t="s">
        <v>1439</v>
      </c>
      <c r="E527" t="s">
        <v>1066</v>
      </c>
      <c r="F527" t="s">
        <v>1378</v>
      </c>
      <c r="G527" t="s">
        <v>1532</v>
      </c>
      <c r="H527" t="s">
        <v>58</v>
      </c>
    </row>
    <row r="528" spans="1:8">
      <c r="A528">
        <v>325727</v>
      </c>
      <c r="B528" t="s">
        <v>1623</v>
      </c>
      <c r="C528" t="s">
        <v>1624</v>
      </c>
      <c r="D528" t="s">
        <v>1439</v>
      </c>
      <c r="E528" t="s">
        <v>1191</v>
      </c>
      <c r="F528" t="s">
        <v>1381</v>
      </c>
      <c r="G528" t="s">
        <v>1541</v>
      </c>
      <c r="H528" t="s">
        <v>65</v>
      </c>
    </row>
    <row r="529" spans="1:8">
      <c r="A529">
        <v>325867</v>
      </c>
      <c r="B529" t="s">
        <v>1625</v>
      </c>
      <c r="C529" t="s">
        <v>1626</v>
      </c>
      <c r="D529" t="s">
        <v>1439</v>
      </c>
      <c r="E529" t="s">
        <v>1066</v>
      </c>
      <c r="F529" t="s">
        <v>1378</v>
      </c>
      <c r="G529" t="s">
        <v>1532</v>
      </c>
      <c r="H529" t="s">
        <v>58</v>
      </c>
    </row>
    <row r="530" spans="1:8">
      <c r="A530">
        <v>325891</v>
      </c>
      <c r="B530" t="s">
        <v>1627</v>
      </c>
      <c r="C530" t="s">
        <v>1628</v>
      </c>
      <c r="D530" t="s">
        <v>1439</v>
      </c>
      <c r="E530" t="s">
        <v>512</v>
      </c>
      <c r="F530" t="s">
        <v>604</v>
      </c>
      <c r="G530" t="s">
        <v>1541</v>
      </c>
      <c r="H530" t="s">
        <v>65</v>
      </c>
    </row>
    <row r="531" spans="1:8">
      <c r="A531">
        <v>326039</v>
      </c>
      <c r="B531" t="s">
        <v>1629</v>
      </c>
      <c r="C531" t="s">
        <v>1630</v>
      </c>
      <c r="D531" t="s">
        <v>1439</v>
      </c>
      <c r="E531" t="s">
        <v>1191</v>
      </c>
      <c r="F531" t="s">
        <v>1381</v>
      </c>
      <c r="G531" t="s">
        <v>1541</v>
      </c>
      <c r="H531" t="s">
        <v>65</v>
      </c>
    </row>
    <row r="532" spans="1:8">
      <c r="A532">
        <v>325868</v>
      </c>
      <c r="B532" t="s">
        <v>1633</v>
      </c>
      <c r="C532" t="s">
        <v>1634</v>
      </c>
      <c r="D532" t="s">
        <v>1439</v>
      </c>
      <c r="E532" t="s">
        <v>947</v>
      </c>
      <c r="F532" t="s">
        <v>1371</v>
      </c>
      <c r="G532" t="s">
        <v>1540</v>
      </c>
      <c r="H532" t="s">
        <v>59</v>
      </c>
    </row>
    <row r="533" spans="1:8">
      <c r="A533">
        <v>325638</v>
      </c>
      <c r="B533" t="s">
        <v>1635</v>
      </c>
      <c r="C533" t="s">
        <v>1636</v>
      </c>
      <c r="D533" t="s">
        <v>1439</v>
      </c>
      <c r="E533" t="s">
        <v>1344</v>
      </c>
      <c r="F533" t="s">
        <v>604</v>
      </c>
      <c r="G533" t="s">
        <v>1541</v>
      </c>
      <c r="H533" t="s">
        <v>65</v>
      </c>
    </row>
    <row r="534" spans="1:8">
      <c r="A534">
        <v>325778</v>
      </c>
      <c r="B534" t="s">
        <v>1637</v>
      </c>
      <c r="C534" t="s">
        <v>1088</v>
      </c>
      <c r="D534" t="s">
        <v>1439</v>
      </c>
      <c r="E534" t="s">
        <v>1066</v>
      </c>
      <c r="F534" t="s">
        <v>1378</v>
      </c>
      <c r="G534" t="s">
        <v>1532</v>
      </c>
      <c r="H534" t="s">
        <v>58</v>
      </c>
    </row>
    <row r="535" spans="1:8">
      <c r="A535">
        <v>326017</v>
      </c>
      <c r="B535" t="s">
        <v>1638</v>
      </c>
      <c r="C535" t="s">
        <v>1639</v>
      </c>
      <c r="D535" t="s">
        <v>1439</v>
      </c>
      <c r="E535" t="s">
        <v>642</v>
      </c>
      <c r="F535" t="s">
        <v>1378</v>
      </c>
      <c r="G535" t="s">
        <v>1532</v>
      </c>
      <c r="H535" t="s">
        <v>58</v>
      </c>
    </row>
    <row r="536" spans="1:8">
      <c r="A536">
        <v>325930</v>
      </c>
      <c r="B536" t="s">
        <v>1640</v>
      </c>
      <c r="C536" t="s">
        <v>1641</v>
      </c>
      <c r="D536" t="s">
        <v>1439</v>
      </c>
      <c r="E536" t="s">
        <v>1344</v>
      </c>
      <c r="F536" t="s">
        <v>604</v>
      </c>
      <c r="G536" t="s">
        <v>1541</v>
      </c>
      <c r="H536" t="s">
        <v>65</v>
      </c>
    </row>
    <row r="537" spans="1:8">
      <c r="A537">
        <v>326000</v>
      </c>
      <c r="B537" t="s">
        <v>1642</v>
      </c>
      <c r="C537" t="s">
        <v>1643</v>
      </c>
      <c r="D537" t="s">
        <v>1439</v>
      </c>
      <c r="E537" t="s">
        <v>642</v>
      </c>
      <c r="F537" t="s">
        <v>1378</v>
      </c>
      <c r="G537" t="s">
        <v>1532</v>
      </c>
      <c r="H537" t="s">
        <v>58</v>
      </c>
    </row>
    <row r="538" spans="1:8">
      <c r="A538">
        <v>326006</v>
      </c>
      <c r="B538" t="s">
        <v>1644</v>
      </c>
      <c r="C538" t="s">
        <v>1645</v>
      </c>
      <c r="D538" t="s">
        <v>1439</v>
      </c>
      <c r="E538" t="s">
        <v>1344</v>
      </c>
      <c r="F538" t="s">
        <v>604</v>
      </c>
      <c r="G538" t="s">
        <v>1541</v>
      </c>
      <c r="H538" t="s">
        <v>65</v>
      </c>
    </row>
    <row r="539" spans="1:8">
      <c r="A539">
        <v>325642</v>
      </c>
      <c r="B539" t="s">
        <v>1646</v>
      </c>
      <c r="C539" t="s">
        <v>1647</v>
      </c>
      <c r="D539" t="s">
        <v>1439</v>
      </c>
      <c r="E539" t="s">
        <v>512</v>
      </c>
      <c r="F539" t="s">
        <v>604</v>
      </c>
      <c r="G539" t="s">
        <v>1541</v>
      </c>
      <c r="H539" t="s">
        <v>65</v>
      </c>
    </row>
    <row r="540" spans="1:8">
      <c r="A540">
        <v>325933</v>
      </c>
      <c r="B540" t="s">
        <v>1648</v>
      </c>
      <c r="C540" t="s">
        <v>1649</v>
      </c>
      <c r="D540" t="s">
        <v>1439</v>
      </c>
      <c r="E540" t="s">
        <v>512</v>
      </c>
      <c r="F540" t="s">
        <v>604</v>
      </c>
      <c r="G540" t="s">
        <v>1541</v>
      </c>
      <c r="H540" t="s">
        <v>65</v>
      </c>
    </row>
    <row r="541" spans="1:8">
      <c r="A541">
        <v>325898</v>
      </c>
      <c r="B541" t="s">
        <v>1650</v>
      </c>
      <c r="C541" t="s">
        <v>1651</v>
      </c>
      <c r="D541" t="s">
        <v>1439</v>
      </c>
      <c r="E541" t="s">
        <v>512</v>
      </c>
      <c r="F541" t="s">
        <v>604</v>
      </c>
      <c r="G541" t="s">
        <v>1541</v>
      </c>
      <c r="H541" t="s">
        <v>65</v>
      </c>
    </row>
    <row r="542" spans="1:8">
      <c r="A542">
        <v>325873</v>
      </c>
      <c r="B542" t="s">
        <v>1652</v>
      </c>
      <c r="C542" t="s">
        <v>1653</v>
      </c>
      <c r="D542" t="s">
        <v>1439</v>
      </c>
      <c r="E542" t="s">
        <v>512</v>
      </c>
      <c r="F542" t="s">
        <v>604</v>
      </c>
      <c r="G542" t="s">
        <v>1541</v>
      </c>
      <c r="H542" t="s">
        <v>65</v>
      </c>
    </row>
    <row r="543" spans="1:8">
      <c r="A543">
        <v>325623</v>
      </c>
      <c r="B543" t="s">
        <v>1654</v>
      </c>
      <c r="C543" t="s">
        <v>1655</v>
      </c>
      <c r="D543" t="s">
        <v>1439</v>
      </c>
      <c r="E543" t="s">
        <v>1338</v>
      </c>
      <c r="F543" t="s">
        <v>1381</v>
      </c>
      <c r="G543" t="s">
        <v>1541</v>
      </c>
      <c r="H543" t="s">
        <v>65</v>
      </c>
    </row>
    <row r="544" spans="1:8">
      <c r="A544">
        <v>240460</v>
      </c>
      <c r="B544" t="s">
        <v>1656</v>
      </c>
      <c r="C544" t="s">
        <v>1799</v>
      </c>
      <c r="D544" t="s">
        <v>1439</v>
      </c>
      <c r="E544" t="s">
        <v>692</v>
      </c>
      <c r="F544" t="s">
        <v>1371</v>
      </c>
      <c r="G544" t="s">
        <v>1540</v>
      </c>
      <c r="H544" t="s">
        <v>59</v>
      </c>
    </row>
    <row r="545" spans="1:8">
      <c r="A545">
        <v>325845</v>
      </c>
      <c r="B545" t="s">
        <v>1657</v>
      </c>
      <c r="C545" t="s">
        <v>1658</v>
      </c>
      <c r="D545" t="s">
        <v>1439</v>
      </c>
      <c r="E545" t="s">
        <v>1066</v>
      </c>
      <c r="F545" t="s">
        <v>1378</v>
      </c>
      <c r="G545" t="s">
        <v>1532</v>
      </c>
      <c r="H545" t="s">
        <v>58</v>
      </c>
    </row>
    <row r="546" spans="1:8">
      <c r="A546">
        <v>326313</v>
      </c>
      <c r="B546" t="s">
        <v>1659</v>
      </c>
      <c r="C546" t="s">
        <v>1660</v>
      </c>
      <c r="D546" t="s">
        <v>1439</v>
      </c>
      <c r="E546" t="s">
        <v>1207</v>
      </c>
      <c r="F546" t="s">
        <v>1375</v>
      </c>
      <c r="G546" t="s">
        <v>1543</v>
      </c>
      <c r="H546" t="s">
        <v>66</v>
      </c>
    </row>
    <row r="547" spans="1:8">
      <c r="A547">
        <v>326257</v>
      </c>
      <c r="B547" t="s">
        <v>1661</v>
      </c>
      <c r="C547" t="s">
        <v>1662</v>
      </c>
      <c r="D547" t="s">
        <v>1439</v>
      </c>
      <c r="E547" t="s">
        <v>512</v>
      </c>
      <c r="F547" t="s">
        <v>604</v>
      </c>
      <c r="G547" t="s">
        <v>1541</v>
      </c>
      <c r="H547" t="s">
        <v>65</v>
      </c>
    </row>
    <row r="548" spans="1:8">
      <c r="A548">
        <v>326288</v>
      </c>
      <c r="B548" t="s">
        <v>1663</v>
      </c>
      <c r="C548" t="s">
        <v>1664</v>
      </c>
      <c r="D548" t="s">
        <v>1439</v>
      </c>
      <c r="E548" t="s">
        <v>584</v>
      </c>
      <c r="F548" t="s">
        <v>1374</v>
      </c>
      <c r="G548" t="s">
        <v>1536</v>
      </c>
      <c r="H548" t="s">
        <v>67</v>
      </c>
    </row>
    <row r="549" spans="1:8">
      <c r="A549">
        <v>326535</v>
      </c>
      <c r="B549" t="s">
        <v>1568</v>
      </c>
      <c r="C549" t="s">
        <v>1569</v>
      </c>
      <c r="D549" t="s">
        <v>1439</v>
      </c>
      <c r="E549" t="s">
        <v>2396</v>
      </c>
      <c r="F549" t="s">
        <v>1375</v>
      </c>
      <c r="G549" t="s">
        <v>1537</v>
      </c>
      <c r="H549" t="s">
        <v>62</v>
      </c>
    </row>
    <row r="550" spans="1:8">
      <c r="A550">
        <v>326531</v>
      </c>
      <c r="B550" t="s">
        <v>1570</v>
      </c>
      <c r="C550" t="s">
        <v>1571</v>
      </c>
      <c r="D550" t="s">
        <v>1439</v>
      </c>
      <c r="E550" t="s">
        <v>598</v>
      </c>
      <c r="F550" t="s">
        <v>1375</v>
      </c>
      <c r="G550" t="s">
        <v>1537</v>
      </c>
      <c r="H550" t="s">
        <v>62</v>
      </c>
    </row>
    <row r="551" spans="1:8">
      <c r="A551">
        <v>326663</v>
      </c>
      <c r="B551" t="s">
        <v>1665</v>
      </c>
      <c r="C551" t="s">
        <v>1666</v>
      </c>
      <c r="D551" t="s">
        <v>1439</v>
      </c>
      <c r="E551" t="s">
        <v>476</v>
      </c>
      <c r="F551" t="s">
        <v>1374</v>
      </c>
      <c r="G551" t="s">
        <v>1536</v>
      </c>
      <c r="H551" t="s">
        <v>67</v>
      </c>
    </row>
    <row r="552" spans="1:8">
      <c r="A552">
        <v>263331</v>
      </c>
      <c r="B552" t="s">
        <v>1671</v>
      </c>
      <c r="C552" t="s">
        <v>1672</v>
      </c>
      <c r="D552" t="s">
        <v>1439</v>
      </c>
      <c r="E552" t="s">
        <v>1338</v>
      </c>
      <c r="F552" t="s">
        <v>1381</v>
      </c>
      <c r="G552" t="s">
        <v>1541</v>
      </c>
      <c r="H552" t="s">
        <v>65</v>
      </c>
    </row>
    <row r="553" spans="1:8">
      <c r="A553">
        <v>328350</v>
      </c>
      <c r="B553" t="s">
        <v>1673</v>
      </c>
      <c r="C553" t="s">
        <v>1674</v>
      </c>
      <c r="D553" t="s">
        <v>1439</v>
      </c>
      <c r="E553" t="s">
        <v>1191</v>
      </c>
      <c r="F553" t="s">
        <v>1381</v>
      </c>
      <c r="G553" t="s">
        <v>1541</v>
      </c>
      <c r="H553" t="s">
        <v>65</v>
      </c>
    </row>
    <row r="554" spans="1:8">
      <c r="A554">
        <v>328360</v>
      </c>
      <c r="B554" t="s">
        <v>1675</v>
      </c>
      <c r="C554" t="s">
        <v>1676</v>
      </c>
      <c r="D554" t="s">
        <v>1439</v>
      </c>
      <c r="E554" t="s">
        <v>1191</v>
      </c>
      <c r="F554" t="s">
        <v>1381</v>
      </c>
      <c r="G554" t="s">
        <v>1541</v>
      </c>
      <c r="H554" t="s">
        <v>65</v>
      </c>
    </row>
    <row r="555" spans="1:8">
      <c r="A555">
        <v>328380</v>
      </c>
      <c r="B555" t="s">
        <v>1677</v>
      </c>
      <c r="C555" t="s">
        <v>1678</v>
      </c>
      <c r="D555" t="s">
        <v>1439</v>
      </c>
      <c r="E555" t="s">
        <v>1191</v>
      </c>
      <c r="F555" t="s">
        <v>1381</v>
      </c>
      <c r="G555" t="s">
        <v>1541</v>
      </c>
      <c r="H555" t="s">
        <v>65</v>
      </c>
    </row>
    <row r="556" spans="1:8">
      <c r="A556">
        <v>328980</v>
      </c>
      <c r="B556" t="s">
        <v>1679</v>
      </c>
      <c r="C556" t="s">
        <v>1680</v>
      </c>
      <c r="D556" t="s">
        <v>1439</v>
      </c>
      <c r="E556" t="s">
        <v>1191</v>
      </c>
      <c r="F556" t="s">
        <v>1381</v>
      </c>
      <c r="G556" t="s">
        <v>1541</v>
      </c>
      <c r="H556" t="s">
        <v>65</v>
      </c>
    </row>
    <row r="557" spans="1:8">
      <c r="A557">
        <v>328354</v>
      </c>
      <c r="B557" t="s">
        <v>1681</v>
      </c>
      <c r="C557" t="s">
        <v>1682</v>
      </c>
      <c r="D557" t="s">
        <v>1439</v>
      </c>
      <c r="E557" t="s">
        <v>1076</v>
      </c>
      <c r="F557" t="s">
        <v>1374</v>
      </c>
      <c r="G557" t="s">
        <v>1536</v>
      </c>
      <c r="H557" t="s">
        <v>67</v>
      </c>
    </row>
    <row r="558" spans="1:8">
      <c r="A558">
        <v>328353</v>
      </c>
      <c r="B558" t="s">
        <v>1683</v>
      </c>
      <c r="C558" t="s">
        <v>933</v>
      </c>
      <c r="D558" t="s">
        <v>1439</v>
      </c>
      <c r="E558" t="s">
        <v>1213</v>
      </c>
      <c r="F558" t="s">
        <v>1374</v>
      </c>
      <c r="G558" t="s">
        <v>1536</v>
      </c>
      <c r="H558" t="s">
        <v>67</v>
      </c>
    </row>
    <row r="559" spans="1:8">
      <c r="A559">
        <v>328359</v>
      </c>
      <c r="B559" t="s">
        <v>1684</v>
      </c>
      <c r="C559" t="s">
        <v>1685</v>
      </c>
      <c r="D559" t="s">
        <v>1439</v>
      </c>
      <c r="E559" t="s">
        <v>1273</v>
      </c>
      <c r="F559" t="s">
        <v>1374</v>
      </c>
      <c r="G559" t="s">
        <v>1536</v>
      </c>
      <c r="H559" t="s">
        <v>67</v>
      </c>
    </row>
    <row r="560" spans="1:8">
      <c r="A560">
        <v>328383</v>
      </c>
      <c r="B560" t="s">
        <v>1686</v>
      </c>
      <c r="C560" t="s">
        <v>1687</v>
      </c>
      <c r="D560" t="s">
        <v>1439</v>
      </c>
      <c r="E560" t="s">
        <v>947</v>
      </c>
      <c r="F560" t="s">
        <v>1371</v>
      </c>
      <c r="G560" t="s">
        <v>1540</v>
      </c>
      <c r="H560" t="s">
        <v>59</v>
      </c>
    </row>
    <row r="561" spans="1:8">
      <c r="A561">
        <v>328729</v>
      </c>
      <c r="B561" t="s">
        <v>1688</v>
      </c>
      <c r="C561" t="s">
        <v>1689</v>
      </c>
      <c r="D561" t="s">
        <v>1439</v>
      </c>
      <c r="E561" t="s">
        <v>1338</v>
      </c>
      <c r="F561" t="s">
        <v>1381</v>
      </c>
      <c r="G561" t="s">
        <v>1541</v>
      </c>
      <c r="H561" t="s">
        <v>65</v>
      </c>
    </row>
    <row r="562" spans="1:8">
      <c r="A562">
        <v>328731</v>
      </c>
      <c r="B562" t="s">
        <v>1690</v>
      </c>
      <c r="C562" t="s">
        <v>1691</v>
      </c>
      <c r="D562" t="s">
        <v>1439</v>
      </c>
      <c r="E562" t="s">
        <v>1338</v>
      </c>
      <c r="F562" t="s">
        <v>1381</v>
      </c>
      <c r="G562" t="s">
        <v>1541</v>
      </c>
      <c r="H562" t="s">
        <v>65</v>
      </c>
    </row>
    <row r="563" spans="1:8">
      <c r="A563">
        <v>328704</v>
      </c>
      <c r="B563" t="s">
        <v>1692</v>
      </c>
      <c r="C563" t="s">
        <v>1693</v>
      </c>
      <c r="D563" t="s">
        <v>1439</v>
      </c>
      <c r="E563" t="s">
        <v>1338</v>
      </c>
      <c r="F563" t="s">
        <v>1381</v>
      </c>
      <c r="G563" t="s">
        <v>1541</v>
      </c>
      <c r="H563" t="s">
        <v>65</v>
      </c>
    </row>
    <row r="564" spans="1:8">
      <c r="A564">
        <v>328661</v>
      </c>
      <c r="B564" t="s">
        <v>1694</v>
      </c>
      <c r="C564" t="s">
        <v>1695</v>
      </c>
      <c r="D564" t="s">
        <v>1439</v>
      </c>
      <c r="E564" t="s">
        <v>1344</v>
      </c>
      <c r="F564" t="s">
        <v>604</v>
      </c>
      <c r="G564" t="s">
        <v>1541</v>
      </c>
      <c r="H564" t="s">
        <v>65</v>
      </c>
    </row>
    <row r="565" spans="1:8">
      <c r="A565">
        <v>328691</v>
      </c>
      <c r="B565" t="s">
        <v>1696</v>
      </c>
      <c r="C565" t="s">
        <v>1697</v>
      </c>
      <c r="D565" t="s">
        <v>1439</v>
      </c>
      <c r="E565" t="s">
        <v>1344</v>
      </c>
      <c r="F565" t="s">
        <v>604</v>
      </c>
      <c r="G565" t="s">
        <v>1541</v>
      </c>
      <c r="H565" t="s">
        <v>65</v>
      </c>
    </row>
    <row r="566" spans="1:8">
      <c r="A566">
        <v>328663</v>
      </c>
      <c r="B566" t="s">
        <v>1698</v>
      </c>
      <c r="C566" t="s">
        <v>1699</v>
      </c>
      <c r="D566" t="s">
        <v>1439</v>
      </c>
      <c r="E566" t="s">
        <v>1344</v>
      </c>
      <c r="F566" t="s">
        <v>604</v>
      </c>
      <c r="G566" t="s">
        <v>1541</v>
      </c>
      <c r="H566" t="s">
        <v>65</v>
      </c>
    </row>
    <row r="567" spans="1:8">
      <c r="A567">
        <v>328683</v>
      </c>
      <c r="B567" t="s">
        <v>1700</v>
      </c>
      <c r="C567" t="s">
        <v>1701</v>
      </c>
      <c r="D567" t="s">
        <v>1439</v>
      </c>
      <c r="E567" t="s">
        <v>476</v>
      </c>
      <c r="F567" t="s">
        <v>1374</v>
      </c>
      <c r="G567" t="s">
        <v>1536</v>
      </c>
      <c r="H567" t="s">
        <v>67</v>
      </c>
    </row>
    <row r="568" spans="1:8">
      <c r="A568">
        <v>328900</v>
      </c>
      <c r="B568" t="s">
        <v>1702</v>
      </c>
      <c r="C568" t="s">
        <v>1703</v>
      </c>
      <c r="D568" t="s">
        <v>1439</v>
      </c>
      <c r="E568" t="s">
        <v>584</v>
      </c>
      <c r="F568" t="s">
        <v>1374</v>
      </c>
      <c r="G568" t="s">
        <v>1536</v>
      </c>
      <c r="H568" t="s">
        <v>67</v>
      </c>
    </row>
    <row r="569" spans="1:8">
      <c r="A569">
        <v>328895</v>
      </c>
      <c r="B569" t="s">
        <v>1704</v>
      </c>
      <c r="C569" t="s">
        <v>1705</v>
      </c>
      <c r="D569" t="s">
        <v>1439</v>
      </c>
      <c r="E569" t="s">
        <v>584</v>
      </c>
      <c r="F569" t="s">
        <v>1374</v>
      </c>
      <c r="G569" t="s">
        <v>1536</v>
      </c>
      <c r="H569" t="s">
        <v>67</v>
      </c>
    </row>
    <row r="570" spans="1:8">
      <c r="A570">
        <v>200851</v>
      </c>
      <c r="B570" t="s">
        <v>1706</v>
      </c>
      <c r="C570" t="s">
        <v>1707</v>
      </c>
      <c r="D570" t="s">
        <v>1439</v>
      </c>
      <c r="E570" t="s">
        <v>1012</v>
      </c>
      <c r="F570" t="s">
        <v>1371</v>
      </c>
      <c r="G570" t="s">
        <v>1540</v>
      </c>
      <c r="H570" t="s">
        <v>59</v>
      </c>
    </row>
    <row r="571" spans="1:8">
      <c r="A571">
        <v>329208</v>
      </c>
      <c r="B571" t="s">
        <v>1713</v>
      </c>
      <c r="C571" t="s">
        <v>1714</v>
      </c>
      <c r="D571" t="s">
        <v>1439</v>
      </c>
      <c r="E571" t="s">
        <v>1066</v>
      </c>
      <c r="F571" t="s">
        <v>1378</v>
      </c>
      <c r="G571" t="s">
        <v>1532</v>
      </c>
      <c r="H571" t="s">
        <v>58</v>
      </c>
    </row>
    <row r="572" spans="1:8">
      <c r="A572">
        <v>329203</v>
      </c>
      <c r="B572" t="s">
        <v>1715</v>
      </c>
      <c r="C572" t="s">
        <v>2266</v>
      </c>
      <c r="D572" t="s">
        <v>1439</v>
      </c>
      <c r="E572" t="s">
        <v>1213</v>
      </c>
      <c r="F572" t="s">
        <v>1374</v>
      </c>
      <c r="G572" t="s">
        <v>1536</v>
      </c>
      <c r="H572" t="s">
        <v>67</v>
      </c>
    </row>
    <row r="573" spans="1:8">
      <c r="A573">
        <v>329211</v>
      </c>
      <c r="B573" t="s">
        <v>1716</v>
      </c>
      <c r="C573" t="s">
        <v>1717</v>
      </c>
      <c r="D573" t="s">
        <v>1439</v>
      </c>
      <c r="E573" t="s">
        <v>1066</v>
      </c>
      <c r="F573" t="s">
        <v>1378</v>
      </c>
      <c r="G573" t="s">
        <v>1532</v>
      </c>
      <c r="H573" t="s">
        <v>58</v>
      </c>
    </row>
    <row r="574" spans="1:8">
      <c r="A574">
        <v>326509</v>
      </c>
      <c r="B574" t="s">
        <v>1718</v>
      </c>
      <c r="C574" t="s">
        <v>1719</v>
      </c>
      <c r="D574" t="s">
        <v>1439</v>
      </c>
      <c r="E574" t="s">
        <v>1076</v>
      </c>
      <c r="F574" t="s">
        <v>1374</v>
      </c>
      <c r="G574" t="s">
        <v>1536</v>
      </c>
      <c r="H574" t="s">
        <v>67</v>
      </c>
    </row>
    <row r="575" spans="1:8">
      <c r="A575">
        <v>329182</v>
      </c>
      <c r="B575" t="s">
        <v>1720</v>
      </c>
      <c r="C575" t="s">
        <v>1721</v>
      </c>
      <c r="D575" t="s">
        <v>1439</v>
      </c>
      <c r="E575" t="s">
        <v>642</v>
      </c>
      <c r="F575" t="s">
        <v>1378</v>
      </c>
      <c r="G575" t="s">
        <v>1532</v>
      </c>
      <c r="H575" t="s">
        <v>58</v>
      </c>
    </row>
    <row r="576" spans="1:8">
      <c r="A576">
        <v>329186</v>
      </c>
      <c r="B576" t="s">
        <v>1722</v>
      </c>
      <c r="C576" t="s">
        <v>1723</v>
      </c>
      <c r="D576" t="s">
        <v>1439</v>
      </c>
      <c r="E576" t="s">
        <v>947</v>
      </c>
      <c r="F576" t="s">
        <v>1371</v>
      </c>
      <c r="G576" t="s">
        <v>1540</v>
      </c>
      <c r="H576" t="s">
        <v>59</v>
      </c>
    </row>
    <row r="577" spans="1:8">
      <c r="A577">
        <v>329183</v>
      </c>
      <c r="B577" t="s">
        <v>1724</v>
      </c>
      <c r="C577" t="s">
        <v>1725</v>
      </c>
      <c r="D577" t="s">
        <v>1439</v>
      </c>
      <c r="E577" t="s">
        <v>1076</v>
      </c>
      <c r="F577" t="s">
        <v>1374</v>
      </c>
      <c r="G577" t="s">
        <v>1536</v>
      </c>
      <c r="H577" t="s">
        <v>67</v>
      </c>
    </row>
    <row r="578" spans="1:8">
      <c r="A578">
        <v>329214</v>
      </c>
      <c r="B578" t="s">
        <v>1726</v>
      </c>
      <c r="C578" t="s">
        <v>1727</v>
      </c>
      <c r="D578" t="s">
        <v>1439</v>
      </c>
      <c r="E578" t="s">
        <v>642</v>
      </c>
      <c r="F578" t="s">
        <v>1378</v>
      </c>
      <c r="G578" t="s">
        <v>1532</v>
      </c>
      <c r="H578" t="s">
        <v>58</v>
      </c>
    </row>
    <row r="579" spans="1:8">
      <c r="A579">
        <v>329226</v>
      </c>
      <c r="B579" t="s">
        <v>1728</v>
      </c>
      <c r="C579" t="s">
        <v>1729</v>
      </c>
      <c r="D579" t="s">
        <v>1439</v>
      </c>
      <c r="E579" t="s">
        <v>1012</v>
      </c>
      <c r="F579" t="s">
        <v>1371</v>
      </c>
      <c r="G579" t="s">
        <v>1540</v>
      </c>
      <c r="H579" t="s">
        <v>59</v>
      </c>
    </row>
    <row r="580" spans="1:8">
      <c r="A580">
        <v>329207</v>
      </c>
      <c r="B580" t="s">
        <v>1730</v>
      </c>
      <c r="C580" t="s">
        <v>1731</v>
      </c>
      <c r="D580" t="s">
        <v>1439</v>
      </c>
      <c r="E580" t="s">
        <v>1338</v>
      </c>
      <c r="F580" t="s">
        <v>1381</v>
      </c>
      <c r="G580" t="s">
        <v>1541</v>
      </c>
      <c r="H580" t="s">
        <v>65</v>
      </c>
    </row>
    <row r="581" spans="1:8">
      <c r="A581">
        <v>329215</v>
      </c>
      <c r="B581" t="s">
        <v>1732</v>
      </c>
      <c r="C581" t="s">
        <v>1733</v>
      </c>
      <c r="D581" t="s">
        <v>1439</v>
      </c>
      <c r="E581" t="s">
        <v>1344</v>
      </c>
      <c r="F581" t="s">
        <v>604</v>
      </c>
      <c r="G581" t="s">
        <v>1541</v>
      </c>
      <c r="H581" t="s">
        <v>65</v>
      </c>
    </row>
    <row r="582" spans="1:8">
      <c r="A582">
        <v>329153</v>
      </c>
      <c r="B582" t="s">
        <v>1734</v>
      </c>
      <c r="C582" t="s">
        <v>1735</v>
      </c>
      <c r="D582" t="s">
        <v>1439</v>
      </c>
      <c r="E582" t="s">
        <v>1191</v>
      </c>
      <c r="F582" t="s">
        <v>1381</v>
      </c>
      <c r="G582" t="s">
        <v>1541</v>
      </c>
      <c r="H582" t="s">
        <v>65</v>
      </c>
    </row>
    <row r="583" spans="1:8">
      <c r="A583">
        <v>329180</v>
      </c>
      <c r="B583" t="s">
        <v>1736</v>
      </c>
      <c r="C583" t="s">
        <v>1737</v>
      </c>
      <c r="D583" t="s">
        <v>1439</v>
      </c>
      <c r="E583" t="s">
        <v>2395</v>
      </c>
      <c r="F583" t="s">
        <v>604</v>
      </c>
      <c r="G583" t="s">
        <v>1541</v>
      </c>
      <c r="H583" t="s">
        <v>65</v>
      </c>
    </row>
    <row r="584" spans="1:8">
      <c r="A584">
        <v>329162</v>
      </c>
      <c r="B584" t="s">
        <v>1738</v>
      </c>
      <c r="C584" t="s">
        <v>1739</v>
      </c>
      <c r="D584" t="s">
        <v>1439</v>
      </c>
      <c r="E584" t="s">
        <v>1338</v>
      </c>
      <c r="F584" t="s">
        <v>1381</v>
      </c>
      <c r="G584" t="s">
        <v>1541</v>
      </c>
      <c r="H584" t="s">
        <v>65</v>
      </c>
    </row>
    <row r="585" spans="1:8">
      <c r="A585">
        <v>329150</v>
      </c>
      <c r="B585" t="s">
        <v>1740</v>
      </c>
      <c r="C585" t="s">
        <v>1741</v>
      </c>
      <c r="D585" t="s">
        <v>1439</v>
      </c>
      <c r="E585" t="s">
        <v>947</v>
      </c>
      <c r="F585" t="s">
        <v>1371</v>
      </c>
      <c r="G585" t="s">
        <v>1540</v>
      </c>
      <c r="H585" t="s">
        <v>59</v>
      </c>
    </row>
    <row r="586" spans="1:8">
      <c r="A586">
        <v>329178</v>
      </c>
      <c r="B586" t="s">
        <v>1742</v>
      </c>
      <c r="C586" t="s">
        <v>1743</v>
      </c>
      <c r="D586" t="s">
        <v>1439</v>
      </c>
      <c r="E586" t="s">
        <v>1191</v>
      </c>
      <c r="F586" t="s">
        <v>1381</v>
      </c>
      <c r="G586" t="s">
        <v>1541</v>
      </c>
      <c r="H586" t="s">
        <v>65</v>
      </c>
    </row>
    <row r="587" spans="1:8">
      <c r="A587">
        <v>329179</v>
      </c>
      <c r="B587" t="s">
        <v>1744</v>
      </c>
      <c r="C587" t="s">
        <v>1745</v>
      </c>
      <c r="D587" t="s">
        <v>1439</v>
      </c>
      <c r="E587" t="s">
        <v>791</v>
      </c>
      <c r="F587" t="s">
        <v>1381</v>
      </c>
      <c r="G587" t="s">
        <v>1541</v>
      </c>
      <c r="H587" t="s">
        <v>65</v>
      </c>
    </row>
    <row r="588" spans="1:8">
      <c r="A588">
        <v>329151</v>
      </c>
      <c r="B588" t="s">
        <v>1746</v>
      </c>
      <c r="C588" t="s">
        <v>1747</v>
      </c>
      <c r="D588" t="s">
        <v>1439</v>
      </c>
      <c r="E588" t="s">
        <v>1191</v>
      </c>
      <c r="F588" t="s">
        <v>1381</v>
      </c>
      <c r="G588" t="s">
        <v>1541</v>
      </c>
      <c r="H588" t="s">
        <v>65</v>
      </c>
    </row>
    <row r="589" spans="1:8">
      <c r="A589">
        <v>329244</v>
      </c>
      <c r="B589" t="s">
        <v>1748</v>
      </c>
      <c r="C589" t="s">
        <v>1749</v>
      </c>
      <c r="D589" t="s">
        <v>1439</v>
      </c>
      <c r="E589" t="s">
        <v>1344</v>
      </c>
      <c r="F589" t="s">
        <v>604</v>
      </c>
      <c r="G589" t="s">
        <v>1541</v>
      </c>
      <c r="H589" t="s">
        <v>65</v>
      </c>
    </row>
    <row r="590" spans="1:8">
      <c r="A590">
        <v>329235</v>
      </c>
      <c r="B590" t="s">
        <v>1752</v>
      </c>
      <c r="C590" t="s">
        <v>1753</v>
      </c>
      <c r="D590" t="s">
        <v>1439</v>
      </c>
      <c r="E590" t="s">
        <v>1344</v>
      </c>
      <c r="F590" t="s">
        <v>604</v>
      </c>
      <c r="G590" t="s">
        <v>1541</v>
      </c>
      <c r="H590" t="s">
        <v>65</v>
      </c>
    </row>
    <row r="591" spans="1:8">
      <c r="A591">
        <v>329239</v>
      </c>
      <c r="B591" t="s">
        <v>1754</v>
      </c>
      <c r="C591" t="s">
        <v>1755</v>
      </c>
      <c r="D591" t="s">
        <v>1439</v>
      </c>
      <c r="E591" t="s">
        <v>476</v>
      </c>
      <c r="F591" t="s">
        <v>1374</v>
      </c>
      <c r="G591" t="s">
        <v>1536</v>
      </c>
      <c r="H591" t="s">
        <v>67</v>
      </c>
    </row>
    <row r="592" spans="1:8">
      <c r="A592">
        <v>329337</v>
      </c>
      <c r="B592" t="s">
        <v>1756</v>
      </c>
      <c r="C592" t="s">
        <v>1757</v>
      </c>
      <c r="D592" t="s">
        <v>1439</v>
      </c>
      <c r="E592" t="s">
        <v>2395</v>
      </c>
      <c r="F592" t="s">
        <v>604</v>
      </c>
      <c r="G592" t="s">
        <v>1541</v>
      </c>
      <c r="H592" t="s">
        <v>65</v>
      </c>
    </row>
    <row r="593" spans="1:8">
      <c r="A593">
        <v>329308</v>
      </c>
      <c r="B593" t="s">
        <v>1758</v>
      </c>
      <c r="C593" t="s">
        <v>1759</v>
      </c>
      <c r="D593" t="s">
        <v>1439</v>
      </c>
      <c r="E593" t="s">
        <v>2395</v>
      </c>
      <c r="F593" t="s">
        <v>604</v>
      </c>
      <c r="G593" t="s">
        <v>1541</v>
      </c>
      <c r="H593" t="s">
        <v>65</v>
      </c>
    </row>
    <row r="594" spans="1:8">
      <c r="A594">
        <v>329309</v>
      </c>
      <c r="B594" t="s">
        <v>1760</v>
      </c>
      <c r="C594" t="s">
        <v>1761</v>
      </c>
      <c r="D594" t="s">
        <v>1439</v>
      </c>
      <c r="E594" t="s">
        <v>2395</v>
      </c>
      <c r="F594" t="s">
        <v>604</v>
      </c>
      <c r="G594" t="s">
        <v>1541</v>
      </c>
      <c r="H594" t="s">
        <v>65</v>
      </c>
    </row>
    <row r="595" spans="1:8">
      <c r="A595">
        <v>329335</v>
      </c>
      <c r="B595" t="s">
        <v>1762</v>
      </c>
      <c r="C595" t="s">
        <v>1763</v>
      </c>
      <c r="D595" t="s">
        <v>1439</v>
      </c>
      <c r="E595" t="s">
        <v>1344</v>
      </c>
      <c r="F595" t="s">
        <v>604</v>
      </c>
      <c r="G595" t="s">
        <v>1541</v>
      </c>
      <c r="H595" t="s">
        <v>65</v>
      </c>
    </row>
    <row r="596" spans="1:8">
      <c r="A596">
        <v>329310</v>
      </c>
      <c r="B596" t="s">
        <v>1764</v>
      </c>
      <c r="C596" t="s">
        <v>1765</v>
      </c>
      <c r="D596" t="s">
        <v>1439</v>
      </c>
      <c r="E596" t="s">
        <v>2395</v>
      </c>
      <c r="F596" t="s">
        <v>604</v>
      </c>
      <c r="G596" t="s">
        <v>1541</v>
      </c>
      <c r="H596" t="s">
        <v>65</v>
      </c>
    </row>
    <row r="597" spans="1:8">
      <c r="A597">
        <v>329327</v>
      </c>
      <c r="B597" t="s">
        <v>1766</v>
      </c>
      <c r="C597" t="s">
        <v>1767</v>
      </c>
      <c r="D597" t="s">
        <v>1439</v>
      </c>
      <c r="E597" t="s">
        <v>791</v>
      </c>
      <c r="F597" t="s">
        <v>1381</v>
      </c>
      <c r="G597" t="s">
        <v>1541</v>
      </c>
      <c r="H597" t="s">
        <v>65</v>
      </c>
    </row>
    <row r="598" spans="1:8">
      <c r="A598">
        <v>239447</v>
      </c>
      <c r="B598" t="s">
        <v>2252</v>
      </c>
      <c r="C598" t="s">
        <v>2251</v>
      </c>
      <c r="D598" t="s">
        <v>1439</v>
      </c>
      <c r="E598" t="s">
        <v>1273</v>
      </c>
      <c r="F598" t="s">
        <v>1374</v>
      </c>
      <c r="G598" t="s">
        <v>1536</v>
      </c>
      <c r="H598" t="s">
        <v>67</v>
      </c>
    </row>
    <row r="599" spans="1:8">
      <c r="A599">
        <v>329433</v>
      </c>
      <c r="B599" t="s">
        <v>1768</v>
      </c>
      <c r="C599" t="s">
        <v>1769</v>
      </c>
      <c r="D599" t="s">
        <v>1439</v>
      </c>
      <c r="E599" t="s">
        <v>692</v>
      </c>
      <c r="F599" t="s">
        <v>1371</v>
      </c>
      <c r="G599" t="s">
        <v>1540</v>
      </c>
      <c r="H599" t="s">
        <v>59</v>
      </c>
    </row>
    <row r="600" spans="1:8">
      <c r="A600">
        <v>329429</v>
      </c>
      <c r="B600" t="s">
        <v>1770</v>
      </c>
      <c r="C600" t="s">
        <v>1771</v>
      </c>
      <c r="D600" t="s">
        <v>1439</v>
      </c>
      <c r="E600" t="s">
        <v>692</v>
      </c>
      <c r="F600" t="s">
        <v>1371</v>
      </c>
      <c r="G600" t="s">
        <v>1540</v>
      </c>
      <c r="H600" t="s">
        <v>59</v>
      </c>
    </row>
    <row r="601" spans="1:8">
      <c r="A601">
        <v>329425</v>
      </c>
      <c r="B601" t="s">
        <v>1772</v>
      </c>
      <c r="C601" t="s">
        <v>1773</v>
      </c>
      <c r="D601" t="s">
        <v>1439</v>
      </c>
      <c r="E601" t="s">
        <v>1213</v>
      </c>
      <c r="F601" t="s">
        <v>1374</v>
      </c>
      <c r="G601" t="s">
        <v>1536</v>
      </c>
      <c r="H601" t="s">
        <v>67</v>
      </c>
    </row>
    <row r="602" spans="1:8">
      <c r="A602">
        <v>329302</v>
      </c>
      <c r="B602" t="s">
        <v>1774</v>
      </c>
      <c r="C602" t="s">
        <v>1775</v>
      </c>
      <c r="D602" t="s">
        <v>1439</v>
      </c>
      <c r="E602" t="s">
        <v>2396</v>
      </c>
      <c r="F602" t="s">
        <v>1375</v>
      </c>
      <c r="G602" t="s">
        <v>1537</v>
      </c>
      <c r="H602" t="s">
        <v>62</v>
      </c>
    </row>
    <row r="603" spans="1:8">
      <c r="A603">
        <v>240246</v>
      </c>
      <c r="B603" t="s">
        <v>1776</v>
      </c>
      <c r="C603" t="s">
        <v>1777</v>
      </c>
      <c r="D603" t="s">
        <v>1439</v>
      </c>
      <c r="E603" t="s">
        <v>791</v>
      </c>
      <c r="F603" t="s">
        <v>1381</v>
      </c>
      <c r="G603" t="s">
        <v>1541</v>
      </c>
      <c r="H603" t="s">
        <v>65</v>
      </c>
    </row>
    <row r="604" spans="1:8">
      <c r="A604">
        <v>329437</v>
      </c>
      <c r="B604" t="s">
        <v>1778</v>
      </c>
      <c r="C604" t="s">
        <v>1779</v>
      </c>
      <c r="D604" t="s">
        <v>1439</v>
      </c>
      <c r="E604" t="s">
        <v>791</v>
      </c>
      <c r="F604" t="s">
        <v>1381</v>
      </c>
      <c r="G604" t="s">
        <v>1541</v>
      </c>
      <c r="H604" t="s">
        <v>65</v>
      </c>
    </row>
    <row r="605" spans="1:8">
      <c r="A605">
        <v>329499</v>
      </c>
      <c r="B605" t="s">
        <v>1780</v>
      </c>
      <c r="C605" t="s">
        <v>1781</v>
      </c>
      <c r="D605" t="s">
        <v>1439</v>
      </c>
      <c r="E605" t="s">
        <v>791</v>
      </c>
      <c r="F605" t="s">
        <v>1381</v>
      </c>
      <c r="G605" t="s">
        <v>1541</v>
      </c>
      <c r="H605" t="s">
        <v>65</v>
      </c>
    </row>
    <row r="606" spans="1:8">
      <c r="A606">
        <v>329474</v>
      </c>
      <c r="B606" t="s">
        <v>1782</v>
      </c>
      <c r="C606" t="s">
        <v>1783</v>
      </c>
      <c r="D606" t="s">
        <v>1439</v>
      </c>
      <c r="E606" t="s">
        <v>791</v>
      </c>
      <c r="F606" t="s">
        <v>1381</v>
      </c>
      <c r="G606" t="s">
        <v>1541</v>
      </c>
      <c r="H606" t="s">
        <v>65</v>
      </c>
    </row>
    <row r="607" spans="1:8">
      <c r="A607">
        <v>329459</v>
      </c>
      <c r="B607" t="s">
        <v>1784</v>
      </c>
      <c r="C607" t="s">
        <v>1785</v>
      </c>
      <c r="D607" t="s">
        <v>1439</v>
      </c>
      <c r="E607" t="s">
        <v>2395</v>
      </c>
      <c r="F607" t="s">
        <v>604</v>
      </c>
      <c r="G607" t="s">
        <v>1541</v>
      </c>
      <c r="H607" t="s">
        <v>65</v>
      </c>
    </row>
    <row r="608" spans="1:8">
      <c r="A608">
        <v>329444</v>
      </c>
      <c r="B608" t="s">
        <v>1786</v>
      </c>
      <c r="C608" t="s">
        <v>1787</v>
      </c>
      <c r="D608" t="s">
        <v>1439</v>
      </c>
      <c r="E608" t="s">
        <v>2395</v>
      </c>
      <c r="F608" t="s">
        <v>604</v>
      </c>
      <c r="G608" t="s">
        <v>1541</v>
      </c>
      <c r="H608" t="s">
        <v>65</v>
      </c>
    </row>
    <row r="609" spans="1:8">
      <c r="A609">
        <v>329619</v>
      </c>
      <c r="B609" t="s">
        <v>1788</v>
      </c>
      <c r="C609" t="s">
        <v>1789</v>
      </c>
      <c r="D609" t="s">
        <v>1439</v>
      </c>
      <c r="E609" t="s">
        <v>512</v>
      </c>
      <c r="F609" t="s">
        <v>604</v>
      </c>
      <c r="G609" t="s">
        <v>1541</v>
      </c>
      <c r="H609" t="s">
        <v>65</v>
      </c>
    </row>
    <row r="610" spans="1:8">
      <c r="A610">
        <v>322122</v>
      </c>
      <c r="B610" t="s">
        <v>1790</v>
      </c>
      <c r="C610" t="s">
        <v>2250</v>
      </c>
      <c r="D610" t="s">
        <v>1439</v>
      </c>
      <c r="E610" t="s">
        <v>512</v>
      </c>
      <c r="F610" t="s">
        <v>604</v>
      </c>
      <c r="G610" t="s">
        <v>1541</v>
      </c>
      <c r="H610" t="s">
        <v>65</v>
      </c>
    </row>
    <row r="611" spans="1:8">
      <c r="A611">
        <v>329615</v>
      </c>
      <c r="B611" t="s">
        <v>1791</v>
      </c>
      <c r="C611" t="s">
        <v>1792</v>
      </c>
      <c r="D611" t="s">
        <v>1439</v>
      </c>
      <c r="E611" t="s">
        <v>1213</v>
      </c>
      <c r="F611" t="s">
        <v>1374</v>
      </c>
      <c r="G611" t="s">
        <v>1536</v>
      </c>
      <c r="H611" t="s">
        <v>67</v>
      </c>
    </row>
    <row r="612" spans="1:8">
      <c r="A612">
        <v>329614</v>
      </c>
      <c r="B612" t="s">
        <v>1793</v>
      </c>
      <c r="C612" t="s">
        <v>1794</v>
      </c>
      <c r="D612" t="s">
        <v>1439</v>
      </c>
      <c r="E612" t="s">
        <v>692</v>
      </c>
      <c r="F612" t="s">
        <v>1371</v>
      </c>
      <c r="G612" t="s">
        <v>1540</v>
      </c>
      <c r="H612" t="s">
        <v>59</v>
      </c>
    </row>
    <row r="613" spans="1:8">
      <c r="A613">
        <v>329867</v>
      </c>
      <c r="B613" t="s">
        <v>1800</v>
      </c>
      <c r="C613" t="s">
        <v>1801</v>
      </c>
      <c r="D613" t="s">
        <v>1439</v>
      </c>
      <c r="E613" t="s">
        <v>642</v>
      </c>
      <c r="F613" t="s">
        <v>1378</v>
      </c>
      <c r="G613" t="s">
        <v>1532</v>
      </c>
      <c r="H613" t="s">
        <v>58</v>
      </c>
    </row>
    <row r="614" spans="1:8">
      <c r="A614">
        <v>329871</v>
      </c>
      <c r="B614" t="s">
        <v>1802</v>
      </c>
      <c r="C614" t="s">
        <v>1803</v>
      </c>
      <c r="D614" t="s">
        <v>1439</v>
      </c>
      <c r="E614" t="s">
        <v>692</v>
      </c>
      <c r="F614" t="s">
        <v>1371</v>
      </c>
      <c r="G614" t="s">
        <v>1540</v>
      </c>
      <c r="H614" t="s">
        <v>59</v>
      </c>
    </row>
    <row r="615" spans="1:8">
      <c r="A615">
        <v>329876</v>
      </c>
      <c r="B615" t="s">
        <v>1804</v>
      </c>
      <c r="C615" t="s">
        <v>1805</v>
      </c>
      <c r="D615" t="s">
        <v>1439</v>
      </c>
      <c r="E615" t="s">
        <v>1338</v>
      </c>
      <c r="F615" t="s">
        <v>1381</v>
      </c>
      <c r="G615" t="s">
        <v>1541</v>
      </c>
      <c r="H615" t="s">
        <v>65</v>
      </c>
    </row>
    <row r="616" spans="1:8">
      <c r="A616">
        <v>329877</v>
      </c>
      <c r="B616" t="s">
        <v>1806</v>
      </c>
      <c r="C616" t="s">
        <v>1807</v>
      </c>
      <c r="D616" t="s">
        <v>1439</v>
      </c>
      <c r="E616" t="s">
        <v>1338</v>
      </c>
      <c r="F616" t="s">
        <v>1381</v>
      </c>
      <c r="G616" t="s">
        <v>1541</v>
      </c>
      <c r="H616" t="s">
        <v>65</v>
      </c>
    </row>
    <row r="617" spans="1:8">
      <c r="A617">
        <v>329912</v>
      </c>
      <c r="B617" t="s">
        <v>1808</v>
      </c>
      <c r="C617" t="s">
        <v>1809</v>
      </c>
      <c r="D617" t="s">
        <v>1439</v>
      </c>
      <c r="E617" t="s">
        <v>1338</v>
      </c>
      <c r="F617" t="s">
        <v>1381</v>
      </c>
      <c r="G617" t="s">
        <v>1541</v>
      </c>
      <c r="H617" t="s">
        <v>65</v>
      </c>
    </row>
    <row r="618" spans="1:8">
      <c r="A618">
        <v>329915</v>
      </c>
      <c r="B618" t="s">
        <v>1810</v>
      </c>
      <c r="C618" t="s">
        <v>1811</v>
      </c>
      <c r="D618" t="s">
        <v>1439</v>
      </c>
      <c r="E618" t="s">
        <v>1338</v>
      </c>
      <c r="F618" t="s">
        <v>1381</v>
      </c>
      <c r="G618" t="s">
        <v>1541</v>
      </c>
      <c r="H618" t="s">
        <v>65</v>
      </c>
    </row>
    <row r="619" spans="1:8">
      <c r="A619">
        <v>329744</v>
      </c>
      <c r="B619" t="s">
        <v>1812</v>
      </c>
      <c r="C619" t="s">
        <v>1813</v>
      </c>
      <c r="D619" t="s">
        <v>1439</v>
      </c>
      <c r="E619" t="s">
        <v>584</v>
      </c>
      <c r="F619" t="s">
        <v>1374</v>
      </c>
      <c r="G619" t="s">
        <v>1536</v>
      </c>
      <c r="H619" t="s">
        <v>67</v>
      </c>
    </row>
    <row r="620" spans="1:8">
      <c r="A620">
        <v>329910</v>
      </c>
      <c r="B620" t="s">
        <v>1814</v>
      </c>
      <c r="C620" t="s">
        <v>1815</v>
      </c>
      <c r="D620" t="s">
        <v>1439</v>
      </c>
      <c r="E620" t="s">
        <v>1273</v>
      </c>
      <c r="F620" t="s">
        <v>1374</v>
      </c>
      <c r="G620" t="s">
        <v>1536</v>
      </c>
      <c r="H620" t="s">
        <v>67</v>
      </c>
    </row>
    <row r="621" spans="1:8">
      <c r="A621">
        <v>330166</v>
      </c>
      <c r="B621" t="s">
        <v>1816</v>
      </c>
      <c r="C621" t="s">
        <v>1817</v>
      </c>
      <c r="D621" t="s">
        <v>1439</v>
      </c>
      <c r="E621" t="s">
        <v>1213</v>
      </c>
      <c r="F621" t="s">
        <v>1374</v>
      </c>
      <c r="G621" t="s">
        <v>1536</v>
      </c>
      <c r="H621" t="s">
        <v>67</v>
      </c>
    </row>
    <row r="622" spans="1:8">
      <c r="A622">
        <v>180437</v>
      </c>
      <c r="B622" t="s">
        <v>1818</v>
      </c>
      <c r="C622" t="s">
        <v>1819</v>
      </c>
      <c r="D622" t="s">
        <v>1439</v>
      </c>
      <c r="E622" t="s">
        <v>512</v>
      </c>
      <c r="F622" t="s">
        <v>604</v>
      </c>
      <c r="G622" t="s">
        <v>1541</v>
      </c>
      <c r="H622" t="s">
        <v>65</v>
      </c>
    </row>
    <row r="623" spans="1:8">
      <c r="A623">
        <v>330180</v>
      </c>
      <c r="B623" t="s">
        <v>1820</v>
      </c>
      <c r="C623" t="s">
        <v>1821</v>
      </c>
      <c r="D623" t="s">
        <v>1439</v>
      </c>
      <c r="E623" t="s">
        <v>1213</v>
      </c>
      <c r="F623" t="s">
        <v>1374</v>
      </c>
      <c r="G623" t="s">
        <v>1536</v>
      </c>
      <c r="H623" t="s">
        <v>67</v>
      </c>
    </row>
    <row r="624" spans="1:8">
      <c r="A624">
        <v>330175</v>
      </c>
      <c r="B624" t="s">
        <v>1822</v>
      </c>
      <c r="C624" t="s">
        <v>1823</v>
      </c>
      <c r="D624" t="s">
        <v>1439</v>
      </c>
      <c r="E624" t="s">
        <v>1273</v>
      </c>
      <c r="F624" t="s">
        <v>1374</v>
      </c>
      <c r="G624" t="s">
        <v>1536</v>
      </c>
      <c r="H624" t="s">
        <v>67</v>
      </c>
    </row>
    <row r="625" spans="1:8">
      <c r="A625">
        <v>330162</v>
      </c>
      <c r="B625" t="s">
        <v>1824</v>
      </c>
      <c r="C625" t="s">
        <v>1825</v>
      </c>
      <c r="D625" t="s">
        <v>1439</v>
      </c>
      <c r="E625" t="s">
        <v>1066</v>
      </c>
      <c r="F625" t="s">
        <v>1378</v>
      </c>
      <c r="G625" t="s">
        <v>1532</v>
      </c>
      <c r="H625" t="s">
        <v>58</v>
      </c>
    </row>
    <row r="626" spans="1:8">
      <c r="A626">
        <v>330152</v>
      </c>
      <c r="B626" t="s">
        <v>1826</v>
      </c>
      <c r="C626" t="s">
        <v>1827</v>
      </c>
      <c r="D626" t="s">
        <v>1439</v>
      </c>
      <c r="E626" t="s">
        <v>1344</v>
      </c>
      <c r="F626" t="s">
        <v>604</v>
      </c>
      <c r="G626" t="s">
        <v>1541</v>
      </c>
      <c r="H626" t="s">
        <v>65</v>
      </c>
    </row>
    <row r="627" spans="1:8">
      <c r="A627">
        <v>263327</v>
      </c>
      <c r="B627" t="s">
        <v>1828</v>
      </c>
      <c r="C627" t="s">
        <v>1829</v>
      </c>
      <c r="D627" t="s">
        <v>1439</v>
      </c>
      <c r="E627" t="s">
        <v>1338</v>
      </c>
      <c r="F627" t="s">
        <v>1381</v>
      </c>
      <c r="G627" t="s">
        <v>1541</v>
      </c>
      <c r="H627" t="s">
        <v>65</v>
      </c>
    </row>
    <row r="628" spans="1:8">
      <c r="A628">
        <v>330203</v>
      </c>
      <c r="B628" t="s">
        <v>1830</v>
      </c>
      <c r="C628" t="s">
        <v>1831</v>
      </c>
      <c r="D628" t="s">
        <v>1439</v>
      </c>
      <c r="E628" t="s">
        <v>642</v>
      </c>
      <c r="F628" t="s">
        <v>1378</v>
      </c>
      <c r="G628" t="s">
        <v>1532</v>
      </c>
      <c r="H628" t="s">
        <v>58</v>
      </c>
    </row>
    <row r="629" spans="1:8">
      <c r="A629">
        <v>340589</v>
      </c>
      <c r="B629" t="s">
        <v>2296</v>
      </c>
      <c r="C629" t="s">
        <v>2267</v>
      </c>
      <c r="D629" t="s">
        <v>1439</v>
      </c>
      <c r="E629" t="s">
        <v>1191</v>
      </c>
      <c r="F629" t="s">
        <v>1381</v>
      </c>
      <c r="G629" t="s">
        <v>1541</v>
      </c>
      <c r="H629" t="s">
        <v>65</v>
      </c>
    </row>
    <row r="630" spans="1:8">
      <c r="A630">
        <v>311095</v>
      </c>
      <c r="B630" t="s">
        <v>970</v>
      </c>
      <c r="C630" t="s">
        <v>2268</v>
      </c>
      <c r="D630" t="s">
        <v>1439</v>
      </c>
      <c r="E630" t="s">
        <v>584</v>
      </c>
      <c r="F630" t="s">
        <v>1374</v>
      </c>
      <c r="G630" t="s">
        <v>1536</v>
      </c>
      <c r="H630" t="s">
        <v>67</v>
      </c>
    </row>
    <row r="631" spans="1:8">
      <c r="A631">
        <v>291517</v>
      </c>
      <c r="B631" t="s">
        <v>2297</v>
      </c>
      <c r="C631" t="s">
        <v>2269</v>
      </c>
      <c r="D631" t="s">
        <v>1439</v>
      </c>
      <c r="E631" t="s">
        <v>2395</v>
      </c>
      <c r="F631" t="s">
        <v>604</v>
      </c>
      <c r="G631" t="s">
        <v>1541</v>
      </c>
      <c r="H631" t="s">
        <v>65</v>
      </c>
    </row>
    <row r="632" spans="1:8">
      <c r="A632">
        <v>340623</v>
      </c>
      <c r="B632" t="s">
        <v>2298</v>
      </c>
      <c r="C632" t="s">
        <v>2747</v>
      </c>
      <c r="D632" t="s">
        <v>1439</v>
      </c>
      <c r="E632" t="s">
        <v>791</v>
      </c>
      <c r="F632" t="s">
        <v>1381</v>
      </c>
      <c r="G632" t="s">
        <v>1541</v>
      </c>
      <c r="H632" t="s">
        <v>65</v>
      </c>
    </row>
    <row r="633" spans="1:8">
      <c r="A633">
        <v>239764</v>
      </c>
      <c r="B633" t="s">
        <v>2299</v>
      </c>
      <c r="C633" t="s">
        <v>2270</v>
      </c>
      <c r="D633" t="s">
        <v>1439</v>
      </c>
      <c r="E633" t="s">
        <v>791</v>
      </c>
      <c r="F633" t="s">
        <v>1381</v>
      </c>
      <c r="G633" t="s">
        <v>1541</v>
      </c>
      <c r="H633" t="s">
        <v>65</v>
      </c>
    </row>
    <row r="634" spans="1:8">
      <c r="A634">
        <v>340534</v>
      </c>
      <c r="B634" t="s">
        <v>2300</v>
      </c>
      <c r="C634" t="s">
        <v>2271</v>
      </c>
      <c r="D634" t="s">
        <v>1439</v>
      </c>
      <c r="E634" t="s">
        <v>476</v>
      </c>
      <c r="F634" t="s">
        <v>1374</v>
      </c>
      <c r="G634" t="s">
        <v>1536</v>
      </c>
      <c r="H634" t="s">
        <v>67</v>
      </c>
    </row>
    <row r="635" spans="1:8">
      <c r="A635">
        <v>340533</v>
      </c>
      <c r="B635" t="s">
        <v>2301</v>
      </c>
      <c r="C635" t="s">
        <v>2272</v>
      </c>
      <c r="D635" t="s">
        <v>1439</v>
      </c>
      <c r="E635" t="s">
        <v>476</v>
      </c>
      <c r="F635" t="s">
        <v>1374</v>
      </c>
      <c r="G635" t="s">
        <v>1536</v>
      </c>
      <c r="H635" t="s">
        <v>67</v>
      </c>
    </row>
    <row r="636" spans="1:8">
      <c r="A636">
        <v>340581</v>
      </c>
      <c r="B636" t="s">
        <v>2302</v>
      </c>
      <c r="C636" t="s">
        <v>2273</v>
      </c>
      <c r="D636" t="s">
        <v>1439</v>
      </c>
      <c r="E636" t="s">
        <v>947</v>
      </c>
      <c r="F636" t="s">
        <v>1371</v>
      </c>
      <c r="G636" t="s">
        <v>1540</v>
      </c>
      <c r="H636" t="s">
        <v>59</v>
      </c>
    </row>
    <row r="637" spans="1:8">
      <c r="A637">
        <v>340536</v>
      </c>
      <c r="B637" t="s">
        <v>2303</v>
      </c>
      <c r="C637" t="s">
        <v>2274</v>
      </c>
      <c r="D637" t="s">
        <v>1439</v>
      </c>
      <c r="E637" t="s">
        <v>1191</v>
      </c>
      <c r="F637" t="s">
        <v>1381</v>
      </c>
      <c r="G637" t="s">
        <v>1541</v>
      </c>
      <c r="H637" t="s">
        <v>65</v>
      </c>
    </row>
    <row r="638" spans="1:8">
      <c r="A638">
        <v>340549</v>
      </c>
      <c r="B638" t="s">
        <v>2304</v>
      </c>
      <c r="C638" t="s">
        <v>2275</v>
      </c>
      <c r="D638" t="s">
        <v>1439</v>
      </c>
      <c r="E638" t="s">
        <v>584</v>
      </c>
      <c r="F638" t="s">
        <v>1374</v>
      </c>
      <c r="G638" t="s">
        <v>1536</v>
      </c>
      <c r="H638" t="s">
        <v>67</v>
      </c>
    </row>
    <row r="639" spans="1:8">
      <c r="A639">
        <v>277855</v>
      </c>
      <c r="B639" t="s">
        <v>2305</v>
      </c>
      <c r="C639" t="s">
        <v>634</v>
      </c>
      <c r="D639" t="s">
        <v>1439</v>
      </c>
      <c r="E639" t="s">
        <v>1076</v>
      </c>
      <c r="F639" t="s">
        <v>1374</v>
      </c>
      <c r="G639" t="s">
        <v>1536</v>
      </c>
      <c r="H639" t="s">
        <v>67</v>
      </c>
    </row>
    <row r="640" spans="1:8">
      <c r="A640">
        <v>340551</v>
      </c>
      <c r="B640" t="s">
        <v>2306</v>
      </c>
      <c r="C640" t="s">
        <v>2276</v>
      </c>
      <c r="D640" t="s">
        <v>1439</v>
      </c>
      <c r="E640" t="s">
        <v>1076</v>
      </c>
      <c r="F640" t="s">
        <v>1374</v>
      </c>
      <c r="G640" t="s">
        <v>1536</v>
      </c>
      <c r="H640" t="s">
        <v>67</v>
      </c>
    </row>
    <row r="641" spans="1:8">
      <c r="A641">
        <v>340558</v>
      </c>
      <c r="B641" t="s">
        <v>2307</v>
      </c>
      <c r="C641" t="s">
        <v>2277</v>
      </c>
      <c r="D641" t="s">
        <v>1439</v>
      </c>
      <c r="E641" t="s">
        <v>1273</v>
      </c>
      <c r="F641" t="s">
        <v>1374</v>
      </c>
      <c r="G641" t="s">
        <v>1536</v>
      </c>
      <c r="H641" t="s">
        <v>67</v>
      </c>
    </row>
    <row r="642" spans="1:8">
      <c r="A642">
        <v>340777</v>
      </c>
      <c r="B642" t="s">
        <v>2308</v>
      </c>
      <c r="C642" t="s">
        <v>2278</v>
      </c>
      <c r="D642" t="s">
        <v>1439</v>
      </c>
      <c r="E642" t="s">
        <v>1191</v>
      </c>
      <c r="F642" t="s">
        <v>1381</v>
      </c>
      <c r="G642" t="s">
        <v>1541</v>
      </c>
      <c r="H642" t="s">
        <v>65</v>
      </c>
    </row>
    <row r="643" spans="1:8">
      <c r="A643">
        <v>340750</v>
      </c>
      <c r="B643" t="s">
        <v>2309</v>
      </c>
      <c r="C643" t="s">
        <v>2279</v>
      </c>
      <c r="D643" t="s">
        <v>1439</v>
      </c>
      <c r="E643" t="s">
        <v>1344</v>
      </c>
      <c r="F643" t="s">
        <v>604</v>
      </c>
      <c r="G643" t="s">
        <v>1541</v>
      </c>
      <c r="H643" t="s">
        <v>65</v>
      </c>
    </row>
    <row r="644" spans="1:8">
      <c r="A644">
        <v>340781</v>
      </c>
      <c r="B644" t="s">
        <v>2310</v>
      </c>
      <c r="C644" t="s">
        <v>2280</v>
      </c>
      <c r="D644" t="s">
        <v>1439</v>
      </c>
      <c r="E644" t="s">
        <v>1344</v>
      </c>
      <c r="F644" t="s">
        <v>604</v>
      </c>
      <c r="G644" t="s">
        <v>1541</v>
      </c>
      <c r="H644" t="s">
        <v>65</v>
      </c>
    </row>
    <row r="645" spans="1:8">
      <c r="A645">
        <v>340774</v>
      </c>
      <c r="B645" t="s">
        <v>2311</v>
      </c>
      <c r="C645" t="s">
        <v>2281</v>
      </c>
      <c r="D645" t="s">
        <v>1439</v>
      </c>
      <c r="E645" t="s">
        <v>1338</v>
      </c>
      <c r="F645" t="s">
        <v>1381</v>
      </c>
      <c r="G645" t="s">
        <v>1541</v>
      </c>
      <c r="H645" t="s">
        <v>65</v>
      </c>
    </row>
    <row r="646" spans="1:8">
      <c r="A646">
        <v>340751</v>
      </c>
      <c r="B646" t="s">
        <v>2312</v>
      </c>
      <c r="C646" t="s">
        <v>2282</v>
      </c>
      <c r="D646" t="s">
        <v>1439</v>
      </c>
      <c r="E646" t="s">
        <v>1213</v>
      </c>
      <c r="F646" t="s">
        <v>1374</v>
      </c>
      <c r="G646" t="s">
        <v>1536</v>
      </c>
      <c r="H646" t="s">
        <v>67</v>
      </c>
    </row>
    <row r="647" spans="1:8">
      <c r="A647">
        <v>340748</v>
      </c>
      <c r="B647" t="s">
        <v>2313</v>
      </c>
      <c r="C647" t="s">
        <v>2283</v>
      </c>
      <c r="D647" t="s">
        <v>1439</v>
      </c>
      <c r="E647" t="s">
        <v>1346</v>
      </c>
      <c r="F647" t="s">
        <v>1374</v>
      </c>
      <c r="G647" t="s">
        <v>1536</v>
      </c>
      <c r="H647" t="s">
        <v>67</v>
      </c>
    </row>
    <row r="648" spans="1:8">
      <c r="A648">
        <v>340746</v>
      </c>
      <c r="B648" t="s">
        <v>2314</v>
      </c>
      <c r="C648" t="s">
        <v>2284</v>
      </c>
      <c r="D648" t="s">
        <v>1439</v>
      </c>
      <c r="E648" t="s">
        <v>1346</v>
      </c>
      <c r="F648" t="s">
        <v>1374</v>
      </c>
      <c r="G648" t="s">
        <v>1536</v>
      </c>
      <c r="H648" t="s">
        <v>67</v>
      </c>
    </row>
    <row r="649" spans="1:8">
      <c r="A649">
        <v>274237</v>
      </c>
      <c r="B649" t="s">
        <v>1394</v>
      </c>
      <c r="C649" t="s">
        <v>1367</v>
      </c>
      <c r="D649" t="s">
        <v>1439</v>
      </c>
      <c r="E649" t="s">
        <v>1346</v>
      </c>
      <c r="F649" t="s">
        <v>1374</v>
      </c>
      <c r="G649" t="s">
        <v>1536</v>
      </c>
      <c r="H649" t="s">
        <v>67</v>
      </c>
    </row>
    <row r="650" spans="1:8">
      <c r="A650">
        <v>340752</v>
      </c>
      <c r="B650" t="s">
        <v>2316</v>
      </c>
      <c r="C650" t="s">
        <v>2286</v>
      </c>
      <c r="D650" t="s">
        <v>1439</v>
      </c>
      <c r="E650" t="s">
        <v>1346</v>
      </c>
      <c r="F650" t="s">
        <v>1374</v>
      </c>
      <c r="G650" t="s">
        <v>1536</v>
      </c>
      <c r="H650" t="s">
        <v>67</v>
      </c>
    </row>
    <row r="651" spans="1:8">
      <c r="A651">
        <v>340970</v>
      </c>
      <c r="B651" t="s">
        <v>2317</v>
      </c>
      <c r="C651" t="s">
        <v>2287</v>
      </c>
      <c r="D651" t="s">
        <v>1439</v>
      </c>
      <c r="E651" t="s">
        <v>1346</v>
      </c>
      <c r="F651" t="s">
        <v>1374</v>
      </c>
      <c r="G651" t="s">
        <v>1536</v>
      </c>
      <c r="H651" t="s">
        <v>67</v>
      </c>
    </row>
    <row r="652" spans="1:8">
      <c r="A652">
        <v>341134</v>
      </c>
      <c r="B652" t="s">
        <v>2318</v>
      </c>
      <c r="C652" t="s">
        <v>2288</v>
      </c>
      <c r="D652" t="s">
        <v>1439</v>
      </c>
      <c r="E652" t="s">
        <v>1076</v>
      </c>
      <c r="F652" t="s">
        <v>1374</v>
      </c>
      <c r="G652" t="s">
        <v>1536</v>
      </c>
      <c r="H652" t="s">
        <v>67</v>
      </c>
    </row>
    <row r="653" spans="1:8">
      <c r="A653">
        <v>341070</v>
      </c>
      <c r="B653" t="s">
        <v>2319</v>
      </c>
      <c r="C653" t="s">
        <v>2289</v>
      </c>
      <c r="D653" t="s">
        <v>1439</v>
      </c>
      <c r="E653" t="s">
        <v>584</v>
      </c>
      <c r="F653" t="s">
        <v>1374</v>
      </c>
      <c r="G653" t="s">
        <v>1536</v>
      </c>
      <c r="H653" t="s">
        <v>67</v>
      </c>
    </row>
    <row r="654" spans="1:8">
      <c r="A654">
        <v>341074</v>
      </c>
      <c r="B654" t="s">
        <v>2320</v>
      </c>
      <c r="C654" t="s">
        <v>2290</v>
      </c>
      <c r="D654" t="s">
        <v>1439</v>
      </c>
      <c r="E654" t="s">
        <v>2395</v>
      </c>
      <c r="F654" t="s">
        <v>604</v>
      </c>
      <c r="G654" t="s">
        <v>1541</v>
      </c>
      <c r="H654" t="s">
        <v>65</v>
      </c>
    </row>
    <row r="655" spans="1:8">
      <c r="A655">
        <v>341162</v>
      </c>
      <c r="B655" t="s">
        <v>2321</v>
      </c>
      <c r="C655" t="s">
        <v>2291</v>
      </c>
      <c r="D655" t="s">
        <v>1439</v>
      </c>
      <c r="E655" t="s">
        <v>1273</v>
      </c>
      <c r="F655" t="s">
        <v>1374</v>
      </c>
      <c r="G655" t="s">
        <v>1536</v>
      </c>
      <c r="H655" t="s">
        <v>67</v>
      </c>
    </row>
    <row r="656" spans="1:8">
      <c r="A656">
        <v>341143</v>
      </c>
      <c r="B656" t="s">
        <v>2322</v>
      </c>
      <c r="C656" t="s">
        <v>2292</v>
      </c>
      <c r="D656" t="s">
        <v>1439</v>
      </c>
      <c r="E656" t="s">
        <v>512</v>
      </c>
      <c r="F656" t="s">
        <v>604</v>
      </c>
      <c r="G656" t="s">
        <v>1541</v>
      </c>
      <c r="H656" t="s">
        <v>65</v>
      </c>
    </row>
    <row r="657" spans="1:8">
      <c r="A657">
        <v>341156</v>
      </c>
      <c r="B657" t="s">
        <v>2323</v>
      </c>
      <c r="C657" t="s">
        <v>2293</v>
      </c>
      <c r="D657" t="s">
        <v>1439</v>
      </c>
      <c r="E657" t="s">
        <v>512</v>
      </c>
      <c r="F657" t="s">
        <v>604</v>
      </c>
      <c r="G657" t="s">
        <v>1541</v>
      </c>
      <c r="H657" t="s">
        <v>65</v>
      </c>
    </row>
    <row r="658" spans="1:8">
      <c r="A658">
        <v>341157</v>
      </c>
      <c r="B658" t="s">
        <v>2324</v>
      </c>
      <c r="C658" t="s">
        <v>2294</v>
      </c>
      <c r="D658" t="s">
        <v>1439</v>
      </c>
      <c r="E658" t="s">
        <v>512</v>
      </c>
      <c r="F658" t="s">
        <v>604</v>
      </c>
      <c r="G658" t="s">
        <v>1541</v>
      </c>
      <c r="H658" t="s">
        <v>65</v>
      </c>
    </row>
    <row r="659" spans="1:8">
      <c r="A659">
        <v>341094</v>
      </c>
      <c r="B659" t="s">
        <v>2325</v>
      </c>
      <c r="C659" t="s">
        <v>2295</v>
      </c>
      <c r="D659" t="s">
        <v>1439</v>
      </c>
      <c r="E659" t="s">
        <v>512</v>
      </c>
      <c r="F659" t="s">
        <v>604</v>
      </c>
      <c r="G659" t="s">
        <v>1541</v>
      </c>
      <c r="H659" t="s">
        <v>65</v>
      </c>
    </row>
    <row r="660" spans="1:8">
      <c r="A660">
        <v>341646</v>
      </c>
      <c r="B660" t="s">
        <v>2357</v>
      </c>
      <c r="C660" t="s">
        <v>2326</v>
      </c>
      <c r="D660" t="s">
        <v>1439</v>
      </c>
      <c r="E660" t="s">
        <v>584</v>
      </c>
      <c r="F660" t="s">
        <v>1374</v>
      </c>
      <c r="G660" t="s">
        <v>1536</v>
      </c>
      <c r="H660" t="s">
        <v>67</v>
      </c>
    </row>
    <row r="661" spans="1:8">
      <c r="A661">
        <v>341606</v>
      </c>
      <c r="B661" t="s">
        <v>2358</v>
      </c>
      <c r="C661" t="s">
        <v>2327</v>
      </c>
      <c r="D661" t="s">
        <v>1439</v>
      </c>
      <c r="E661" t="s">
        <v>791</v>
      </c>
      <c r="F661" t="s">
        <v>1381</v>
      </c>
      <c r="G661" t="s">
        <v>1541</v>
      </c>
      <c r="H661" t="s">
        <v>65</v>
      </c>
    </row>
    <row r="662" spans="1:8">
      <c r="A662">
        <v>341648</v>
      </c>
      <c r="B662" t="s">
        <v>2359</v>
      </c>
      <c r="C662" t="s">
        <v>990</v>
      </c>
      <c r="D662" t="s">
        <v>1439</v>
      </c>
      <c r="E662" t="s">
        <v>1191</v>
      </c>
      <c r="F662" t="s">
        <v>1381</v>
      </c>
      <c r="G662" t="s">
        <v>1541</v>
      </c>
      <c r="H662" t="s">
        <v>65</v>
      </c>
    </row>
    <row r="663" spans="1:8">
      <c r="A663">
        <v>341617</v>
      </c>
      <c r="B663" t="s">
        <v>2360</v>
      </c>
      <c r="C663" t="s">
        <v>2328</v>
      </c>
      <c r="D663" t="s">
        <v>1439</v>
      </c>
      <c r="E663" t="s">
        <v>1076</v>
      </c>
      <c r="F663" t="s">
        <v>1374</v>
      </c>
      <c r="G663" t="s">
        <v>1536</v>
      </c>
      <c r="H663" t="s">
        <v>67</v>
      </c>
    </row>
    <row r="664" spans="1:8">
      <c r="A664">
        <v>344474</v>
      </c>
      <c r="B664" t="s">
        <v>2361</v>
      </c>
      <c r="C664" t="s">
        <v>2329</v>
      </c>
      <c r="D664" t="s">
        <v>1439</v>
      </c>
      <c r="E664" t="s">
        <v>947</v>
      </c>
      <c r="F664" t="s">
        <v>1371</v>
      </c>
      <c r="G664" t="s">
        <v>1540</v>
      </c>
      <c r="H664" t="s">
        <v>59</v>
      </c>
    </row>
    <row r="665" spans="1:8">
      <c r="A665">
        <v>196390</v>
      </c>
      <c r="B665" t="s">
        <v>2362</v>
      </c>
      <c r="C665" t="s">
        <v>2330</v>
      </c>
      <c r="D665" t="s">
        <v>1439</v>
      </c>
      <c r="E665" t="s">
        <v>1191</v>
      </c>
      <c r="F665" t="s">
        <v>1381</v>
      </c>
      <c r="G665" t="s">
        <v>1541</v>
      </c>
      <c r="H665" t="s">
        <v>65</v>
      </c>
    </row>
    <row r="666" spans="1:8">
      <c r="A666">
        <v>344478</v>
      </c>
      <c r="B666" t="s">
        <v>2363</v>
      </c>
      <c r="C666" t="s">
        <v>2331</v>
      </c>
      <c r="D666" t="s">
        <v>1439</v>
      </c>
      <c r="E666" t="s">
        <v>1191</v>
      </c>
      <c r="F666" t="s">
        <v>1381</v>
      </c>
      <c r="G666" t="s">
        <v>1541</v>
      </c>
      <c r="H666" t="s">
        <v>65</v>
      </c>
    </row>
    <row r="667" spans="1:8">
      <c r="A667">
        <v>344480</v>
      </c>
      <c r="B667" t="s">
        <v>2364</v>
      </c>
      <c r="C667" t="s">
        <v>2332</v>
      </c>
      <c r="D667" t="s">
        <v>1439</v>
      </c>
      <c r="E667" t="s">
        <v>1191</v>
      </c>
      <c r="F667" t="s">
        <v>1381</v>
      </c>
      <c r="G667" t="s">
        <v>1541</v>
      </c>
      <c r="H667" t="s">
        <v>65</v>
      </c>
    </row>
    <row r="668" spans="1:8">
      <c r="A668">
        <v>297576</v>
      </c>
      <c r="B668" t="s">
        <v>2365</v>
      </c>
      <c r="C668" t="s">
        <v>2333</v>
      </c>
      <c r="D668" t="s">
        <v>1439</v>
      </c>
      <c r="E668" t="s">
        <v>1273</v>
      </c>
      <c r="F668" t="s">
        <v>1374</v>
      </c>
      <c r="G668" t="s">
        <v>1536</v>
      </c>
      <c r="H668" t="s">
        <v>67</v>
      </c>
    </row>
    <row r="669" spans="1:8">
      <c r="A669">
        <v>265405</v>
      </c>
      <c r="B669" t="s">
        <v>2366</v>
      </c>
      <c r="C669" t="s">
        <v>2334</v>
      </c>
      <c r="D669" t="s">
        <v>1439</v>
      </c>
      <c r="E669" t="s">
        <v>1273</v>
      </c>
      <c r="F669" t="s">
        <v>1374</v>
      </c>
      <c r="G669" t="s">
        <v>1536</v>
      </c>
      <c r="H669" t="s">
        <v>67</v>
      </c>
    </row>
    <row r="670" spans="1:8">
      <c r="A670">
        <v>344496</v>
      </c>
      <c r="B670" t="s">
        <v>2367</v>
      </c>
      <c r="C670" t="s">
        <v>2335</v>
      </c>
      <c r="D670" t="s">
        <v>1439</v>
      </c>
      <c r="E670" t="s">
        <v>1344</v>
      </c>
      <c r="F670" t="s">
        <v>604</v>
      </c>
      <c r="G670" t="s">
        <v>1541</v>
      </c>
      <c r="H670" t="s">
        <v>65</v>
      </c>
    </row>
    <row r="671" spans="1:8">
      <c r="A671">
        <v>344505</v>
      </c>
      <c r="B671" t="s">
        <v>2368</v>
      </c>
      <c r="C671" t="s">
        <v>2336</v>
      </c>
      <c r="D671" t="s">
        <v>1439</v>
      </c>
      <c r="E671" t="s">
        <v>1213</v>
      </c>
      <c r="F671" t="s">
        <v>1374</v>
      </c>
      <c r="G671" t="s">
        <v>1536</v>
      </c>
      <c r="H671" t="s">
        <v>67</v>
      </c>
    </row>
    <row r="672" spans="1:8">
      <c r="A672">
        <v>249251</v>
      </c>
      <c r="B672" t="s">
        <v>2369</v>
      </c>
      <c r="C672" t="s">
        <v>2337</v>
      </c>
      <c r="D672" t="s">
        <v>1439</v>
      </c>
      <c r="E672" t="s">
        <v>1338</v>
      </c>
      <c r="F672" t="s">
        <v>1381</v>
      </c>
      <c r="G672" t="s">
        <v>1541</v>
      </c>
      <c r="H672" t="s">
        <v>65</v>
      </c>
    </row>
    <row r="673" spans="1:8">
      <c r="A673">
        <v>278343</v>
      </c>
      <c r="B673" t="s">
        <v>2370</v>
      </c>
      <c r="C673" t="s">
        <v>2338</v>
      </c>
      <c r="D673" t="s">
        <v>1439</v>
      </c>
      <c r="E673" t="s">
        <v>1191</v>
      </c>
      <c r="F673" t="s">
        <v>1381</v>
      </c>
      <c r="G673" t="s">
        <v>1541</v>
      </c>
      <c r="H673" t="s">
        <v>65</v>
      </c>
    </row>
    <row r="674" spans="1:8">
      <c r="A674">
        <v>344514</v>
      </c>
      <c r="B674" t="s">
        <v>2371</v>
      </c>
      <c r="C674" t="s">
        <v>2339</v>
      </c>
      <c r="D674" t="s">
        <v>1439</v>
      </c>
      <c r="E674" t="s">
        <v>476</v>
      </c>
      <c r="F674" t="s">
        <v>1374</v>
      </c>
      <c r="G674" t="s">
        <v>1536</v>
      </c>
      <c r="H674" t="s">
        <v>67</v>
      </c>
    </row>
    <row r="675" spans="1:8">
      <c r="A675">
        <v>344653</v>
      </c>
      <c r="B675" t="s">
        <v>2372</v>
      </c>
      <c r="C675" t="s">
        <v>2340</v>
      </c>
      <c r="D675" t="s">
        <v>1439</v>
      </c>
      <c r="E675" t="s">
        <v>1344</v>
      </c>
      <c r="F675" t="s">
        <v>604</v>
      </c>
      <c r="G675" t="s">
        <v>1541</v>
      </c>
      <c r="H675" t="s">
        <v>65</v>
      </c>
    </row>
    <row r="676" spans="1:8">
      <c r="A676">
        <v>344655</v>
      </c>
      <c r="B676" t="s">
        <v>2373</v>
      </c>
      <c r="C676" t="s">
        <v>2748</v>
      </c>
      <c r="D676" t="s">
        <v>1439</v>
      </c>
      <c r="E676" t="s">
        <v>947</v>
      </c>
      <c r="F676" t="s">
        <v>1371</v>
      </c>
      <c r="G676" t="s">
        <v>1540</v>
      </c>
      <c r="H676" t="s">
        <v>59</v>
      </c>
    </row>
    <row r="677" spans="1:8">
      <c r="A677">
        <v>344658</v>
      </c>
      <c r="B677" t="s">
        <v>2374</v>
      </c>
      <c r="C677" t="s">
        <v>2341</v>
      </c>
      <c r="D677" t="s">
        <v>1439</v>
      </c>
      <c r="E677" t="s">
        <v>947</v>
      </c>
      <c r="F677" t="s">
        <v>1371</v>
      </c>
      <c r="G677" t="s">
        <v>1540</v>
      </c>
      <c r="H677" t="s">
        <v>59</v>
      </c>
    </row>
    <row r="678" spans="1:8">
      <c r="A678">
        <v>344811</v>
      </c>
      <c r="B678" t="s">
        <v>2375</v>
      </c>
      <c r="C678" t="s">
        <v>2342</v>
      </c>
      <c r="D678" t="s">
        <v>1439</v>
      </c>
      <c r="E678" t="s">
        <v>1213</v>
      </c>
      <c r="F678" t="s">
        <v>1374</v>
      </c>
      <c r="G678" t="s">
        <v>1536</v>
      </c>
      <c r="H678" t="s">
        <v>67</v>
      </c>
    </row>
    <row r="679" spans="1:8">
      <c r="A679">
        <v>344817</v>
      </c>
      <c r="B679" t="s">
        <v>2376</v>
      </c>
      <c r="C679" t="s">
        <v>2343</v>
      </c>
      <c r="D679" t="s">
        <v>1439</v>
      </c>
      <c r="E679" t="s">
        <v>1344</v>
      </c>
      <c r="F679" t="s">
        <v>604</v>
      </c>
      <c r="G679" t="s">
        <v>1541</v>
      </c>
      <c r="H679" t="s">
        <v>65</v>
      </c>
    </row>
    <row r="680" spans="1:8">
      <c r="A680">
        <v>344841</v>
      </c>
      <c r="B680" t="s">
        <v>2377</v>
      </c>
      <c r="C680" t="s">
        <v>2344</v>
      </c>
      <c r="D680" t="s">
        <v>1439</v>
      </c>
      <c r="E680" t="s">
        <v>1344</v>
      </c>
      <c r="F680" t="s">
        <v>604</v>
      </c>
      <c r="G680" t="s">
        <v>1541</v>
      </c>
      <c r="H680" t="s">
        <v>65</v>
      </c>
    </row>
    <row r="681" spans="1:8">
      <c r="A681">
        <v>344594</v>
      </c>
      <c r="B681" t="s">
        <v>2378</v>
      </c>
      <c r="C681" t="s">
        <v>2345</v>
      </c>
      <c r="D681" t="s">
        <v>1439</v>
      </c>
      <c r="E681" t="s">
        <v>1076</v>
      </c>
      <c r="F681" t="s">
        <v>1374</v>
      </c>
      <c r="G681" t="s">
        <v>1536</v>
      </c>
      <c r="H681" t="s">
        <v>67</v>
      </c>
    </row>
    <row r="682" spans="1:8">
      <c r="A682">
        <v>344657</v>
      </c>
      <c r="B682" t="s">
        <v>2379</v>
      </c>
      <c r="C682" t="s">
        <v>2749</v>
      </c>
      <c r="D682" t="s">
        <v>1439</v>
      </c>
      <c r="E682" t="s">
        <v>1346</v>
      </c>
      <c r="F682" t="s">
        <v>1374</v>
      </c>
      <c r="G682" t="s">
        <v>1536</v>
      </c>
      <c r="H682" t="s">
        <v>67</v>
      </c>
    </row>
    <row r="683" spans="1:8">
      <c r="A683">
        <v>350315</v>
      </c>
      <c r="B683" t="s">
        <v>2464</v>
      </c>
      <c r="C683" t="s">
        <v>2398</v>
      </c>
      <c r="D683" t="s">
        <v>1439</v>
      </c>
      <c r="E683" t="s">
        <v>1346</v>
      </c>
      <c r="F683" t="s">
        <v>1374</v>
      </c>
      <c r="G683" t="s">
        <v>1536</v>
      </c>
      <c r="H683" t="s">
        <v>67</v>
      </c>
    </row>
    <row r="684" spans="1:8">
      <c r="A684">
        <v>344604</v>
      </c>
      <c r="B684" t="s">
        <v>2380</v>
      </c>
      <c r="C684" t="s">
        <v>2346</v>
      </c>
      <c r="D684" t="s">
        <v>1439</v>
      </c>
      <c r="E684" t="s">
        <v>1346</v>
      </c>
      <c r="F684" t="s">
        <v>1374</v>
      </c>
      <c r="G684" t="s">
        <v>1536</v>
      </c>
      <c r="H684" t="s">
        <v>67</v>
      </c>
    </row>
    <row r="685" spans="1:8">
      <c r="A685">
        <v>344612</v>
      </c>
      <c r="B685" t="s">
        <v>2381</v>
      </c>
      <c r="C685" t="s">
        <v>2347</v>
      </c>
      <c r="D685" t="s">
        <v>1439</v>
      </c>
      <c r="E685" t="s">
        <v>1346</v>
      </c>
      <c r="F685" t="s">
        <v>1374</v>
      </c>
      <c r="G685" t="s">
        <v>1536</v>
      </c>
      <c r="H685" t="s">
        <v>67</v>
      </c>
    </row>
    <row r="686" spans="1:8">
      <c r="A686">
        <v>344725</v>
      </c>
      <c r="B686" t="s">
        <v>2382</v>
      </c>
      <c r="C686" t="s">
        <v>2750</v>
      </c>
      <c r="D686" t="s">
        <v>1439</v>
      </c>
      <c r="E686" t="s">
        <v>1346</v>
      </c>
      <c r="F686" t="s">
        <v>1374</v>
      </c>
      <c r="G686" t="s">
        <v>1536</v>
      </c>
      <c r="H686" t="s">
        <v>67</v>
      </c>
    </row>
    <row r="687" spans="1:8">
      <c r="A687">
        <v>344842</v>
      </c>
      <c r="B687" t="s">
        <v>2383</v>
      </c>
      <c r="C687" t="s">
        <v>2348</v>
      </c>
      <c r="D687" t="s">
        <v>1439</v>
      </c>
      <c r="E687" t="s">
        <v>1213</v>
      </c>
      <c r="F687" t="s">
        <v>1374</v>
      </c>
      <c r="G687" t="s">
        <v>1536</v>
      </c>
      <c r="H687" t="s">
        <v>67</v>
      </c>
    </row>
    <row r="688" spans="1:8">
      <c r="A688">
        <v>293594</v>
      </c>
      <c r="B688" t="s">
        <v>783</v>
      </c>
      <c r="C688" t="s">
        <v>1427</v>
      </c>
      <c r="D688" t="s">
        <v>1439</v>
      </c>
      <c r="E688" t="s">
        <v>1191</v>
      </c>
      <c r="F688" t="s">
        <v>1381</v>
      </c>
      <c r="G688" t="s">
        <v>1541</v>
      </c>
      <c r="H688" t="s">
        <v>65</v>
      </c>
    </row>
    <row r="689" spans="1:8">
      <c r="A689">
        <v>345529</v>
      </c>
      <c r="B689" t="s">
        <v>2384</v>
      </c>
      <c r="C689" t="s">
        <v>2349</v>
      </c>
      <c r="D689" t="s">
        <v>1439</v>
      </c>
      <c r="E689" t="s">
        <v>476</v>
      </c>
      <c r="F689" t="s">
        <v>1374</v>
      </c>
      <c r="G689" t="s">
        <v>1536</v>
      </c>
      <c r="H689" t="s">
        <v>67</v>
      </c>
    </row>
    <row r="690" spans="1:8">
      <c r="A690">
        <v>345093</v>
      </c>
      <c r="B690" t="s">
        <v>2385</v>
      </c>
      <c r="C690" t="s">
        <v>2350</v>
      </c>
      <c r="D690" t="s">
        <v>1439</v>
      </c>
      <c r="E690" t="s">
        <v>476</v>
      </c>
      <c r="F690" t="s">
        <v>1374</v>
      </c>
      <c r="G690" t="s">
        <v>1536</v>
      </c>
      <c r="H690" t="s">
        <v>67</v>
      </c>
    </row>
    <row r="691" spans="1:8">
      <c r="A691">
        <v>345095</v>
      </c>
      <c r="B691" t="s">
        <v>2386</v>
      </c>
      <c r="C691" t="s">
        <v>2351</v>
      </c>
      <c r="D691" t="s">
        <v>1439</v>
      </c>
      <c r="E691" t="s">
        <v>1076</v>
      </c>
      <c r="F691" t="s">
        <v>1374</v>
      </c>
      <c r="G691" t="s">
        <v>1536</v>
      </c>
      <c r="H691" t="s">
        <v>67</v>
      </c>
    </row>
    <row r="692" spans="1:8">
      <c r="A692">
        <v>345428</v>
      </c>
      <c r="B692" t="s">
        <v>2387</v>
      </c>
      <c r="C692" t="s">
        <v>2352</v>
      </c>
      <c r="D692" t="s">
        <v>1439</v>
      </c>
      <c r="E692" t="s">
        <v>1076</v>
      </c>
      <c r="F692" t="s">
        <v>1374</v>
      </c>
      <c r="G692" t="s">
        <v>1536</v>
      </c>
      <c r="H692" t="s">
        <v>67</v>
      </c>
    </row>
    <row r="693" spans="1:8">
      <c r="A693">
        <v>345091</v>
      </c>
      <c r="B693" t="s">
        <v>2388</v>
      </c>
      <c r="C693" t="s">
        <v>2353</v>
      </c>
      <c r="D693" t="s">
        <v>1439</v>
      </c>
      <c r="E693" t="s">
        <v>584</v>
      </c>
      <c r="F693" t="s">
        <v>1374</v>
      </c>
      <c r="G693" t="s">
        <v>1536</v>
      </c>
      <c r="H693" t="s">
        <v>67</v>
      </c>
    </row>
    <row r="694" spans="1:8">
      <c r="A694">
        <v>345085</v>
      </c>
      <c r="B694" t="s">
        <v>2389</v>
      </c>
      <c r="C694" t="s">
        <v>2354</v>
      </c>
      <c r="D694" t="s">
        <v>1439</v>
      </c>
      <c r="E694" t="s">
        <v>584</v>
      </c>
      <c r="F694" t="s">
        <v>1374</v>
      </c>
      <c r="G694" t="s">
        <v>1536</v>
      </c>
      <c r="H694" t="s">
        <v>67</v>
      </c>
    </row>
    <row r="695" spans="1:8">
      <c r="A695">
        <v>345089</v>
      </c>
      <c r="B695" t="s">
        <v>2390</v>
      </c>
      <c r="C695" t="s">
        <v>2355</v>
      </c>
      <c r="D695" t="s">
        <v>1439</v>
      </c>
      <c r="E695" t="s">
        <v>1273</v>
      </c>
      <c r="F695" t="s">
        <v>1374</v>
      </c>
      <c r="G695" t="s">
        <v>1536</v>
      </c>
      <c r="H695" t="s">
        <v>67</v>
      </c>
    </row>
    <row r="696" spans="1:8">
      <c r="A696">
        <v>345531</v>
      </c>
      <c r="B696" t="s">
        <v>2391</v>
      </c>
      <c r="C696" t="s">
        <v>2356</v>
      </c>
      <c r="D696" t="s">
        <v>1439</v>
      </c>
      <c r="E696" t="s">
        <v>791</v>
      </c>
      <c r="F696" t="s">
        <v>1381</v>
      </c>
      <c r="G696" t="s">
        <v>1541</v>
      </c>
      <c r="H696" t="s">
        <v>65</v>
      </c>
    </row>
    <row r="697" spans="1:8">
      <c r="A697">
        <v>345533</v>
      </c>
      <c r="B697" t="s">
        <v>2392</v>
      </c>
      <c r="C697" t="s">
        <v>2751</v>
      </c>
      <c r="D697" t="s">
        <v>1439</v>
      </c>
      <c r="E697" t="s">
        <v>791</v>
      </c>
      <c r="F697" t="s">
        <v>1381</v>
      </c>
      <c r="G697" t="s">
        <v>1541</v>
      </c>
      <c r="H697" t="s">
        <v>65</v>
      </c>
    </row>
    <row r="698" spans="1:8">
      <c r="A698">
        <v>347451</v>
      </c>
      <c r="B698" t="s">
        <v>2465</v>
      </c>
      <c r="C698" t="s">
        <v>2399</v>
      </c>
      <c r="D698" t="s">
        <v>1439</v>
      </c>
      <c r="E698" t="s">
        <v>1076</v>
      </c>
      <c r="F698" t="s">
        <v>1374</v>
      </c>
      <c r="G698" t="s">
        <v>1536</v>
      </c>
      <c r="H698" t="s">
        <v>67</v>
      </c>
    </row>
    <row r="699" spans="1:8">
      <c r="A699">
        <v>346465</v>
      </c>
      <c r="B699" t="s">
        <v>2466</v>
      </c>
      <c r="C699" t="s">
        <v>2400</v>
      </c>
      <c r="D699" t="s">
        <v>1439</v>
      </c>
      <c r="E699" t="s">
        <v>476</v>
      </c>
      <c r="F699" t="s">
        <v>1374</v>
      </c>
      <c r="G699" t="s">
        <v>1536</v>
      </c>
      <c r="H699" t="s">
        <v>67</v>
      </c>
    </row>
    <row r="700" spans="1:8">
      <c r="A700">
        <v>260269</v>
      </c>
      <c r="B700" t="s">
        <v>1388</v>
      </c>
      <c r="C700" t="s">
        <v>1361</v>
      </c>
      <c r="D700" t="s">
        <v>1439</v>
      </c>
      <c r="E700" t="s">
        <v>1213</v>
      </c>
      <c r="F700" t="s">
        <v>1374</v>
      </c>
      <c r="G700" t="s">
        <v>1536</v>
      </c>
      <c r="H700" t="s">
        <v>67</v>
      </c>
    </row>
    <row r="701" spans="1:8">
      <c r="A701">
        <v>243331</v>
      </c>
      <c r="B701" t="s">
        <v>1392</v>
      </c>
      <c r="C701" t="s">
        <v>1365</v>
      </c>
      <c r="D701" t="s">
        <v>1439</v>
      </c>
      <c r="E701" t="s">
        <v>1213</v>
      </c>
      <c r="F701" t="s">
        <v>1374</v>
      </c>
      <c r="G701" t="s">
        <v>1536</v>
      </c>
      <c r="H701" t="s">
        <v>67</v>
      </c>
    </row>
    <row r="702" spans="1:8">
      <c r="A702">
        <v>325894</v>
      </c>
      <c r="B702" t="s">
        <v>1580</v>
      </c>
      <c r="C702" t="s">
        <v>1581</v>
      </c>
      <c r="D702" t="s">
        <v>1439</v>
      </c>
      <c r="E702" t="s">
        <v>584</v>
      </c>
      <c r="F702" t="s">
        <v>1374</v>
      </c>
      <c r="G702" t="s">
        <v>1536</v>
      </c>
      <c r="H702" t="s">
        <v>67</v>
      </c>
    </row>
    <row r="703" spans="1:8">
      <c r="A703">
        <v>298971</v>
      </c>
      <c r="B703" t="s">
        <v>2467</v>
      </c>
      <c r="C703" t="s">
        <v>2401</v>
      </c>
      <c r="D703" t="s">
        <v>1439</v>
      </c>
      <c r="E703" t="s">
        <v>1344</v>
      </c>
      <c r="F703" t="s">
        <v>604</v>
      </c>
      <c r="G703" t="s">
        <v>1541</v>
      </c>
      <c r="H703" t="s">
        <v>65</v>
      </c>
    </row>
    <row r="704" spans="1:8">
      <c r="A704">
        <v>349918</v>
      </c>
      <c r="B704" t="s">
        <v>2468</v>
      </c>
      <c r="C704" t="s">
        <v>2402</v>
      </c>
      <c r="D704" t="s">
        <v>1439</v>
      </c>
      <c r="E704" t="s">
        <v>1344</v>
      </c>
      <c r="F704" t="s">
        <v>604</v>
      </c>
      <c r="G704" t="s">
        <v>1541</v>
      </c>
      <c r="H704" t="s">
        <v>65</v>
      </c>
    </row>
    <row r="705" spans="1:8">
      <c r="A705">
        <v>350056</v>
      </c>
      <c r="B705" t="s">
        <v>2469</v>
      </c>
      <c r="C705" t="s">
        <v>2403</v>
      </c>
      <c r="D705" t="s">
        <v>1439</v>
      </c>
      <c r="E705" t="s">
        <v>1344</v>
      </c>
      <c r="F705" t="s">
        <v>604</v>
      </c>
      <c r="G705" t="s">
        <v>1541</v>
      </c>
      <c r="H705" t="s">
        <v>65</v>
      </c>
    </row>
    <row r="706" spans="1:8">
      <c r="A706">
        <v>350043</v>
      </c>
      <c r="B706" t="s">
        <v>2470</v>
      </c>
      <c r="C706" t="s">
        <v>2404</v>
      </c>
      <c r="D706" t="s">
        <v>1439</v>
      </c>
      <c r="E706" t="s">
        <v>791</v>
      </c>
      <c r="F706" t="s">
        <v>1381</v>
      </c>
      <c r="G706" t="s">
        <v>1541</v>
      </c>
      <c r="H706" t="s">
        <v>65</v>
      </c>
    </row>
    <row r="707" spans="1:8">
      <c r="A707">
        <v>350046</v>
      </c>
      <c r="B707" t="s">
        <v>2471</v>
      </c>
      <c r="C707" t="s">
        <v>2405</v>
      </c>
      <c r="D707" t="s">
        <v>1439</v>
      </c>
      <c r="E707" t="s">
        <v>791</v>
      </c>
      <c r="F707" t="s">
        <v>1381</v>
      </c>
      <c r="G707" t="s">
        <v>1541</v>
      </c>
      <c r="H707" t="s">
        <v>65</v>
      </c>
    </row>
    <row r="708" spans="1:8">
      <c r="A708">
        <v>350082</v>
      </c>
      <c r="B708" t="s">
        <v>2472</v>
      </c>
      <c r="C708" t="s">
        <v>2406</v>
      </c>
      <c r="D708" t="s">
        <v>1439</v>
      </c>
      <c r="E708" t="s">
        <v>791</v>
      </c>
      <c r="F708" t="s">
        <v>1381</v>
      </c>
      <c r="G708" t="s">
        <v>1541</v>
      </c>
      <c r="H708" t="s">
        <v>65</v>
      </c>
    </row>
    <row r="709" spans="1:8">
      <c r="A709">
        <v>350053</v>
      </c>
      <c r="B709" t="s">
        <v>2473</v>
      </c>
      <c r="C709" t="s">
        <v>2407</v>
      </c>
      <c r="D709" t="s">
        <v>1439</v>
      </c>
      <c r="E709" t="s">
        <v>2395</v>
      </c>
      <c r="F709" t="s">
        <v>604</v>
      </c>
      <c r="G709" t="s">
        <v>1541</v>
      </c>
      <c r="H709" t="s">
        <v>65</v>
      </c>
    </row>
    <row r="710" spans="1:8">
      <c r="A710">
        <v>349989</v>
      </c>
      <c r="B710" t="s">
        <v>2474</v>
      </c>
      <c r="C710" t="s">
        <v>2408</v>
      </c>
      <c r="D710" t="s">
        <v>1439</v>
      </c>
      <c r="E710" t="s">
        <v>512</v>
      </c>
      <c r="F710" t="s">
        <v>604</v>
      </c>
      <c r="G710" t="s">
        <v>1541</v>
      </c>
      <c r="H710" t="s">
        <v>65</v>
      </c>
    </row>
    <row r="711" spans="1:8">
      <c r="A711">
        <v>349993</v>
      </c>
      <c r="B711" t="s">
        <v>2475</v>
      </c>
      <c r="C711" t="s">
        <v>2409</v>
      </c>
      <c r="D711" t="s">
        <v>1439</v>
      </c>
      <c r="E711" t="s">
        <v>512</v>
      </c>
      <c r="F711" t="s">
        <v>604</v>
      </c>
      <c r="G711" t="s">
        <v>1541</v>
      </c>
      <c r="H711" t="s">
        <v>65</v>
      </c>
    </row>
    <row r="712" spans="1:8">
      <c r="A712">
        <v>266743</v>
      </c>
      <c r="B712" t="s">
        <v>2476</v>
      </c>
      <c r="C712" t="s">
        <v>2410</v>
      </c>
      <c r="D712" t="s">
        <v>1439</v>
      </c>
      <c r="E712" t="s">
        <v>476</v>
      </c>
      <c r="F712" t="s">
        <v>1374</v>
      </c>
      <c r="G712" t="s">
        <v>1536</v>
      </c>
      <c r="H712" t="s">
        <v>67</v>
      </c>
    </row>
    <row r="713" spans="1:8">
      <c r="A713">
        <v>349984</v>
      </c>
      <c r="B713" t="s">
        <v>2477</v>
      </c>
      <c r="C713" t="s">
        <v>2411</v>
      </c>
      <c r="D713" t="s">
        <v>1439</v>
      </c>
      <c r="E713" t="s">
        <v>476</v>
      </c>
      <c r="F713" t="s">
        <v>1374</v>
      </c>
      <c r="G713" t="s">
        <v>1536</v>
      </c>
      <c r="H713" t="s">
        <v>67</v>
      </c>
    </row>
    <row r="714" spans="1:8">
      <c r="A714">
        <v>349991</v>
      </c>
      <c r="B714" t="s">
        <v>2478</v>
      </c>
      <c r="C714" t="s">
        <v>2412</v>
      </c>
      <c r="D714" t="s">
        <v>1439</v>
      </c>
      <c r="E714" t="s">
        <v>584</v>
      </c>
      <c r="F714" t="s">
        <v>1374</v>
      </c>
      <c r="G714" t="s">
        <v>1536</v>
      </c>
      <c r="H714" t="s">
        <v>67</v>
      </c>
    </row>
    <row r="715" spans="1:8">
      <c r="A715">
        <v>299080</v>
      </c>
      <c r="B715" t="s">
        <v>2479</v>
      </c>
      <c r="C715" t="s">
        <v>2413</v>
      </c>
      <c r="D715" t="s">
        <v>1439</v>
      </c>
      <c r="E715" t="s">
        <v>584</v>
      </c>
      <c r="F715" t="s">
        <v>1374</v>
      </c>
      <c r="G715" t="s">
        <v>1536</v>
      </c>
      <c r="H715" t="s">
        <v>67</v>
      </c>
    </row>
    <row r="716" spans="1:8">
      <c r="A716">
        <v>349986</v>
      </c>
      <c r="B716" t="s">
        <v>2480</v>
      </c>
      <c r="C716" t="s">
        <v>2414</v>
      </c>
      <c r="D716" t="s">
        <v>1439</v>
      </c>
      <c r="E716" t="s">
        <v>584</v>
      </c>
      <c r="F716" t="s">
        <v>1374</v>
      </c>
      <c r="G716" t="s">
        <v>1536</v>
      </c>
      <c r="H716" t="s">
        <v>67</v>
      </c>
    </row>
    <row r="717" spans="1:8">
      <c r="A717">
        <v>350128</v>
      </c>
      <c r="B717" t="s">
        <v>2481</v>
      </c>
      <c r="C717" t="s">
        <v>2415</v>
      </c>
      <c r="D717" t="s">
        <v>1439</v>
      </c>
      <c r="E717" t="s">
        <v>512</v>
      </c>
      <c r="F717" t="s">
        <v>604</v>
      </c>
      <c r="G717" t="s">
        <v>1541</v>
      </c>
      <c r="H717" t="s">
        <v>65</v>
      </c>
    </row>
    <row r="718" spans="1:8">
      <c r="A718">
        <v>350368</v>
      </c>
      <c r="B718" t="s">
        <v>2482</v>
      </c>
      <c r="C718" t="s">
        <v>2416</v>
      </c>
      <c r="D718" t="s">
        <v>1439</v>
      </c>
      <c r="E718" t="s">
        <v>512</v>
      </c>
      <c r="F718" t="s">
        <v>604</v>
      </c>
      <c r="G718" t="s">
        <v>1541</v>
      </c>
      <c r="H718" t="s">
        <v>65</v>
      </c>
    </row>
    <row r="719" spans="1:8">
      <c r="A719">
        <v>293600</v>
      </c>
      <c r="B719" t="s">
        <v>2483</v>
      </c>
      <c r="C719" t="s">
        <v>2417</v>
      </c>
      <c r="D719" t="s">
        <v>1439</v>
      </c>
      <c r="E719" t="s">
        <v>512</v>
      </c>
      <c r="F719" t="s">
        <v>604</v>
      </c>
      <c r="G719" t="s">
        <v>1541</v>
      </c>
      <c r="H719" t="s">
        <v>65</v>
      </c>
    </row>
    <row r="720" spans="1:8">
      <c r="A720">
        <v>350317</v>
      </c>
      <c r="B720" t="s">
        <v>2484</v>
      </c>
      <c r="C720" t="s">
        <v>2418</v>
      </c>
      <c r="D720" t="s">
        <v>1439</v>
      </c>
      <c r="E720" t="s">
        <v>512</v>
      </c>
      <c r="F720" t="s">
        <v>604</v>
      </c>
      <c r="G720" t="s">
        <v>1541</v>
      </c>
      <c r="H720" t="s">
        <v>65</v>
      </c>
    </row>
    <row r="721" spans="1:8">
      <c r="A721">
        <v>350342</v>
      </c>
      <c r="B721" t="s">
        <v>2485</v>
      </c>
      <c r="C721" t="s">
        <v>2752</v>
      </c>
      <c r="D721" t="s">
        <v>1439</v>
      </c>
      <c r="E721" t="s">
        <v>791</v>
      </c>
      <c r="F721" t="s">
        <v>1381</v>
      </c>
      <c r="G721" t="s">
        <v>1541</v>
      </c>
      <c r="H721" t="s">
        <v>65</v>
      </c>
    </row>
    <row r="722" spans="1:8">
      <c r="A722">
        <v>350349</v>
      </c>
      <c r="B722" t="s">
        <v>2486</v>
      </c>
      <c r="C722" t="s">
        <v>2753</v>
      </c>
      <c r="D722" t="s">
        <v>1439</v>
      </c>
      <c r="E722" t="s">
        <v>791</v>
      </c>
      <c r="F722" t="s">
        <v>1381</v>
      </c>
      <c r="G722" t="s">
        <v>1541</v>
      </c>
      <c r="H722" t="s">
        <v>65</v>
      </c>
    </row>
    <row r="723" spans="1:8">
      <c r="A723">
        <v>350327</v>
      </c>
      <c r="B723" t="s">
        <v>2487</v>
      </c>
      <c r="C723" t="s">
        <v>2419</v>
      </c>
      <c r="D723" t="s">
        <v>1439</v>
      </c>
      <c r="E723" t="s">
        <v>791</v>
      </c>
      <c r="F723" t="s">
        <v>1381</v>
      </c>
      <c r="G723" t="s">
        <v>1541</v>
      </c>
      <c r="H723" t="s">
        <v>65</v>
      </c>
    </row>
    <row r="724" spans="1:8">
      <c r="A724">
        <v>350364</v>
      </c>
      <c r="B724" t="s">
        <v>2488</v>
      </c>
      <c r="C724" t="s">
        <v>2420</v>
      </c>
      <c r="D724" t="s">
        <v>1439</v>
      </c>
      <c r="E724" t="s">
        <v>1273</v>
      </c>
      <c r="F724" t="s">
        <v>1374</v>
      </c>
      <c r="G724" t="s">
        <v>1536</v>
      </c>
      <c r="H724" t="s">
        <v>67</v>
      </c>
    </row>
    <row r="725" spans="1:8">
      <c r="A725">
        <v>349506</v>
      </c>
      <c r="B725" t="s">
        <v>2489</v>
      </c>
      <c r="C725" t="s">
        <v>2421</v>
      </c>
      <c r="D725" t="s">
        <v>1439</v>
      </c>
      <c r="E725" t="s">
        <v>1338</v>
      </c>
      <c r="F725" t="s">
        <v>1381</v>
      </c>
      <c r="G725" t="s">
        <v>1561</v>
      </c>
      <c r="H725" t="s">
        <v>65</v>
      </c>
    </row>
    <row r="726" spans="1:8">
      <c r="A726">
        <v>349574</v>
      </c>
      <c r="B726" t="s">
        <v>2490</v>
      </c>
      <c r="C726" t="s">
        <v>2422</v>
      </c>
      <c r="D726" t="s">
        <v>1439</v>
      </c>
      <c r="E726" t="s">
        <v>1338</v>
      </c>
      <c r="F726" t="s">
        <v>1381</v>
      </c>
      <c r="G726" t="s">
        <v>1561</v>
      </c>
      <c r="H726" t="s">
        <v>65</v>
      </c>
    </row>
    <row r="727" spans="1:8">
      <c r="A727">
        <v>350319</v>
      </c>
      <c r="B727" t="s">
        <v>2491</v>
      </c>
      <c r="C727" t="s">
        <v>2423</v>
      </c>
      <c r="D727" t="s">
        <v>1439</v>
      </c>
      <c r="E727" t="s">
        <v>1338</v>
      </c>
      <c r="F727" t="s">
        <v>1381</v>
      </c>
      <c r="G727" t="s">
        <v>1561</v>
      </c>
      <c r="H727" t="s">
        <v>65</v>
      </c>
    </row>
    <row r="728" spans="1:8">
      <c r="A728">
        <v>350321</v>
      </c>
      <c r="B728" t="s">
        <v>2492</v>
      </c>
      <c r="C728" t="s">
        <v>2424</v>
      </c>
      <c r="D728" t="s">
        <v>1439</v>
      </c>
      <c r="E728" t="s">
        <v>1338</v>
      </c>
      <c r="F728" t="s">
        <v>1381</v>
      </c>
      <c r="G728" t="s">
        <v>1561</v>
      </c>
      <c r="H728" t="s">
        <v>65</v>
      </c>
    </row>
    <row r="729" spans="1:8">
      <c r="A729">
        <v>350356</v>
      </c>
      <c r="B729" t="s">
        <v>2493</v>
      </c>
      <c r="C729" t="s">
        <v>2754</v>
      </c>
      <c r="D729" t="s">
        <v>1439</v>
      </c>
      <c r="E729" t="s">
        <v>1346</v>
      </c>
      <c r="F729" t="s">
        <v>1374</v>
      </c>
      <c r="G729" t="s">
        <v>1536</v>
      </c>
      <c r="H729" t="s">
        <v>67</v>
      </c>
    </row>
    <row r="730" spans="1:8">
      <c r="A730">
        <v>350367</v>
      </c>
      <c r="B730" t="s">
        <v>2494</v>
      </c>
      <c r="C730" t="s">
        <v>2425</v>
      </c>
      <c r="D730" t="s">
        <v>1439</v>
      </c>
      <c r="E730" t="s">
        <v>1338</v>
      </c>
      <c r="F730" t="s">
        <v>1381</v>
      </c>
      <c r="G730" t="s">
        <v>1541</v>
      </c>
      <c r="H730" t="s">
        <v>65</v>
      </c>
    </row>
    <row r="731" spans="1:8">
      <c r="A731">
        <v>350344</v>
      </c>
      <c r="B731" t="s">
        <v>2495</v>
      </c>
      <c r="C731" t="s">
        <v>2426</v>
      </c>
      <c r="D731" t="s">
        <v>1439</v>
      </c>
      <c r="E731" t="s">
        <v>1346</v>
      </c>
      <c r="F731" t="s">
        <v>1374</v>
      </c>
      <c r="G731" t="s">
        <v>1536</v>
      </c>
      <c r="H731" t="s">
        <v>67</v>
      </c>
    </row>
    <row r="732" spans="1:8">
      <c r="A732">
        <v>350717</v>
      </c>
      <c r="B732" t="s">
        <v>2496</v>
      </c>
      <c r="C732" t="s">
        <v>2427</v>
      </c>
      <c r="D732" t="s">
        <v>1439</v>
      </c>
      <c r="E732" t="s">
        <v>791</v>
      </c>
      <c r="F732" t="s">
        <v>1381</v>
      </c>
      <c r="G732" t="s">
        <v>1541</v>
      </c>
      <c r="H732" t="s">
        <v>65</v>
      </c>
    </row>
    <row r="733" spans="1:8">
      <c r="A733">
        <v>350720</v>
      </c>
      <c r="B733" t="s">
        <v>2497</v>
      </c>
      <c r="C733" t="s">
        <v>2428</v>
      </c>
      <c r="D733" t="s">
        <v>1439</v>
      </c>
      <c r="E733" t="s">
        <v>2395</v>
      </c>
      <c r="F733" t="s">
        <v>604</v>
      </c>
      <c r="G733" t="s">
        <v>1541</v>
      </c>
      <c r="H733" t="s">
        <v>65</v>
      </c>
    </row>
    <row r="734" spans="1:8">
      <c r="A734">
        <v>350721</v>
      </c>
      <c r="B734" t="s">
        <v>2498</v>
      </c>
      <c r="C734" t="s">
        <v>2429</v>
      </c>
      <c r="D734" t="s">
        <v>1439</v>
      </c>
      <c r="E734" t="s">
        <v>2395</v>
      </c>
      <c r="F734" t="s">
        <v>604</v>
      </c>
      <c r="G734" t="s">
        <v>1541</v>
      </c>
      <c r="H734" t="s">
        <v>65</v>
      </c>
    </row>
    <row r="735" spans="1:8">
      <c r="A735">
        <v>350544</v>
      </c>
      <c r="B735" t="s">
        <v>2499</v>
      </c>
      <c r="C735" t="s">
        <v>2430</v>
      </c>
      <c r="D735" t="s">
        <v>1439</v>
      </c>
      <c r="E735" t="s">
        <v>1076</v>
      </c>
      <c r="F735" t="s">
        <v>1374</v>
      </c>
      <c r="G735" t="s">
        <v>1536</v>
      </c>
      <c r="H735" t="s">
        <v>67</v>
      </c>
    </row>
    <row r="736" spans="1:8">
      <c r="A736">
        <v>350728</v>
      </c>
      <c r="B736" t="s">
        <v>2500</v>
      </c>
      <c r="C736" t="s">
        <v>2431</v>
      </c>
      <c r="D736" t="s">
        <v>1439</v>
      </c>
      <c r="E736" t="s">
        <v>1076</v>
      </c>
      <c r="F736" t="s">
        <v>1374</v>
      </c>
      <c r="G736" t="s">
        <v>1536</v>
      </c>
      <c r="H736" t="s">
        <v>67</v>
      </c>
    </row>
    <row r="737" spans="1:8">
      <c r="A737">
        <v>350730</v>
      </c>
      <c r="B737" t="s">
        <v>2501</v>
      </c>
      <c r="C737" t="s">
        <v>2432</v>
      </c>
      <c r="D737" t="s">
        <v>1439</v>
      </c>
      <c r="E737" t="s">
        <v>2395</v>
      </c>
      <c r="F737" t="s">
        <v>604</v>
      </c>
      <c r="G737" t="s">
        <v>1541</v>
      </c>
      <c r="H737" t="s">
        <v>65</v>
      </c>
    </row>
    <row r="738" spans="1:8">
      <c r="A738">
        <v>350731</v>
      </c>
      <c r="B738" t="s">
        <v>2502</v>
      </c>
      <c r="C738" t="s">
        <v>2433</v>
      </c>
      <c r="D738" t="s">
        <v>1439</v>
      </c>
      <c r="E738" t="s">
        <v>2395</v>
      </c>
      <c r="F738" t="s">
        <v>604</v>
      </c>
      <c r="G738" t="s">
        <v>1541</v>
      </c>
      <c r="H738" t="s">
        <v>65</v>
      </c>
    </row>
    <row r="739" spans="1:8">
      <c r="A739">
        <v>350732</v>
      </c>
      <c r="B739" t="s">
        <v>2503</v>
      </c>
      <c r="C739" t="s">
        <v>2434</v>
      </c>
      <c r="D739" t="s">
        <v>1439</v>
      </c>
      <c r="E739" t="s">
        <v>2395</v>
      </c>
      <c r="F739" t="s">
        <v>604</v>
      </c>
      <c r="G739" t="s">
        <v>1541</v>
      </c>
      <c r="H739" t="s">
        <v>65</v>
      </c>
    </row>
    <row r="740" spans="1:8">
      <c r="A740">
        <v>350553</v>
      </c>
      <c r="B740" t="s">
        <v>2504</v>
      </c>
      <c r="C740" t="s">
        <v>2435</v>
      </c>
      <c r="D740" t="s">
        <v>1439</v>
      </c>
      <c r="E740" t="s">
        <v>1273</v>
      </c>
      <c r="F740" t="s">
        <v>1374</v>
      </c>
      <c r="G740" t="s">
        <v>1536</v>
      </c>
      <c r="H740" t="s">
        <v>67</v>
      </c>
    </row>
    <row r="741" spans="1:8">
      <c r="A741">
        <v>350570</v>
      </c>
      <c r="B741" t="s">
        <v>2505</v>
      </c>
      <c r="C741" t="s">
        <v>2755</v>
      </c>
      <c r="D741" t="s">
        <v>1439</v>
      </c>
      <c r="E741" t="s">
        <v>584</v>
      </c>
      <c r="F741" t="s">
        <v>1374</v>
      </c>
      <c r="G741" t="s">
        <v>1536</v>
      </c>
      <c r="H741" t="s">
        <v>67</v>
      </c>
    </row>
    <row r="742" spans="1:8">
      <c r="A742">
        <v>350716</v>
      </c>
      <c r="B742" t="s">
        <v>2506</v>
      </c>
      <c r="C742" t="s">
        <v>2436</v>
      </c>
      <c r="D742" t="s">
        <v>1439</v>
      </c>
      <c r="E742" t="s">
        <v>584</v>
      </c>
      <c r="F742" t="s">
        <v>1374</v>
      </c>
      <c r="G742" t="s">
        <v>1536</v>
      </c>
      <c r="H742" t="s">
        <v>67</v>
      </c>
    </row>
    <row r="743" spans="1:8">
      <c r="A743">
        <v>350725</v>
      </c>
      <c r="B743" t="s">
        <v>2507</v>
      </c>
      <c r="C743" t="s">
        <v>2437</v>
      </c>
      <c r="D743" t="s">
        <v>1439</v>
      </c>
      <c r="E743" t="s">
        <v>584</v>
      </c>
      <c r="F743" t="s">
        <v>1374</v>
      </c>
      <c r="G743" t="s">
        <v>1536</v>
      </c>
      <c r="H743" t="s">
        <v>67</v>
      </c>
    </row>
    <row r="744" spans="1:8">
      <c r="A744">
        <v>350562</v>
      </c>
      <c r="B744" t="s">
        <v>2508</v>
      </c>
      <c r="C744" t="s">
        <v>2438</v>
      </c>
      <c r="D744" t="s">
        <v>1439</v>
      </c>
      <c r="E744" t="s">
        <v>947</v>
      </c>
      <c r="F744" t="s">
        <v>1371</v>
      </c>
      <c r="G744" t="s">
        <v>1540</v>
      </c>
      <c r="H744" t="s">
        <v>59</v>
      </c>
    </row>
    <row r="745" spans="1:8">
      <c r="A745">
        <v>350928</v>
      </c>
      <c r="B745" t="s">
        <v>2510</v>
      </c>
      <c r="C745" t="s">
        <v>2440</v>
      </c>
      <c r="D745" t="s">
        <v>1439</v>
      </c>
      <c r="E745" t="s">
        <v>1012</v>
      </c>
      <c r="F745" t="s">
        <v>1371</v>
      </c>
      <c r="G745" t="s">
        <v>1540</v>
      </c>
      <c r="H745" t="s">
        <v>59</v>
      </c>
    </row>
    <row r="746" spans="1:8">
      <c r="A746">
        <v>350929</v>
      </c>
      <c r="B746" t="s">
        <v>2511</v>
      </c>
      <c r="C746" t="s">
        <v>2441</v>
      </c>
      <c r="D746" t="s">
        <v>1439</v>
      </c>
      <c r="E746" t="s">
        <v>1012</v>
      </c>
      <c r="F746" t="s">
        <v>1371</v>
      </c>
      <c r="G746" t="s">
        <v>1540</v>
      </c>
      <c r="H746" t="s">
        <v>59</v>
      </c>
    </row>
    <row r="747" spans="1:8">
      <c r="A747">
        <v>350947</v>
      </c>
      <c r="B747" t="s">
        <v>2512</v>
      </c>
      <c r="C747" t="s">
        <v>2442</v>
      </c>
      <c r="D747" t="s">
        <v>1439</v>
      </c>
      <c r="E747" t="s">
        <v>947</v>
      </c>
      <c r="F747" t="s">
        <v>1371</v>
      </c>
      <c r="G747" t="s">
        <v>1540</v>
      </c>
      <c r="H747" t="s">
        <v>59</v>
      </c>
    </row>
    <row r="748" spans="1:8">
      <c r="A748">
        <v>350950</v>
      </c>
      <c r="B748" t="s">
        <v>2513</v>
      </c>
      <c r="C748" t="s">
        <v>2443</v>
      </c>
      <c r="D748" t="s">
        <v>1439</v>
      </c>
      <c r="E748" t="s">
        <v>947</v>
      </c>
      <c r="F748" t="s">
        <v>1371</v>
      </c>
      <c r="G748" t="s">
        <v>1540</v>
      </c>
      <c r="H748" t="s">
        <v>59</v>
      </c>
    </row>
    <row r="749" spans="1:8">
      <c r="A749">
        <v>350930</v>
      </c>
      <c r="B749" t="s">
        <v>2514</v>
      </c>
      <c r="C749" t="s">
        <v>2444</v>
      </c>
      <c r="D749" t="s">
        <v>1439</v>
      </c>
      <c r="E749" t="s">
        <v>1076</v>
      </c>
      <c r="F749" t="s">
        <v>1374</v>
      </c>
      <c r="G749" t="s">
        <v>1536</v>
      </c>
      <c r="H749" t="s">
        <v>67</v>
      </c>
    </row>
    <row r="750" spans="1:8">
      <c r="A750">
        <v>350932</v>
      </c>
      <c r="B750" t="s">
        <v>2515</v>
      </c>
      <c r="C750" t="s">
        <v>2445</v>
      </c>
      <c r="D750" t="s">
        <v>1439</v>
      </c>
      <c r="E750" t="s">
        <v>1076</v>
      </c>
      <c r="F750" t="s">
        <v>1374</v>
      </c>
      <c r="G750" t="s">
        <v>1536</v>
      </c>
      <c r="H750" t="s">
        <v>67</v>
      </c>
    </row>
    <row r="751" spans="1:8">
      <c r="A751">
        <v>350935</v>
      </c>
      <c r="B751" t="s">
        <v>2516</v>
      </c>
      <c r="C751" t="s">
        <v>2446</v>
      </c>
      <c r="D751" t="s">
        <v>1439</v>
      </c>
      <c r="E751" t="s">
        <v>476</v>
      </c>
      <c r="F751" t="s">
        <v>1374</v>
      </c>
      <c r="G751" t="s">
        <v>1536</v>
      </c>
      <c r="H751" t="s">
        <v>67</v>
      </c>
    </row>
    <row r="752" spans="1:8">
      <c r="A752">
        <v>350963</v>
      </c>
      <c r="B752" t="s">
        <v>2517</v>
      </c>
      <c r="C752" t="s">
        <v>2447</v>
      </c>
      <c r="D752" t="s">
        <v>1439</v>
      </c>
      <c r="E752" t="s">
        <v>476</v>
      </c>
      <c r="F752" t="s">
        <v>1374</v>
      </c>
      <c r="G752" t="s">
        <v>1536</v>
      </c>
      <c r="H752" t="s">
        <v>67</v>
      </c>
    </row>
    <row r="753" spans="1:8">
      <c r="A753">
        <v>350958</v>
      </c>
      <c r="B753" t="s">
        <v>2518</v>
      </c>
      <c r="C753" t="s">
        <v>2448</v>
      </c>
      <c r="D753" t="s">
        <v>1439</v>
      </c>
      <c r="E753" t="s">
        <v>584</v>
      </c>
      <c r="F753" t="s">
        <v>1374</v>
      </c>
      <c r="G753" t="s">
        <v>1536</v>
      </c>
      <c r="H753" t="s">
        <v>67</v>
      </c>
    </row>
    <row r="754" spans="1:8">
      <c r="A754">
        <v>350669</v>
      </c>
      <c r="B754" t="s">
        <v>2519</v>
      </c>
      <c r="C754" t="s">
        <v>2449</v>
      </c>
      <c r="D754" t="s">
        <v>1439</v>
      </c>
      <c r="E754" t="s">
        <v>692</v>
      </c>
      <c r="F754" t="s">
        <v>1371</v>
      </c>
      <c r="G754" t="s">
        <v>1540</v>
      </c>
      <c r="H754" t="s">
        <v>59</v>
      </c>
    </row>
    <row r="755" spans="1:8">
      <c r="A755">
        <v>350667</v>
      </c>
      <c r="B755" t="s">
        <v>2520</v>
      </c>
      <c r="C755" t="s">
        <v>2756</v>
      </c>
      <c r="D755" t="s">
        <v>1439</v>
      </c>
      <c r="E755" t="s">
        <v>692</v>
      </c>
      <c r="F755" t="s">
        <v>1371</v>
      </c>
      <c r="G755" t="s">
        <v>1540</v>
      </c>
      <c r="H755" t="s">
        <v>59</v>
      </c>
    </row>
    <row r="756" spans="1:8">
      <c r="A756">
        <v>234560</v>
      </c>
      <c r="B756" t="s">
        <v>2521</v>
      </c>
      <c r="C756" t="s">
        <v>2450</v>
      </c>
      <c r="D756" t="s">
        <v>1439</v>
      </c>
      <c r="E756" t="s">
        <v>512</v>
      </c>
      <c r="F756" t="s">
        <v>604</v>
      </c>
      <c r="G756" t="s">
        <v>1541</v>
      </c>
      <c r="H756" t="s">
        <v>65</v>
      </c>
    </row>
    <row r="757" spans="1:8">
      <c r="A757">
        <v>351240</v>
      </c>
      <c r="B757" t="s">
        <v>2522</v>
      </c>
      <c r="C757" t="s">
        <v>2451</v>
      </c>
      <c r="D757" t="s">
        <v>1439</v>
      </c>
      <c r="E757" t="s">
        <v>512</v>
      </c>
      <c r="F757" t="s">
        <v>604</v>
      </c>
      <c r="G757" t="s">
        <v>1541</v>
      </c>
      <c r="H757" t="s">
        <v>65</v>
      </c>
    </row>
    <row r="758" spans="1:8">
      <c r="A758">
        <v>350936</v>
      </c>
      <c r="B758" t="s">
        <v>2523</v>
      </c>
      <c r="C758" t="s">
        <v>2452</v>
      </c>
      <c r="D758" t="s">
        <v>1439</v>
      </c>
      <c r="E758" t="s">
        <v>2395</v>
      </c>
      <c r="F758" t="s">
        <v>604</v>
      </c>
      <c r="G758" t="s">
        <v>1541</v>
      </c>
      <c r="H758" t="s">
        <v>65</v>
      </c>
    </row>
    <row r="759" spans="1:8">
      <c r="A759">
        <v>351305</v>
      </c>
      <c r="B759" t="s">
        <v>2524</v>
      </c>
      <c r="C759" t="s">
        <v>2453</v>
      </c>
      <c r="D759" t="s">
        <v>1439</v>
      </c>
      <c r="E759" t="s">
        <v>584</v>
      </c>
      <c r="F759" t="s">
        <v>1374</v>
      </c>
      <c r="G759" t="s">
        <v>1536</v>
      </c>
      <c r="H759" t="s">
        <v>67</v>
      </c>
    </row>
    <row r="760" spans="1:8">
      <c r="A760">
        <v>351254</v>
      </c>
      <c r="B760" t="s">
        <v>2525</v>
      </c>
      <c r="C760" t="s">
        <v>2454</v>
      </c>
      <c r="D760" t="s">
        <v>1439</v>
      </c>
      <c r="E760" t="s">
        <v>791</v>
      </c>
      <c r="F760" t="s">
        <v>1381</v>
      </c>
      <c r="G760" t="s">
        <v>1541</v>
      </c>
      <c r="H760" t="s">
        <v>65</v>
      </c>
    </row>
    <row r="761" spans="1:8">
      <c r="A761">
        <v>351231</v>
      </c>
      <c r="B761" t="s">
        <v>2526</v>
      </c>
      <c r="C761" t="s">
        <v>2455</v>
      </c>
      <c r="D761" t="s">
        <v>1439</v>
      </c>
      <c r="E761" t="s">
        <v>1012</v>
      </c>
      <c r="F761" t="s">
        <v>1371</v>
      </c>
      <c r="G761" t="s">
        <v>1540</v>
      </c>
      <c r="H761" t="s">
        <v>59</v>
      </c>
    </row>
    <row r="762" spans="1:8">
      <c r="A762">
        <v>351263</v>
      </c>
      <c r="B762" t="s">
        <v>2527</v>
      </c>
      <c r="C762" t="s">
        <v>2456</v>
      </c>
      <c r="D762" t="s">
        <v>1439</v>
      </c>
      <c r="E762" t="s">
        <v>1273</v>
      </c>
      <c r="F762" t="s">
        <v>1374</v>
      </c>
      <c r="G762" t="s">
        <v>1536</v>
      </c>
      <c r="H762" t="s">
        <v>67</v>
      </c>
    </row>
    <row r="763" spans="1:8">
      <c r="A763">
        <v>351294</v>
      </c>
      <c r="B763" t="s">
        <v>2528</v>
      </c>
      <c r="C763" t="s">
        <v>2457</v>
      </c>
      <c r="D763" t="s">
        <v>1439</v>
      </c>
      <c r="E763" t="s">
        <v>1273</v>
      </c>
      <c r="F763" t="s">
        <v>1374</v>
      </c>
      <c r="G763" t="s">
        <v>1536</v>
      </c>
      <c r="H763" t="s">
        <v>67</v>
      </c>
    </row>
    <row r="764" spans="1:8">
      <c r="A764">
        <v>351296</v>
      </c>
      <c r="B764" t="s">
        <v>2529</v>
      </c>
      <c r="C764" t="s">
        <v>2458</v>
      </c>
      <c r="D764" t="s">
        <v>1439</v>
      </c>
      <c r="E764" t="s">
        <v>1273</v>
      </c>
      <c r="F764" t="s">
        <v>1374</v>
      </c>
      <c r="G764" t="s">
        <v>1536</v>
      </c>
      <c r="H764" t="s">
        <v>67</v>
      </c>
    </row>
    <row r="765" spans="1:8">
      <c r="A765">
        <v>297538</v>
      </c>
      <c r="B765" t="s">
        <v>2530</v>
      </c>
      <c r="C765" t="s">
        <v>2459</v>
      </c>
      <c r="D765" t="s">
        <v>1439</v>
      </c>
      <c r="E765" t="s">
        <v>1273</v>
      </c>
      <c r="F765" t="s">
        <v>1374</v>
      </c>
      <c r="G765" t="s">
        <v>1536</v>
      </c>
      <c r="H765" t="s">
        <v>67</v>
      </c>
    </row>
    <row r="766" spans="1:8">
      <c r="A766">
        <v>351216</v>
      </c>
      <c r="B766" t="s">
        <v>2531</v>
      </c>
      <c r="C766" t="s">
        <v>2460</v>
      </c>
      <c r="D766" t="s">
        <v>1439</v>
      </c>
      <c r="E766" t="s">
        <v>1346</v>
      </c>
      <c r="F766" t="s">
        <v>1374</v>
      </c>
      <c r="G766" t="s">
        <v>1536</v>
      </c>
      <c r="H766" t="s">
        <v>67</v>
      </c>
    </row>
    <row r="767" spans="1:8">
      <c r="A767">
        <v>351230</v>
      </c>
      <c r="B767" t="s">
        <v>2532</v>
      </c>
      <c r="C767" t="s">
        <v>2461</v>
      </c>
      <c r="D767" t="s">
        <v>1439</v>
      </c>
      <c r="E767" t="s">
        <v>1338</v>
      </c>
      <c r="F767" t="s">
        <v>1381</v>
      </c>
      <c r="G767" t="s">
        <v>1541</v>
      </c>
      <c r="H767" t="s">
        <v>65</v>
      </c>
    </row>
    <row r="768" spans="1:8">
      <c r="A768">
        <v>351250</v>
      </c>
      <c r="B768" t="s">
        <v>2533</v>
      </c>
      <c r="C768" t="s">
        <v>2462</v>
      </c>
      <c r="D768" t="s">
        <v>1439</v>
      </c>
      <c r="E768" t="s">
        <v>1207</v>
      </c>
      <c r="F768" t="s">
        <v>1375</v>
      </c>
      <c r="G768" t="s">
        <v>1543</v>
      </c>
      <c r="H768" t="s">
        <v>66</v>
      </c>
    </row>
    <row r="769" spans="1:8">
      <c r="A769">
        <v>351509</v>
      </c>
      <c r="B769" t="s">
        <v>2562</v>
      </c>
      <c r="C769" t="s">
        <v>2534</v>
      </c>
      <c r="D769" t="s">
        <v>1439</v>
      </c>
      <c r="E769" t="s">
        <v>791</v>
      </c>
      <c r="F769" t="s">
        <v>1381</v>
      </c>
      <c r="G769" t="s">
        <v>1541</v>
      </c>
      <c r="H769" t="s">
        <v>65</v>
      </c>
    </row>
    <row r="770" spans="1:8">
      <c r="A770">
        <v>351460</v>
      </c>
      <c r="B770" t="s">
        <v>2563</v>
      </c>
      <c r="C770" t="s">
        <v>2535</v>
      </c>
      <c r="D770" t="s">
        <v>1439</v>
      </c>
      <c r="E770" t="s">
        <v>791</v>
      </c>
      <c r="F770" t="s">
        <v>1381</v>
      </c>
      <c r="G770" t="s">
        <v>1541</v>
      </c>
      <c r="H770" t="s">
        <v>65</v>
      </c>
    </row>
    <row r="771" spans="1:8">
      <c r="A771">
        <v>351513</v>
      </c>
      <c r="B771" t="s">
        <v>2564</v>
      </c>
      <c r="C771" t="s">
        <v>2536</v>
      </c>
      <c r="D771" t="s">
        <v>1439</v>
      </c>
      <c r="E771" t="s">
        <v>791</v>
      </c>
      <c r="F771" t="s">
        <v>1381</v>
      </c>
      <c r="G771" t="s">
        <v>1541</v>
      </c>
      <c r="H771" t="s">
        <v>65</v>
      </c>
    </row>
    <row r="772" spans="1:8">
      <c r="A772">
        <v>351514</v>
      </c>
      <c r="B772" t="s">
        <v>2565</v>
      </c>
      <c r="C772" t="s">
        <v>2537</v>
      </c>
      <c r="D772" t="s">
        <v>1439</v>
      </c>
      <c r="E772" t="s">
        <v>791</v>
      </c>
      <c r="F772" t="s">
        <v>1381</v>
      </c>
      <c r="G772" t="s">
        <v>1541</v>
      </c>
      <c r="H772" t="s">
        <v>65</v>
      </c>
    </row>
    <row r="773" spans="1:8">
      <c r="A773">
        <v>351289</v>
      </c>
      <c r="B773" t="s">
        <v>2566</v>
      </c>
      <c r="C773" t="s">
        <v>2538</v>
      </c>
      <c r="D773" t="s">
        <v>1439</v>
      </c>
      <c r="E773" t="s">
        <v>791</v>
      </c>
      <c r="F773" t="s">
        <v>1381</v>
      </c>
      <c r="G773" t="s">
        <v>1541</v>
      </c>
      <c r="H773" t="s">
        <v>65</v>
      </c>
    </row>
    <row r="774" spans="1:8">
      <c r="A774">
        <v>351470</v>
      </c>
      <c r="B774" t="s">
        <v>2567</v>
      </c>
      <c r="C774" t="s">
        <v>2539</v>
      </c>
      <c r="D774" t="s">
        <v>1439</v>
      </c>
      <c r="E774" t="s">
        <v>2395</v>
      </c>
      <c r="F774" t="s">
        <v>604</v>
      </c>
      <c r="G774" t="s">
        <v>1541</v>
      </c>
      <c r="H774" t="s">
        <v>65</v>
      </c>
    </row>
    <row r="775" spans="1:8">
      <c r="A775">
        <v>351472</v>
      </c>
      <c r="B775" t="s">
        <v>2568</v>
      </c>
      <c r="C775" t="s">
        <v>2540</v>
      </c>
      <c r="D775" t="s">
        <v>1439</v>
      </c>
      <c r="E775" t="s">
        <v>2395</v>
      </c>
      <c r="F775" t="s">
        <v>604</v>
      </c>
      <c r="G775" t="s">
        <v>1541</v>
      </c>
      <c r="H775" t="s">
        <v>65</v>
      </c>
    </row>
    <row r="776" spans="1:8">
      <c r="A776">
        <v>351506</v>
      </c>
      <c r="B776" t="s">
        <v>2569</v>
      </c>
      <c r="C776" t="s">
        <v>2541</v>
      </c>
      <c r="D776" t="s">
        <v>1439</v>
      </c>
      <c r="E776" t="s">
        <v>2395</v>
      </c>
      <c r="F776" t="s">
        <v>604</v>
      </c>
      <c r="G776" t="s">
        <v>1541</v>
      </c>
      <c r="H776" t="s">
        <v>65</v>
      </c>
    </row>
    <row r="777" spans="1:8">
      <c r="A777">
        <v>351504</v>
      </c>
      <c r="B777" t="s">
        <v>2570</v>
      </c>
      <c r="C777" t="s">
        <v>2542</v>
      </c>
      <c r="D777" t="s">
        <v>1439</v>
      </c>
      <c r="E777" t="s">
        <v>2395</v>
      </c>
      <c r="F777" t="s">
        <v>604</v>
      </c>
      <c r="G777" t="s">
        <v>1541</v>
      </c>
      <c r="H777" t="s">
        <v>65</v>
      </c>
    </row>
    <row r="778" spans="1:8">
      <c r="A778">
        <v>351499</v>
      </c>
      <c r="B778" t="s">
        <v>2571</v>
      </c>
      <c r="C778" t="s">
        <v>2543</v>
      </c>
      <c r="D778" t="s">
        <v>1439</v>
      </c>
      <c r="E778" t="s">
        <v>2395</v>
      </c>
      <c r="F778" t="s">
        <v>604</v>
      </c>
      <c r="G778" t="s">
        <v>1541</v>
      </c>
      <c r="H778" t="s">
        <v>65</v>
      </c>
    </row>
    <row r="779" spans="1:8">
      <c r="A779">
        <v>351463</v>
      </c>
      <c r="B779" t="s">
        <v>2572</v>
      </c>
      <c r="C779" t="s">
        <v>2544</v>
      </c>
      <c r="D779" t="s">
        <v>1439</v>
      </c>
      <c r="E779" t="s">
        <v>584</v>
      </c>
      <c r="F779" t="s">
        <v>1374</v>
      </c>
      <c r="G779" t="s">
        <v>1536</v>
      </c>
      <c r="H779" t="s">
        <v>67</v>
      </c>
    </row>
    <row r="780" spans="1:8">
      <c r="A780">
        <v>351471</v>
      </c>
      <c r="B780" t="s">
        <v>2573</v>
      </c>
      <c r="C780" t="s">
        <v>2545</v>
      </c>
      <c r="D780" t="s">
        <v>1439</v>
      </c>
      <c r="E780" t="s">
        <v>584</v>
      </c>
      <c r="F780" t="s">
        <v>1374</v>
      </c>
      <c r="G780" t="s">
        <v>1536</v>
      </c>
      <c r="H780" t="s">
        <v>67</v>
      </c>
    </row>
    <row r="781" spans="1:8">
      <c r="A781">
        <v>351461</v>
      </c>
      <c r="B781" t="s">
        <v>2574</v>
      </c>
      <c r="C781" t="s">
        <v>2546</v>
      </c>
      <c r="D781" t="s">
        <v>1439</v>
      </c>
      <c r="E781" t="s">
        <v>1273</v>
      </c>
      <c r="F781" t="s">
        <v>1374</v>
      </c>
      <c r="G781" t="s">
        <v>1536</v>
      </c>
      <c r="H781" t="s">
        <v>67</v>
      </c>
    </row>
    <row r="782" spans="1:8">
      <c r="A782">
        <v>351521</v>
      </c>
      <c r="B782" t="s">
        <v>2575</v>
      </c>
      <c r="C782" t="s">
        <v>2547</v>
      </c>
      <c r="D782" t="s">
        <v>1439</v>
      </c>
      <c r="E782" t="s">
        <v>1273</v>
      </c>
      <c r="F782" t="s">
        <v>1374</v>
      </c>
      <c r="G782" t="s">
        <v>1536</v>
      </c>
      <c r="H782" t="s">
        <v>67</v>
      </c>
    </row>
    <row r="783" spans="1:8">
      <c r="A783">
        <v>299961</v>
      </c>
      <c r="B783" t="s">
        <v>2576</v>
      </c>
      <c r="C783" t="s">
        <v>2548</v>
      </c>
      <c r="D783" t="s">
        <v>1439</v>
      </c>
      <c r="E783" t="s">
        <v>1273</v>
      </c>
      <c r="F783" t="s">
        <v>1374</v>
      </c>
      <c r="G783" t="s">
        <v>1536</v>
      </c>
      <c r="H783" t="s">
        <v>67</v>
      </c>
    </row>
    <row r="784" spans="1:8">
      <c r="A784">
        <v>351742</v>
      </c>
      <c r="B784" t="s">
        <v>2577</v>
      </c>
      <c r="C784" t="s">
        <v>2549</v>
      </c>
      <c r="D784" t="s">
        <v>1439</v>
      </c>
      <c r="E784" t="s">
        <v>512</v>
      </c>
      <c r="F784" t="s">
        <v>604</v>
      </c>
      <c r="G784" t="s">
        <v>1541</v>
      </c>
      <c r="H784" t="s">
        <v>65</v>
      </c>
    </row>
    <row r="785" spans="1:8">
      <c r="A785">
        <v>351793</v>
      </c>
      <c r="B785" t="s">
        <v>2578</v>
      </c>
      <c r="C785" t="s">
        <v>2550</v>
      </c>
      <c r="D785" t="s">
        <v>1439</v>
      </c>
      <c r="E785" t="s">
        <v>512</v>
      </c>
      <c r="F785" t="s">
        <v>604</v>
      </c>
      <c r="G785" t="s">
        <v>1541</v>
      </c>
      <c r="H785" t="s">
        <v>65</v>
      </c>
    </row>
    <row r="786" spans="1:8">
      <c r="A786">
        <v>351801</v>
      </c>
      <c r="B786" t="s">
        <v>2579</v>
      </c>
      <c r="C786" t="s">
        <v>2551</v>
      </c>
      <c r="D786" t="s">
        <v>1439</v>
      </c>
      <c r="E786" t="s">
        <v>512</v>
      </c>
      <c r="F786" t="s">
        <v>604</v>
      </c>
      <c r="G786" t="s">
        <v>1541</v>
      </c>
      <c r="H786" t="s">
        <v>65</v>
      </c>
    </row>
    <row r="787" spans="1:8">
      <c r="A787">
        <v>351827</v>
      </c>
      <c r="B787" t="s">
        <v>2580</v>
      </c>
      <c r="C787" t="s">
        <v>2552</v>
      </c>
      <c r="D787" t="s">
        <v>1439</v>
      </c>
      <c r="E787" t="s">
        <v>512</v>
      </c>
      <c r="F787" t="s">
        <v>604</v>
      </c>
      <c r="G787" t="s">
        <v>1541</v>
      </c>
      <c r="H787" t="s">
        <v>65</v>
      </c>
    </row>
    <row r="788" spans="1:8">
      <c r="A788">
        <v>351828</v>
      </c>
      <c r="B788" t="s">
        <v>2581</v>
      </c>
      <c r="C788" t="s">
        <v>2553</v>
      </c>
      <c r="D788" t="s">
        <v>1439</v>
      </c>
      <c r="E788" t="s">
        <v>1338</v>
      </c>
      <c r="F788" t="s">
        <v>1381</v>
      </c>
      <c r="G788" t="s">
        <v>1541</v>
      </c>
      <c r="H788" t="s">
        <v>65</v>
      </c>
    </row>
    <row r="789" spans="1:8">
      <c r="A789">
        <v>351829</v>
      </c>
      <c r="B789" t="s">
        <v>2582</v>
      </c>
      <c r="C789" t="s">
        <v>2554</v>
      </c>
      <c r="D789" t="s">
        <v>1439</v>
      </c>
      <c r="E789" t="s">
        <v>1338</v>
      </c>
      <c r="F789" t="s">
        <v>1381</v>
      </c>
      <c r="G789" t="s">
        <v>1541</v>
      </c>
      <c r="H789" t="s">
        <v>65</v>
      </c>
    </row>
    <row r="790" spans="1:8">
      <c r="A790">
        <v>351261</v>
      </c>
      <c r="B790" t="s">
        <v>2583</v>
      </c>
      <c r="C790" t="s">
        <v>2555</v>
      </c>
      <c r="D790" t="s">
        <v>1439</v>
      </c>
      <c r="E790" t="s">
        <v>1338</v>
      </c>
      <c r="F790" t="s">
        <v>1381</v>
      </c>
      <c r="G790" t="s">
        <v>1541</v>
      </c>
      <c r="H790" t="s">
        <v>65</v>
      </c>
    </row>
    <row r="791" spans="1:8">
      <c r="A791">
        <v>311051</v>
      </c>
      <c r="B791" t="s">
        <v>2584</v>
      </c>
      <c r="C791" t="s">
        <v>2757</v>
      </c>
      <c r="D791" t="s">
        <v>1439</v>
      </c>
      <c r="E791" t="s">
        <v>1338</v>
      </c>
      <c r="F791" t="s">
        <v>1381</v>
      </c>
      <c r="G791" t="s">
        <v>1541</v>
      </c>
      <c r="H791" t="s">
        <v>65</v>
      </c>
    </row>
    <row r="792" spans="1:8">
      <c r="A792">
        <v>351783</v>
      </c>
      <c r="B792" t="s">
        <v>2585</v>
      </c>
      <c r="C792" t="s">
        <v>2556</v>
      </c>
      <c r="D792" t="s">
        <v>1439</v>
      </c>
      <c r="E792" t="s">
        <v>1346</v>
      </c>
      <c r="F792" t="s">
        <v>1374</v>
      </c>
      <c r="G792" t="s">
        <v>1536</v>
      </c>
      <c r="H792" t="s">
        <v>67</v>
      </c>
    </row>
    <row r="793" spans="1:8">
      <c r="A793">
        <v>351805</v>
      </c>
      <c r="B793" t="s">
        <v>2586</v>
      </c>
      <c r="C793" t="s">
        <v>2557</v>
      </c>
      <c r="D793" t="s">
        <v>1439</v>
      </c>
      <c r="E793" t="s">
        <v>1346</v>
      </c>
      <c r="F793" t="s">
        <v>1374</v>
      </c>
      <c r="G793" t="s">
        <v>1536</v>
      </c>
      <c r="H793" t="s">
        <v>67</v>
      </c>
    </row>
    <row r="794" spans="1:8">
      <c r="A794">
        <v>351475</v>
      </c>
      <c r="B794" t="s">
        <v>2587</v>
      </c>
      <c r="C794" t="s">
        <v>2558</v>
      </c>
      <c r="D794" t="s">
        <v>1439</v>
      </c>
      <c r="E794" t="s">
        <v>1346</v>
      </c>
      <c r="F794" t="s">
        <v>1374</v>
      </c>
      <c r="G794" t="s">
        <v>1536</v>
      </c>
      <c r="H794" t="s">
        <v>67</v>
      </c>
    </row>
    <row r="795" spans="1:8">
      <c r="A795">
        <v>351807</v>
      </c>
      <c r="B795" t="s">
        <v>2588</v>
      </c>
      <c r="C795" t="s">
        <v>2559</v>
      </c>
      <c r="D795" t="s">
        <v>1439</v>
      </c>
      <c r="E795" t="s">
        <v>1213</v>
      </c>
      <c r="F795" t="s">
        <v>1374</v>
      </c>
      <c r="G795" t="s">
        <v>1536</v>
      </c>
      <c r="H795" t="s">
        <v>67</v>
      </c>
    </row>
    <row r="796" spans="1:8">
      <c r="A796">
        <v>351800</v>
      </c>
      <c r="B796" t="s">
        <v>2589</v>
      </c>
      <c r="C796" t="s">
        <v>2560</v>
      </c>
      <c r="D796" t="s">
        <v>1439</v>
      </c>
      <c r="E796" t="s">
        <v>1213</v>
      </c>
      <c r="F796" t="s">
        <v>1374</v>
      </c>
      <c r="G796" t="s">
        <v>1536</v>
      </c>
      <c r="H796" t="s">
        <v>67</v>
      </c>
    </row>
    <row r="797" spans="1:8">
      <c r="A797">
        <v>351785</v>
      </c>
      <c r="B797" t="s">
        <v>2590</v>
      </c>
      <c r="C797" t="s">
        <v>2561</v>
      </c>
      <c r="D797" t="s">
        <v>1439</v>
      </c>
      <c r="E797" t="s">
        <v>1213</v>
      </c>
      <c r="F797" t="s">
        <v>1374</v>
      </c>
      <c r="G797" t="s">
        <v>1536</v>
      </c>
      <c r="H797" t="s">
        <v>67</v>
      </c>
    </row>
    <row r="798" spans="1:8">
      <c r="A798">
        <v>351767</v>
      </c>
      <c r="B798" t="s">
        <v>2665</v>
      </c>
      <c r="C798" t="s">
        <v>2596</v>
      </c>
      <c r="D798" t="s">
        <v>1439</v>
      </c>
      <c r="E798" t="s">
        <v>2395</v>
      </c>
      <c r="F798" t="s">
        <v>604</v>
      </c>
      <c r="G798" t="s">
        <v>1541</v>
      </c>
      <c r="H798" t="s">
        <v>65</v>
      </c>
    </row>
    <row r="799" spans="1:8">
      <c r="A799">
        <v>351752</v>
      </c>
      <c r="B799" t="s">
        <v>2666</v>
      </c>
      <c r="C799" t="s">
        <v>2597</v>
      </c>
      <c r="D799" t="s">
        <v>1439</v>
      </c>
      <c r="E799" t="s">
        <v>2395</v>
      </c>
      <c r="F799" t="s">
        <v>604</v>
      </c>
      <c r="G799" t="s">
        <v>1541</v>
      </c>
      <c r="H799" t="s">
        <v>65</v>
      </c>
    </row>
    <row r="800" spans="1:8">
      <c r="A800">
        <v>351750</v>
      </c>
      <c r="B800" t="s">
        <v>2667</v>
      </c>
      <c r="C800" t="s">
        <v>2598</v>
      </c>
      <c r="D800" t="s">
        <v>1439</v>
      </c>
      <c r="E800" t="s">
        <v>2395</v>
      </c>
      <c r="F800" t="s">
        <v>604</v>
      </c>
      <c r="G800" t="s">
        <v>1541</v>
      </c>
      <c r="H800" t="s">
        <v>65</v>
      </c>
    </row>
    <row r="801" spans="1:8">
      <c r="A801">
        <v>351744</v>
      </c>
      <c r="B801" t="s">
        <v>2668</v>
      </c>
      <c r="C801" t="s">
        <v>2599</v>
      </c>
      <c r="D801" t="s">
        <v>1439</v>
      </c>
      <c r="E801" t="s">
        <v>2395</v>
      </c>
      <c r="F801" t="s">
        <v>604</v>
      </c>
      <c r="G801" t="s">
        <v>1541</v>
      </c>
      <c r="H801" t="s">
        <v>65</v>
      </c>
    </row>
    <row r="802" spans="1:8">
      <c r="A802">
        <v>351796</v>
      </c>
      <c r="B802" t="s">
        <v>2669</v>
      </c>
      <c r="C802" t="s">
        <v>2600</v>
      </c>
      <c r="D802" t="s">
        <v>1439</v>
      </c>
      <c r="E802" t="s">
        <v>2395</v>
      </c>
      <c r="F802" t="s">
        <v>604</v>
      </c>
      <c r="G802" t="s">
        <v>1541</v>
      </c>
      <c r="H802" t="s">
        <v>65</v>
      </c>
    </row>
    <row r="803" spans="1:8">
      <c r="A803">
        <v>352075</v>
      </c>
      <c r="B803" t="s">
        <v>2670</v>
      </c>
      <c r="C803" t="s">
        <v>2601</v>
      </c>
      <c r="D803" t="s">
        <v>1439</v>
      </c>
      <c r="E803" t="s">
        <v>2395</v>
      </c>
      <c r="F803" t="s">
        <v>604</v>
      </c>
      <c r="G803" t="s">
        <v>1541</v>
      </c>
      <c r="H803" t="s">
        <v>65</v>
      </c>
    </row>
    <row r="804" spans="1:8">
      <c r="A804">
        <v>352085</v>
      </c>
      <c r="B804" t="s">
        <v>2671</v>
      </c>
      <c r="C804" t="s">
        <v>2758</v>
      </c>
      <c r="D804" t="s">
        <v>1439</v>
      </c>
      <c r="E804" t="s">
        <v>2395</v>
      </c>
      <c r="F804" t="s">
        <v>604</v>
      </c>
      <c r="G804" t="s">
        <v>1541</v>
      </c>
      <c r="H804" t="s">
        <v>65</v>
      </c>
    </row>
    <row r="805" spans="1:8">
      <c r="A805">
        <v>352083</v>
      </c>
      <c r="B805" t="s">
        <v>2672</v>
      </c>
      <c r="C805" t="s">
        <v>2602</v>
      </c>
      <c r="D805" t="s">
        <v>1439</v>
      </c>
      <c r="E805" t="s">
        <v>584</v>
      </c>
      <c r="F805" t="s">
        <v>1374</v>
      </c>
      <c r="G805" t="s">
        <v>1536</v>
      </c>
      <c r="H805" t="s">
        <v>67</v>
      </c>
    </row>
    <row r="806" spans="1:8">
      <c r="A806">
        <v>352084</v>
      </c>
      <c r="B806" t="s">
        <v>2673</v>
      </c>
      <c r="C806" t="s">
        <v>2603</v>
      </c>
      <c r="D806" t="s">
        <v>1439</v>
      </c>
      <c r="E806" t="s">
        <v>584</v>
      </c>
      <c r="F806" t="s">
        <v>1374</v>
      </c>
      <c r="G806" t="s">
        <v>1536</v>
      </c>
      <c r="H806" t="s">
        <v>67</v>
      </c>
    </row>
    <row r="807" spans="1:8">
      <c r="A807">
        <v>351799</v>
      </c>
      <c r="B807" t="s">
        <v>2674</v>
      </c>
      <c r="C807" t="s">
        <v>2604</v>
      </c>
      <c r="D807" t="s">
        <v>1439</v>
      </c>
      <c r="E807" t="s">
        <v>584</v>
      </c>
      <c r="F807" t="s">
        <v>1374</v>
      </c>
      <c r="G807" t="s">
        <v>1536</v>
      </c>
      <c r="H807" t="s">
        <v>67</v>
      </c>
    </row>
    <row r="808" spans="1:8">
      <c r="A808">
        <v>352081</v>
      </c>
      <c r="B808" t="s">
        <v>2675</v>
      </c>
      <c r="C808" t="s">
        <v>2605</v>
      </c>
      <c r="D808" t="s">
        <v>1439</v>
      </c>
      <c r="E808" t="s">
        <v>791</v>
      </c>
      <c r="F808" t="s">
        <v>1381</v>
      </c>
      <c r="G808" t="s">
        <v>1541</v>
      </c>
      <c r="H808" t="s">
        <v>65</v>
      </c>
    </row>
    <row r="809" spans="1:8">
      <c r="A809">
        <v>352087</v>
      </c>
      <c r="B809" t="s">
        <v>2676</v>
      </c>
      <c r="C809" t="s">
        <v>2606</v>
      </c>
      <c r="D809" t="s">
        <v>1439</v>
      </c>
      <c r="E809" t="s">
        <v>1207</v>
      </c>
      <c r="F809" t="s">
        <v>1375</v>
      </c>
      <c r="G809" t="s">
        <v>1543</v>
      </c>
      <c r="H809" t="s">
        <v>66</v>
      </c>
    </row>
    <row r="810" spans="1:8">
      <c r="A810">
        <v>352088</v>
      </c>
      <c r="B810" t="s">
        <v>2677</v>
      </c>
      <c r="C810" t="s">
        <v>2607</v>
      </c>
      <c r="D810" t="s">
        <v>1439</v>
      </c>
      <c r="E810" t="s">
        <v>1207</v>
      </c>
      <c r="F810" t="s">
        <v>1375</v>
      </c>
      <c r="G810" t="s">
        <v>1543</v>
      </c>
      <c r="H810" t="s">
        <v>66</v>
      </c>
    </row>
    <row r="811" spans="1:8">
      <c r="A811">
        <v>352074</v>
      </c>
      <c r="B811" t="s">
        <v>2678</v>
      </c>
      <c r="C811" t="s">
        <v>2608</v>
      </c>
      <c r="D811" t="s">
        <v>1439</v>
      </c>
      <c r="E811" t="s">
        <v>1213</v>
      </c>
      <c r="F811" t="s">
        <v>1374</v>
      </c>
      <c r="G811" t="s">
        <v>1536</v>
      </c>
      <c r="H811" t="s">
        <v>67</v>
      </c>
    </row>
    <row r="812" spans="1:8">
      <c r="A812">
        <v>352082</v>
      </c>
      <c r="B812" t="s">
        <v>2679</v>
      </c>
      <c r="C812" t="s">
        <v>2609</v>
      </c>
      <c r="D812" t="s">
        <v>1439</v>
      </c>
      <c r="E812" t="s">
        <v>1213</v>
      </c>
      <c r="F812" t="s">
        <v>1374</v>
      </c>
      <c r="G812" t="s">
        <v>1536</v>
      </c>
      <c r="H812" t="s">
        <v>67</v>
      </c>
    </row>
    <row r="813" spans="1:8">
      <c r="A813">
        <v>351786</v>
      </c>
      <c r="B813" t="s">
        <v>2680</v>
      </c>
      <c r="C813" t="s">
        <v>2610</v>
      </c>
      <c r="D813" t="s">
        <v>1439</v>
      </c>
      <c r="E813" t="s">
        <v>1273</v>
      </c>
      <c r="F813" t="s">
        <v>1374</v>
      </c>
      <c r="G813" t="s">
        <v>1536</v>
      </c>
      <c r="H813" t="s">
        <v>67</v>
      </c>
    </row>
    <row r="814" spans="1:8">
      <c r="A814">
        <v>351791</v>
      </c>
      <c r="B814" t="s">
        <v>2681</v>
      </c>
      <c r="C814" t="s">
        <v>2611</v>
      </c>
      <c r="D814" t="s">
        <v>1439</v>
      </c>
      <c r="E814" t="s">
        <v>1273</v>
      </c>
      <c r="F814" t="s">
        <v>1374</v>
      </c>
      <c r="G814" t="s">
        <v>1536</v>
      </c>
      <c r="H814" t="s">
        <v>67</v>
      </c>
    </row>
    <row r="815" spans="1:8">
      <c r="A815">
        <v>352079</v>
      </c>
      <c r="B815" t="s">
        <v>2682</v>
      </c>
      <c r="C815" t="s">
        <v>2759</v>
      </c>
      <c r="D815" t="s">
        <v>1439</v>
      </c>
      <c r="E815" t="s">
        <v>1273</v>
      </c>
      <c r="F815" t="s">
        <v>1374</v>
      </c>
      <c r="G815" t="s">
        <v>1536</v>
      </c>
      <c r="H815" t="s">
        <v>67</v>
      </c>
    </row>
    <row r="816" spans="1:8">
      <c r="A816">
        <v>352077</v>
      </c>
      <c r="B816" t="s">
        <v>2683</v>
      </c>
      <c r="C816" t="s">
        <v>2612</v>
      </c>
      <c r="D816" t="s">
        <v>1439</v>
      </c>
      <c r="E816" t="s">
        <v>1273</v>
      </c>
      <c r="F816" t="s">
        <v>1374</v>
      </c>
      <c r="G816" t="s">
        <v>1536</v>
      </c>
      <c r="H816" t="s">
        <v>67</v>
      </c>
    </row>
    <row r="817" spans="1:8">
      <c r="A817">
        <v>270265</v>
      </c>
      <c r="B817" t="s">
        <v>2684</v>
      </c>
      <c r="C817" t="s">
        <v>2613</v>
      </c>
      <c r="D817" t="s">
        <v>1439</v>
      </c>
      <c r="E817" t="s">
        <v>1346</v>
      </c>
      <c r="F817" t="s">
        <v>1374</v>
      </c>
      <c r="G817" t="s">
        <v>1536</v>
      </c>
      <c r="H817" t="s">
        <v>67</v>
      </c>
    </row>
    <row r="818" spans="1:8">
      <c r="A818">
        <v>352311</v>
      </c>
      <c r="B818" t="s">
        <v>2685</v>
      </c>
      <c r="C818" t="s">
        <v>2614</v>
      </c>
      <c r="D818" t="s">
        <v>1439</v>
      </c>
      <c r="E818" t="s">
        <v>476</v>
      </c>
      <c r="F818" t="s">
        <v>1374</v>
      </c>
      <c r="G818" t="s">
        <v>1536</v>
      </c>
      <c r="H818" t="s">
        <v>67</v>
      </c>
    </row>
    <row r="819" spans="1:8">
      <c r="A819">
        <v>352402</v>
      </c>
      <c r="B819" t="s">
        <v>2686</v>
      </c>
      <c r="C819" t="s">
        <v>2615</v>
      </c>
      <c r="D819" t="s">
        <v>1439</v>
      </c>
      <c r="E819" t="s">
        <v>476</v>
      </c>
      <c r="F819" t="s">
        <v>1374</v>
      </c>
      <c r="G819" t="s">
        <v>1536</v>
      </c>
      <c r="H819" t="s">
        <v>67</v>
      </c>
    </row>
    <row r="820" spans="1:8">
      <c r="A820">
        <v>352359</v>
      </c>
      <c r="B820" t="s">
        <v>2687</v>
      </c>
      <c r="C820" t="s">
        <v>2760</v>
      </c>
      <c r="D820" t="s">
        <v>1439</v>
      </c>
      <c r="E820" t="s">
        <v>476</v>
      </c>
      <c r="F820" t="s">
        <v>1374</v>
      </c>
      <c r="G820" t="s">
        <v>1536</v>
      </c>
      <c r="H820" t="s">
        <v>67</v>
      </c>
    </row>
    <row r="821" spans="1:8">
      <c r="A821">
        <v>352394</v>
      </c>
      <c r="B821" t="s">
        <v>2688</v>
      </c>
      <c r="C821" t="s">
        <v>2761</v>
      </c>
      <c r="D821" t="s">
        <v>1439</v>
      </c>
      <c r="E821" t="s">
        <v>476</v>
      </c>
      <c r="F821" t="s">
        <v>1374</v>
      </c>
      <c r="G821" t="s">
        <v>1536</v>
      </c>
      <c r="H821" t="s">
        <v>67</v>
      </c>
    </row>
    <row r="822" spans="1:8">
      <c r="A822">
        <v>200043</v>
      </c>
      <c r="B822" t="s">
        <v>2689</v>
      </c>
      <c r="C822" t="s">
        <v>2616</v>
      </c>
      <c r="D822" t="s">
        <v>1439</v>
      </c>
      <c r="E822" t="s">
        <v>476</v>
      </c>
      <c r="F822" t="s">
        <v>1374</v>
      </c>
      <c r="G822" t="s">
        <v>1536</v>
      </c>
      <c r="H822" t="s">
        <v>67</v>
      </c>
    </row>
    <row r="823" spans="1:8">
      <c r="A823">
        <v>352186</v>
      </c>
      <c r="B823" t="s">
        <v>2690</v>
      </c>
      <c r="C823" t="s">
        <v>2617</v>
      </c>
      <c r="D823" t="s">
        <v>1439</v>
      </c>
      <c r="E823" t="s">
        <v>1076</v>
      </c>
      <c r="F823" t="s">
        <v>1374</v>
      </c>
      <c r="G823" t="s">
        <v>1536</v>
      </c>
      <c r="H823" t="s">
        <v>67</v>
      </c>
    </row>
    <row r="824" spans="1:8">
      <c r="A824">
        <v>352184</v>
      </c>
      <c r="B824" t="s">
        <v>2691</v>
      </c>
      <c r="C824" t="s">
        <v>2618</v>
      </c>
      <c r="D824" t="s">
        <v>1439</v>
      </c>
      <c r="E824" t="s">
        <v>1076</v>
      </c>
      <c r="F824" t="s">
        <v>1374</v>
      </c>
      <c r="G824" t="s">
        <v>1536</v>
      </c>
      <c r="H824" t="s">
        <v>67</v>
      </c>
    </row>
    <row r="825" spans="1:8">
      <c r="A825">
        <v>327524</v>
      </c>
      <c r="B825" t="s">
        <v>2692</v>
      </c>
      <c r="C825" t="s">
        <v>2619</v>
      </c>
      <c r="D825" t="s">
        <v>1439</v>
      </c>
      <c r="E825" t="s">
        <v>476</v>
      </c>
      <c r="F825" t="s">
        <v>1374</v>
      </c>
      <c r="G825" t="s">
        <v>1536</v>
      </c>
      <c r="H825" t="s">
        <v>67</v>
      </c>
    </row>
    <row r="826" spans="1:8">
      <c r="A826">
        <v>352301</v>
      </c>
      <c r="B826" t="s">
        <v>2693</v>
      </c>
      <c r="C826" t="s">
        <v>2620</v>
      </c>
      <c r="D826" t="s">
        <v>1439</v>
      </c>
      <c r="E826" t="s">
        <v>1191</v>
      </c>
      <c r="F826" t="s">
        <v>1381</v>
      </c>
      <c r="G826" t="s">
        <v>1541</v>
      </c>
      <c r="H826" t="s">
        <v>65</v>
      </c>
    </row>
    <row r="827" spans="1:8">
      <c r="A827">
        <v>352304</v>
      </c>
      <c r="B827" t="s">
        <v>2694</v>
      </c>
      <c r="C827" t="s">
        <v>2621</v>
      </c>
      <c r="D827" t="s">
        <v>1439</v>
      </c>
      <c r="E827" t="s">
        <v>1191</v>
      </c>
      <c r="F827" t="s">
        <v>1381</v>
      </c>
      <c r="G827" t="s">
        <v>1541</v>
      </c>
      <c r="H827" t="s">
        <v>65</v>
      </c>
    </row>
    <row r="828" spans="1:8">
      <c r="A828">
        <v>352309</v>
      </c>
      <c r="B828" t="s">
        <v>2695</v>
      </c>
      <c r="C828" t="s">
        <v>2762</v>
      </c>
      <c r="D828" t="s">
        <v>1439</v>
      </c>
      <c r="E828" t="s">
        <v>1344</v>
      </c>
      <c r="F828" t="s">
        <v>604</v>
      </c>
      <c r="G828" t="s">
        <v>1541</v>
      </c>
      <c r="H828" t="s">
        <v>65</v>
      </c>
    </row>
    <row r="829" spans="1:8">
      <c r="A829">
        <v>352312</v>
      </c>
      <c r="B829" t="s">
        <v>2696</v>
      </c>
      <c r="C829" t="s">
        <v>2622</v>
      </c>
      <c r="D829" t="s">
        <v>1439</v>
      </c>
      <c r="E829" t="s">
        <v>1344</v>
      </c>
      <c r="F829" t="s">
        <v>604</v>
      </c>
      <c r="G829" t="s">
        <v>1541</v>
      </c>
      <c r="H829" t="s">
        <v>65</v>
      </c>
    </row>
    <row r="830" spans="1:8">
      <c r="A830">
        <v>352404</v>
      </c>
      <c r="B830" t="s">
        <v>2697</v>
      </c>
      <c r="C830" t="s">
        <v>2623</v>
      </c>
      <c r="D830" t="s">
        <v>1439</v>
      </c>
      <c r="E830" t="s">
        <v>512</v>
      </c>
      <c r="F830" t="s">
        <v>604</v>
      </c>
      <c r="G830" t="s">
        <v>1541</v>
      </c>
      <c r="H830" t="s">
        <v>65</v>
      </c>
    </row>
    <row r="831" spans="1:8">
      <c r="A831">
        <v>352183</v>
      </c>
      <c r="B831" t="s">
        <v>2698</v>
      </c>
      <c r="C831" t="s">
        <v>2624</v>
      </c>
      <c r="D831" t="s">
        <v>1439</v>
      </c>
      <c r="E831" t="s">
        <v>1012</v>
      </c>
      <c r="F831" t="s">
        <v>1371</v>
      </c>
      <c r="G831" t="s">
        <v>1540</v>
      </c>
      <c r="H831" t="s">
        <v>59</v>
      </c>
    </row>
    <row r="832" spans="1:8">
      <c r="A832">
        <v>352182</v>
      </c>
      <c r="B832" t="s">
        <v>2699</v>
      </c>
      <c r="C832" t="s">
        <v>2763</v>
      </c>
      <c r="D832" t="s">
        <v>1439</v>
      </c>
      <c r="E832" t="s">
        <v>1012</v>
      </c>
      <c r="F832" t="s">
        <v>1371</v>
      </c>
      <c r="G832" t="s">
        <v>1540</v>
      </c>
      <c r="H832" t="s">
        <v>59</v>
      </c>
    </row>
    <row r="833" spans="1:8">
      <c r="A833">
        <v>352266</v>
      </c>
      <c r="B833" t="s">
        <v>2700</v>
      </c>
      <c r="C833" t="s">
        <v>2764</v>
      </c>
      <c r="D833" t="s">
        <v>1439</v>
      </c>
      <c r="E833" t="s">
        <v>1012</v>
      </c>
      <c r="F833" t="s">
        <v>1371</v>
      </c>
      <c r="G833" t="s">
        <v>1540</v>
      </c>
      <c r="H833" t="s">
        <v>59</v>
      </c>
    </row>
    <row r="834" spans="1:8">
      <c r="A834">
        <v>352275</v>
      </c>
      <c r="B834" t="s">
        <v>2701</v>
      </c>
      <c r="C834" t="s">
        <v>2625</v>
      </c>
      <c r="D834" t="s">
        <v>1439</v>
      </c>
      <c r="E834" t="s">
        <v>1012</v>
      </c>
      <c r="F834" t="s">
        <v>1371</v>
      </c>
      <c r="G834" t="s">
        <v>1540</v>
      </c>
      <c r="H834" t="s">
        <v>59</v>
      </c>
    </row>
    <row r="835" spans="1:8">
      <c r="A835">
        <v>352187</v>
      </c>
      <c r="B835" t="s">
        <v>2702</v>
      </c>
      <c r="C835" t="s">
        <v>2765</v>
      </c>
      <c r="D835" t="s">
        <v>1439</v>
      </c>
      <c r="E835" t="s">
        <v>1012</v>
      </c>
      <c r="F835" t="s">
        <v>1371</v>
      </c>
      <c r="G835" t="s">
        <v>1540</v>
      </c>
      <c r="H835" t="s">
        <v>59</v>
      </c>
    </row>
    <row r="836" spans="1:8">
      <c r="A836">
        <v>352188</v>
      </c>
      <c r="B836" t="s">
        <v>2703</v>
      </c>
      <c r="C836" t="s">
        <v>2626</v>
      </c>
      <c r="D836" t="s">
        <v>1439</v>
      </c>
      <c r="E836" t="s">
        <v>947</v>
      </c>
      <c r="F836" t="s">
        <v>1371</v>
      </c>
      <c r="G836" t="s">
        <v>1540</v>
      </c>
      <c r="H836" t="s">
        <v>59</v>
      </c>
    </row>
    <row r="837" spans="1:8">
      <c r="A837">
        <v>352346</v>
      </c>
      <c r="B837" t="s">
        <v>2704</v>
      </c>
      <c r="C837" t="s">
        <v>2766</v>
      </c>
      <c r="D837" t="s">
        <v>1439</v>
      </c>
      <c r="E837" t="s">
        <v>947</v>
      </c>
      <c r="F837" t="s">
        <v>1371</v>
      </c>
      <c r="G837" t="s">
        <v>1540</v>
      </c>
      <c r="H837" t="s">
        <v>59</v>
      </c>
    </row>
    <row r="838" spans="1:8">
      <c r="A838">
        <v>352348</v>
      </c>
      <c r="B838" t="s">
        <v>2705</v>
      </c>
      <c r="C838" t="s">
        <v>2627</v>
      </c>
      <c r="D838" t="s">
        <v>1439</v>
      </c>
      <c r="E838" t="s">
        <v>947</v>
      </c>
      <c r="F838" t="s">
        <v>1371</v>
      </c>
      <c r="G838" t="s">
        <v>1540</v>
      </c>
      <c r="H838" t="s">
        <v>59</v>
      </c>
    </row>
    <row r="839" spans="1:8">
      <c r="A839">
        <v>352354</v>
      </c>
      <c r="B839" t="s">
        <v>2706</v>
      </c>
      <c r="C839" t="s">
        <v>2628</v>
      </c>
      <c r="D839" t="s">
        <v>1439</v>
      </c>
      <c r="E839" t="s">
        <v>947</v>
      </c>
      <c r="F839" t="s">
        <v>1371</v>
      </c>
      <c r="G839" t="s">
        <v>1540</v>
      </c>
      <c r="H839" t="s">
        <v>59</v>
      </c>
    </row>
    <row r="840" spans="1:8">
      <c r="A840">
        <v>352397</v>
      </c>
      <c r="B840" t="s">
        <v>2707</v>
      </c>
      <c r="C840" t="s">
        <v>2629</v>
      </c>
      <c r="D840" t="s">
        <v>1439</v>
      </c>
      <c r="E840" t="s">
        <v>692</v>
      </c>
      <c r="F840" t="s">
        <v>1371</v>
      </c>
      <c r="G840" t="s">
        <v>1540</v>
      </c>
      <c r="H840" t="s">
        <v>59</v>
      </c>
    </row>
    <row r="841" spans="1:8">
      <c r="A841">
        <v>352352</v>
      </c>
      <c r="B841" t="s">
        <v>2708</v>
      </c>
      <c r="C841" t="s">
        <v>2630</v>
      </c>
      <c r="D841" t="s">
        <v>1439</v>
      </c>
      <c r="E841" t="s">
        <v>692</v>
      </c>
      <c r="F841" t="s">
        <v>1371</v>
      </c>
      <c r="G841" t="s">
        <v>1540</v>
      </c>
      <c r="H841" t="s">
        <v>59</v>
      </c>
    </row>
    <row r="842" spans="1:8">
      <c r="A842">
        <v>352557</v>
      </c>
      <c r="B842" t="s">
        <v>2709</v>
      </c>
      <c r="C842" t="s">
        <v>2631</v>
      </c>
      <c r="D842" t="s">
        <v>1439</v>
      </c>
      <c r="E842" t="s">
        <v>692</v>
      </c>
      <c r="F842" t="s">
        <v>1371</v>
      </c>
      <c r="G842" t="s">
        <v>1540</v>
      </c>
      <c r="H842" t="s">
        <v>59</v>
      </c>
    </row>
    <row r="843" spans="1:8">
      <c r="A843">
        <v>352553</v>
      </c>
      <c r="B843" t="s">
        <v>2710</v>
      </c>
      <c r="C843" t="s">
        <v>2632</v>
      </c>
      <c r="D843" t="s">
        <v>1439</v>
      </c>
      <c r="E843" t="s">
        <v>692</v>
      </c>
      <c r="F843" t="s">
        <v>1371</v>
      </c>
      <c r="G843" t="s">
        <v>1540</v>
      </c>
      <c r="H843" t="s">
        <v>59</v>
      </c>
    </row>
    <row r="844" spans="1:8">
      <c r="A844">
        <v>352547</v>
      </c>
      <c r="B844" t="s">
        <v>2711</v>
      </c>
      <c r="C844" t="s">
        <v>2633</v>
      </c>
      <c r="D844" t="s">
        <v>1439</v>
      </c>
      <c r="E844" t="s">
        <v>692</v>
      </c>
      <c r="F844" t="s">
        <v>1371</v>
      </c>
      <c r="G844" t="s">
        <v>1540</v>
      </c>
      <c r="H844" t="s">
        <v>59</v>
      </c>
    </row>
    <row r="845" spans="1:8">
      <c r="A845">
        <v>352901</v>
      </c>
      <c r="B845" t="s">
        <v>2712</v>
      </c>
      <c r="C845" t="s">
        <v>2634</v>
      </c>
      <c r="D845" t="s">
        <v>1439</v>
      </c>
      <c r="E845" t="s">
        <v>947</v>
      </c>
      <c r="F845" t="s">
        <v>1371</v>
      </c>
      <c r="G845" t="s">
        <v>1540</v>
      </c>
      <c r="H845" t="s">
        <v>59</v>
      </c>
    </row>
    <row r="846" spans="1:8">
      <c r="A846">
        <v>352906</v>
      </c>
      <c r="B846" t="s">
        <v>2713</v>
      </c>
      <c r="C846" t="s">
        <v>2635</v>
      </c>
      <c r="D846" t="s">
        <v>1439</v>
      </c>
      <c r="E846" t="s">
        <v>476</v>
      </c>
      <c r="F846" t="s">
        <v>1374</v>
      </c>
      <c r="G846" t="s">
        <v>1536</v>
      </c>
      <c r="H846" t="s">
        <v>67</v>
      </c>
    </row>
    <row r="847" spans="1:8">
      <c r="A847">
        <v>352907</v>
      </c>
      <c r="B847" t="s">
        <v>2714</v>
      </c>
      <c r="C847" t="s">
        <v>2636</v>
      </c>
      <c r="D847" t="s">
        <v>1439</v>
      </c>
      <c r="E847" t="s">
        <v>476</v>
      </c>
      <c r="F847" t="s">
        <v>1374</v>
      </c>
      <c r="G847" t="s">
        <v>1536</v>
      </c>
      <c r="H847" t="s">
        <v>67</v>
      </c>
    </row>
    <row r="848" spans="1:8">
      <c r="A848">
        <v>352903</v>
      </c>
      <c r="B848" t="s">
        <v>2715</v>
      </c>
      <c r="C848" t="s">
        <v>2637</v>
      </c>
      <c r="D848" t="s">
        <v>1439</v>
      </c>
      <c r="E848" t="s">
        <v>476</v>
      </c>
      <c r="F848" t="s">
        <v>1374</v>
      </c>
      <c r="G848" t="s">
        <v>1536</v>
      </c>
      <c r="H848" t="s">
        <v>67</v>
      </c>
    </row>
    <row r="849" spans="1:8">
      <c r="A849">
        <v>352882</v>
      </c>
      <c r="B849" t="s">
        <v>2716</v>
      </c>
      <c r="C849" t="s">
        <v>2638</v>
      </c>
      <c r="D849" t="s">
        <v>1439</v>
      </c>
      <c r="E849" t="s">
        <v>476</v>
      </c>
      <c r="F849" t="s">
        <v>1374</v>
      </c>
      <c r="G849" t="s">
        <v>1536</v>
      </c>
      <c r="H849" t="s">
        <v>67</v>
      </c>
    </row>
    <row r="850" spans="1:8">
      <c r="A850">
        <v>352886</v>
      </c>
      <c r="B850" t="s">
        <v>2717</v>
      </c>
      <c r="C850" t="s">
        <v>2639</v>
      </c>
      <c r="D850" t="s">
        <v>1439</v>
      </c>
      <c r="E850" t="s">
        <v>476</v>
      </c>
      <c r="F850" t="s">
        <v>1374</v>
      </c>
      <c r="G850" t="s">
        <v>1536</v>
      </c>
      <c r="H850" t="s">
        <v>67</v>
      </c>
    </row>
    <row r="851" spans="1:8">
      <c r="A851">
        <v>352884</v>
      </c>
      <c r="B851" t="s">
        <v>2718</v>
      </c>
      <c r="C851" t="s">
        <v>2640</v>
      </c>
      <c r="D851" t="s">
        <v>1439</v>
      </c>
      <c r="E851" t="s">
        <v>476</v>
      </c>
      <c r="F851" t="s">
        <v>1374</v>
      </c>
      <c r="G851" t="s">
        <v>1536</v>
      </c>
      <c r="H851" t="s">
        <v>67</v>
      </c>
    </row>
    <row r="852" spans="1:8">
      <c r="A852">
        <v>352918</v>
      </c>
      <c r="B852" t="s">
        <v>2719</v>
      </c>
      <c r="C852" t="s">
        <v>2641</v>
      </c>
      <c r="D852" t="s">
        <v>1439</v>
      </c>
      <c r="E852" t="s">
        <v>512</v>
      </c>
      <c r="F852" t="s">
        <v>604</v>
      </c>
      <c r="G852" t="s">
        <v>1550</v>
      </c>
      <c r="H852" t="s">
        <v>65</v>
      </c>
    </row>
    <row r="853" spans="1:8">
      <c r="A853">
        <v>352916</v>
      </c>
      <c r="B853" t="s">
        <v>2720</v>
      </c>
      <c r="C853" t="s">
        <v>2642</v>
      </c>
      <c r="D853" t="s">
        <v>1439</v>
      </c>
      <c r="E853" t="s">
        <v>512</v>
      </c>
      <c r="F853" t="s">
        <v>604</v>
      </c>
      <c r="G853" t="s">
        <v>1550</v>
      </c>
      <c r="H853" t="s">
        <v>65</v>
      </c>
    </row>
    <row r="854" spans="1:8">
      <c r="A854">
        <v>340625</v>
      </c>
      <c r="B854" t="s">
        <v>2721</v>
      </c>
      <c r="C854" t="s">
        <v>2767</v>
      </c>
      <c r="D854" t="s">
        <v>1439</v>
      </c>
      <c r="E854" t="s">
        <v>1076</v>
      </c>
      <c r="F854" t="s">
        <v>1374</v>
      </c>
      <c r="G854" t="s">
        <v>1536</v>
      </c>
      <c r="H854" t="s">
        <v>67</v>
      </c>
    </row>
    <row r="855" spans="1:8">
      <c r="A855">
        <v>352881</v>
      </c>
      <c r="B855" t="s">
        <v>2722</v>
      </c>
      <c r="C855" t="s">
        <v>2768</v>
      </c>
      <c r="D855" t="s">
        <v>1439</v>
      </c>
      <c r="E855" t="s">
        <v>1076</v>
      </c>
      <c r="F855" t="s">
        <v>1374</v>
      </c>
      <c r="G855" t="s">
        <v>1536</v>
      </c>
      <c r="H855" t="s">
        <v>67</v>
      </c>
    </row>
    <row r="856" spans="1:8">
      <c r="A856">
        <v>352885</v>
      </c>
      <c r="B856" t="s">
        <v>2723</v>
      </c>
      <c r="C856" t="s">
        <v>2643</v>
      </c>
      <c r="D856" t="s">
        <v>1439</v>
      </c>
      <c r="E856" t="s">
        <v>1076</v>
      </c>
      <c r="F856" t="s">
        <v>1374</v>
      </c>
      <c r="G856" t="s">
        <v>1536</v>
      </c>
      <c r="H856" t="s">
        <v>67</v>
      </c>
    </row>
    <row r="857" spans="1:8">
      <c r="A857">
        <v>352883</v>
      </c>
      <c r="B857" t="s">
        <v>2724</v>
      </c>
      <c r="C857" t="s">
        <v>2644</v>
      </c>
      <c r="D857" t="s">
        <v>1439</v>
      </c>
      <c r="E857" t="s">
        <v>1076</v>
      </c>
      <c r="F857" t="s">
        <v>1374</v>
      </c>
      <c r="G857" t="s">
        <v>1536</v>
      </c>
      <c r="H857" t="s">
        <v>67</v>
      </c>
    </row>
    <row r="858" spans="1:8">
      <c r="A858">
        <v>352905</v>
      </c>
      <c r="B858" t="s">
        <v>2725</v>
      </c>
      <c r="C858" t="s">
        <v>955</v>
      </c>
      <c r="D858" t="s">
        <v>1439</v>
      </c>
      <c r="E858" t="s">
        <v>1076</v>
      </c>
      <c r="F858" t="s">
        <v>1374</v>
      </c>
      <c r="G858" t="s">
        <v>1536</v>
      </c>
      <c r="H858" t="s">
        <v>67</v>
      </c>
    </row>
    <row r="859" spans="1:8">
      <c r="A859">
        <v>352944</v>
      </c>
      <c r="B859" t="s">
        <v>2726</v>
      </c>
      <c r="C859" t="s">
        <v>2645</v>
      </c>
      <c r="D859" t="s">
        <v>1439</v>
      </c>
      <c r="E859" t="s">
        <v>1191</v>
      </c>
      <c r="F859" t="s">
        <v>1381</v>
      </c>
      <c r="G859" t="s">
        <v>1541</v>
      </c>
      <c r="H859" t="s">
        <v>65</v>
      </c>
    </row>
    <row r="860" spans="1:8">
      <c r="A860">
        <v>352941</v>
      </c>
      <c r="B860" t="s">
        <v>2727</v>
      </c>
      <c r="C860" t="s">
        <v>2646</v>
      </c>
      <c r="D860" t="s">
        <v>1439</v>
      </c>
      <c r="E860" t="s">
        <v>1191</v>
      </c>
      <c r="F860" t="s">
        <v>1381</v>
      </c>
      <c r="G860" t="s">
        <v>1541</v>
      </c>
      <c r="H860" t="s">
        <v>65</v>
      </c>
    </row>
    <row r="861" spans="1:8">
      <c r="A861">
        <v>352936</v>
      </c>
      <c r="B861" t="s">
        <v>2728</v>
      </c>
      <c r="C861" t="s">
        <v>2647</v>
      </c>
      <c r="D861" t="s">
        <v>1439</v>
      </c>
      <c r="E861" t="s">
        <v>1191</v>
      </c>
      <c r="F861" t="s">
        <v>1381</v>
      </c>
      <c r="G861" t="s">
        <v>1541</v>
      </c>
      <c r="H861" t="s">
        <v>65</v>
      </c>
    </row>
    <row r="862" spans="1:8">
      <c r="A862">
        <v>352935</v>
      </c>
      <c r="B862" t="s">
        <v>2729</v>
      </c>
      <c r="C862" t="s">
        <v>2648</v>
      </c>
      <c r="D862" t="s">
        <v>1439</v>
      </c>
      <c r="E862" t="s">
        <v>1191</v>
      </c>
      <c r="F862" t="s">
        <v>1381</v>
      </c>
      <c r="G862" t="s">
        <v>1541</v>
      </c>
      <c r="H862" t="s">
        <v>65</v>
      </c>
    </row>
    <row r="863" spans="1:8">
      <c r="A863">
        <v>352937</v>
      </c>
      <c r="B863" t="s">
        <v>2730</v>
      </c>
      <c r="C863" t="s">
        <v>2649</v>
      </c>
      <c r="D863" t="s">
        <v>1439</v>
      </c>
      <c r="E863" t="s">
        <v>1191</v>
      </c>
      <c r="F863" t="s">
        <v>1381</v>
      </c>
      <c r="G863" t="s">
        <v>1541</v>
      </c>
      <c r="H863" t="s">
        <v>65</v>
      </c>
    </row>
    <row r="864" spans="1:8">
      <c r="A864">
        <v>352894</v>
      </c>
      <c r="B864" t="s">
        <v>2731</v>
      </c>
      <c r="C864" t="s">
        <v>2650</v>
      </c>
      <c r="D864" t="s">
        <v>1439</v>
      </c>
      <c r="E864" t="s">
        <v>1191</v>
      </c>
      <c r="F864" t="s">
        <v>1381</v>
      </c>
      <c r="G864" t="s">
        <v>1541</v>
      </c>
      <c r="H864" t="s">
        <v>65</v>
      </c>
    </row>
    <row r="865" spans="1:8">
      <c r="A865">
        <v>352897</v>
      </c>
      <c r="B865" t="s">
        <v>2732</v>
      </c>
      <c r="C865" t="s">
        <v>2651</v>
      </c>
      <c r="D865" t="s">
        <v>1439</v>
      </c>
      <c r="E865" t="s">
        <v>1191</v>
      </c>
      <c r="F865" t="s">
        <v>1381</v>
      </c>
      <c r="G865" t="s">
        <v>1541</v>
      </c>
      <c r="H865" t="s">
        <v>65</v>
      </c>
    </row>
    <row r="866" spans="1:8">
      <c r="A866">
        <v>352893</v>
      </c>
      <c r="B866" t="s">
        <v>2733</v>
      </c>
      <c r="C866" t="s">
        <v>2652</v>
      </c>
      <c r="D866" t="s">
        <v>1439</v>
      </c>
      <c r="E866" t="s">
        <v>1191</v>
      </c>
      <c r="F866" t="s">
        <v>1381</v>
      </c>
      <c r="G866" t="s">
        <v>1541</v>
      </c>
      <c r="H866" t="s">
        <v>65</v>
      </c>
    </row>
    <row r="867" spans="1:8">
      <c r="A867">
        <v>352895</v>
      </c>
      <c r="B867" t="s">
        <v>2734</v>
      </c>
      <c r="C867" t="s">
        <v>2653</v>
      </c>
      <c r="D867" t="s">
        <v>1439</v>
      </c>
      <c r="E867" t="s">
        <v>1191</v>
      </c>
      <c r="F867" t="s">
        <v>1381</v>
      </c>
      <c r="G867" t="s">
        <v>1541</v>
      </c>
      <c r="H867" t="s">
        <v>65</v>
      </c>
    </row>
    <row r="868" spans="1:8">
      <c r="A868">
        <v>352892</v>
      </c>
      <c r="B868" t="s">
        <v>2735</v>
      </c>
      <c r="C868" t="s">
        <v>2654</v>
      </c>
      <c r="D868" t="s">
        <v>1439</v>
      </c>
      <c r="E868" t="s">
        <v>1191</v>
      </c>
      <c r="F868" t="s">
        <v>1381</v>
      </c>
      <c r="G868" t="s">
        <v>1541</v>
      </c>
      <c r="H868" t="s">
        <v>65</v>
      </c>
    </row>
    <row r="869" spans="1:8">
      <c r="A869">
        <v>352938</v>
      </c>
      <c r="B869" t="s">
        <v>2736</v>
      </c>
      <c r="C869" t="s">
        <v>2655</v>
      </c>
      <c r="D869" t="s">
        <v>1439</v>
      </c>
      <c r="E869" t="s">
        <v>1338</v>
      </c>
      <c r="F869" t="s">
        <v>1381</v>
      </c>
      <c r="G869" t="s">
        <v>1561</v>
      </c>
      <c r="H869" t="s">
        <v>65</v>
      </c>
    </row>
    <row r="870" spans="1:8">
      <c r="A870">
        <v>352888</v>
      </c>
      <c r="B870" t="s">
        <v>2737</v>
      </c>
      <c r="C870" t="s">
        <v>2656</v>
      </c>
      <c r="D870" t="s">
        <v>1439</v>
      </c>
      <c r="E870" t="s">
        <v>1344</v>
      </c>
      <c r="F870" t="s">
        <v>604</v>
      </c>
      <c r="G870" t="s">
        <v>1541</v>
      </c>
      <c r="H870" t="s">
        <v>65</v>
      </c>
    </row>
    <row r="871" spans="1:8">
      <c r="A871">
        <v>352889</v>
      </c>
      <c r="B871" t="s">
        <v>2738</v>
      </c>
      <c r="C871" t="s">
        <v>2657</v>
      </c>
      <c r="D871" t="s">
        <v>1439</v>
      </c>
      <c r="E871" t="s">
        <v>1344</v>
      </c>
      <c r="F871" t="s">
        <v>604</v>
      </c>
      <c r="G871" t="s">
        <v>1541</v>
      </c>
      <c r="H871" t="s">
        <v>65</v>
      </c>
    </row>
    <row r="872" spans="1:8">
      <c r="A872">
        <v>352899</v>
      </c>
      <c r="B872" t="s">
        <v>2739</v>
      </c>
      <c r="C872" t="s">
        <v>2658</v>
      </c>
      <c r="D872" t="s">
        <v>1439</v>
      </c>
      <c r="E872" t="s">
        <v>1344</v>
      </c>
      <c r="F872" t="s">
        <v>604</v>
      </c>
      <c r="G872" t="s">
        <v>1541</v>
      </c>
      <c r="H872" t="s">
        <v>65</v>
      </c>
    </row>
    <row r="873" spans="1:8">
      <c r="A873">
        <v>352887</v>
      </c>
      <c r="B873" t="s">
        <v>2740</v>
      </c>
      <c r="C873" t="s">
        <v>2659</v>
      </c>
      <c r="D873" t="s">
        <v>1439</v>
      </c>
      <c r="E873" t="s">
        <v>1344</v>
      </c>
      <c r="F873" t="s">
        <v>604</v>
      </c>
      <c r="G873" t="s">
        <v>1541</v>
      </c>
      <c r="H873" t="s">
        <v>65</v>
      </c>
    </row>
    <row r="874" spans="1:8">
      <c r="A874">
        <v>352890</v>
      </c>
      <c r="B874" t="s">
        <v>2741</v>
      </c>
      <c r="C874" t="s">
        <v>2660</v>
      </c>
      <c r="D874" t="s">
        <v>1439</v>
      </c>
      <c r="E874" t="s">
        <v>1344</v>
      </c>
      <c r="F874" t="s">
        <v>604</v>
      </c>
      <c r="G874" t="s">
        <v>1541</v>
      </c>
      <c r="H874" t="s">
        <v>65</v>
      </c>
    </row>
    <row r="875" spans="1:8">
      <c r="A875">
        <v>352940</v>
      </c>
      <c r="B875" t="s">
        <v>2742</v>
      </c>
      <c r="C875" t="s">
        <v>2661</v>
      </c>
      <c r="D875" t="s">
        <v>1439</v>
      </c>
      <c r="E875" t="s">
        <v>1344</v>
      </c>
      <c r="F875" t="s">
        <v>604</v>
      </c>
      <c r="G875" t="s">
        <v>1541</v>
      </c>
      <c r="H875" t="s">
        <v>65</v>
      </c>
    </row>
    <row r="876" spans="1:8">
      <c r="A876">
        <v>352915</v>
      </c>
      <c r="B876" t="s">
        <v>2743</v>
      </c>
      <c r="C876" t="s">
        <v>2662</v>
      </c>
      <c r="D876" t="s">
        <v>1439</v>
      </c>
      <c r="E876" t="s">
        <v>1344</v>
      </c>
      <c r="F876" t="s">
        <v>604</v>
      </c>
      <c r="G876" t="s">
        <v>1541</v>
      </c>
      <c r="H876" t="s">
        <v>65</v>
      </c>
    </row>
    <row r="877" spans="1:8">
      <c r="A877">
        <v>352919</v>
      </c>
      <c r="B877" t="s">
        <v>2744</v>
      </c>
      <c r="C877" t="s">
        <v>2663</v>
      </c>
      <c r="D877" t="s">
        <v>1439</v>
      </c>
      <c r="E877" t="s">
        <v>1344</v>
      </c>
      <c r="F877" t="s">
        <v>604</v>
      </c>
      <c r="G877" t="s">
        <v>1541</v>
      </c>
      <c r="H877" t="s">
        <v>65</v>
      </c>
    </row>
    <row r="878" spans="1:8">
      <c r="A878">
        <v>353184</v>
      </c>
      <c r="B878" t="s">
        <v>2885</v>
      </c>
      <c r="C878" t="s">
        <v>2769</v>
      </c>
      <c r="D878" t="s">
        <v>1439</v>
      </c>
      <c r="E878" t="s">
        <v>476</v>
      </c>
      <c r="F878" t="s">
        <v>1374</v>
      </c>
      <c r="G878" t="s">
        <v>1536</v>
      </c>
      <c r="H878" t="s">
        <v>67</v>
      </c>
    </row>
    <row r="879" spans="1:8">
      <c r="A879">
        <v>353186</v>
      </c>
      <c r="B879" t="s">
        <v>2886</v>
      </c>
      <c r="C879" t="s">
        <v>2770</v>
      </c>
      <c r="D879" t="s">
        <v>1439</v>
      </c>
      <c r="E879" t="s">
        <v>476</v>
      </c>
      <c r="F879" t="s">
        <v>1374</v>
      </c>
      <c r="G879" t="s">
        <v>1536</v>
      </c>
      <c r="H879" t="s">
        <v>67</v>
      </c>
    </row>
    <row r="880" spans="1:8">
      <c r="A880">
        <v>353115</v>
      </c>
      <c r="B880" t="s">
        <v>2887</v>
      </c>
      <c r="C880" t="s">
        <v>2771</v>
      </c>
      <c r="D880" t="s">
        <v>1439</v>
      </c>
      <c r="E880" t="s">
        <v>512</v>
      </c>
      <c r="F880" t="s">
        <v>604</v>
      </c>
      <c r="G880" t="s">
        <v>1541</v>
      </c>
      <c r="H880" t="s">
        <v>65</v>
      </c>
    </row>
    <row r="881" spans="1:8">
      <c r="A881">
        <v>353117</v>
      </c>
      <c r="B881" t="s">
        <v>2888</v>
      </c>
      <c r="C881" t="s">
        <v>2772</v>
      </c>
      <c r="D881" t="s">
        <v>1439</v>
      </c>
      <c r="E881" t="s">
        <v>512</v>
      </c>
      <c r="F881" t="s">
        <v>604</v>
      </c>
      <c r="G881" t="s">
        <v>1541</v>
      </c>
      <c r="H881" t="s">
        <v>65</v>
      </c>
    </row>
    <row r="882" spans="1:8">
      <c r="A882">
        <v>353121</v>
      </c>
      <c r="B882" t="s">
        <v>2889</v>
      </c>
      <c r="C882" t="s">
        <v>2773</v>
      </c>
      <c r="D882" t="s">
        <v>1439</v>
      </c>
      <c r="E882" t="s">
        <v>512</v>
      </c>
      <c r="F882" t="s">
        <v>604</v>
      </c>
      <c r="G882" t="s">
        <v>1541</v>
      </c>
      <c r="H882" t="s">
        <v>65</v>
      </c>
    </row>
    <row r="883" spans="1:8">
      <c r="A883">
        <v>353122</v>
      </c>
      <c r="B883" t="s">
        <v>2890</v>
      </c>
      <c r="C883" t="s">
        <v>2774</v>
      </c>
      <c r="D883" t="s">
        <v>1439</v>
      </c>
      <c r="E883" t="s">
        <v>512</v>
      </c>
      <c r="F883" t="s">
        <v>604</v>
      </c>
      <c r="G883" t="s">
        <v>1541</v>
      </c>
      <c r="H883" t="s">
        <v>65</v>
      </c>
    </row>
    <row r="884" spans="1:8">
      <c r="A884">
        <v>353167</v>
      </c>
      <c r="B884" t="s">
        <v>2891</v>
      </c>
      <c r="C884" t="s">
        <v>2775</v>
      </c>
      <c r="D884" t="s">
        <v>1439</v>
      </c>
      <c r="E884" t="s">
        <v>512</v>
      </c>
      <c r="F884" t="s">
        <v>604</v>
      </c>
      <c r="G884" t="s">
        <v>1541</v>
      </c>
      <c r="H884" t="s">
        <v>65</v>
      </c>
    </row>
    <row r="885" spans="1:8">
      <c r="A885">
        <v>353166</v>
      </c>
      <c r="B885" t="s">
        <v>2892</v>
      </c>
      <c r="C885" t="s">
        <v>2776</v>
      </c>
      <c r="D885" t="s">
        <v>1439</v>
      </c>
      <c r="E885" t="s">
        <v>2395</v>
      </c>
      <c r="F885" t="s">
        <v>604</v>
      </c>
      <c r="G885" t="s">
        <v>1541</v>
      </c>
      <c r="H885" t="s">
        <v>65</v>
      </c>
    </row>
    <row r="886" spans="1:8">
      <c r="A886">
        <v>353199</v>
      </c>
      <c r="B886" t="s">
        <v>2893</v>
      </c>
      <c r="C886" t="s">
        <v>2777</v>
      </c>
      <c r="D886" t="s">
        <v>1439</v>
      </c>
      <c r="E886" t="s">
        <v>692</v>
      </c>
      <c r="F886" t="s">
        <v>1371</v>
      </c>
      <c r="G886" t="s">
        <v>1540</v>
      </c>
      <c r="H886" t="s">
        <v>59</v>
      </c>
    </row>
    <row r="887" spans="1:8">
      <c r="A887">
        <v>353198</v>
      </c>
      <c r="B887" t="s">
        <v>2894</v>
      </c>
      <c r="C887" t="s">
        <v>2778</v>
      </c>
      <c r="D887" t="s">
        <v>1439</v>
      </c>
      <c r="E887" t="s">
        <v>692</v>
      </c>
      <c r="F887" t="s">
        <v>1371</v>
      </c>
      <c r="G887" t="s">
        <v>1540</v>
      </c>
      <c r="H887" t="s">
        <v>59</v>
      </c>
    </row>
    <row r="888" spans="1:8">
      <c r="A888">
        <v>353194</v>
      </c>
      <c r="B888" t="s">
        <v>2895</v>
      </c>
      <c r="C888" t="s">
        <v>2779</v>
      </c>
      <c r="D888" t="s">
        <v>1439</v>
      </c>
      <c r="E888" t="s">
        <v>947</v>
      </c>
      <c r="F888" t="s">
        <v>1371</v>
      </c>
      <c r="G888" t="s">
        <v>1540</v>
      </c>
      <c r="H888" t="s">
        <v>59</v>
      </c>
    </row>
    <row r="889" spans="1:8">
      <c r="A889">
        <v>353196</v>
      </c>
      <c r="B889" t="s">
        <v>2896</v>
      </c>
      <c r="C889" t="s">
        <v>2780</v>
      </c>
      <c r="D889" t="s">
        <v>1439</v>
      </c>
      <c r="E889" t="s">
        <v>947</v>
      </c>
      <c r="F889" t="s">
        <v>1371</v>
      </c>
      <c r="G889" t="s">
        <v>1540</v>
      </c>
      <c r="H889" t="s">
        <v>59</v>
      </c>
    </row>
    <row r="890" spans="1:8">
      <c r="A890">
        <v>353187</v>
      </c>
      <c r="B890" t="s">
        <v>2897</v>
      </c>
      <c r="C890" t="s">
        <v>2781</v>
      </c>
      <c r="D890" t="s">
        <v>1439</v>
      </c>
      <c r="E890" t="s">
        <v>1012</v>
      </c>
      <c r="F890" t="s">
        <v>1371</v>
      </c>
      <c r="G890" t="s">
        <v>1540</v>
      </c>
      <c r="H890" t="s">
        <v>59</v>
      </c>
    </row>
    <row r="891" spans="1:8">
      <c r="A891">
        <v>353189</v>
      </c>
      <c r="B891" t="s">
        <v>2898</v>
      </c>
      <c r="C891" t="s">
        <v>2782</v>
      </c>
      <c r="D891" t="s">
        <v>1439</v>
      </c>
      <c r="E891" t="s">
        <v>692</v>
      </c>
      <c r="F891" t="s">
        <v>1371</v>
      </c>
      <c r="G891" t="s">
        <v>1540</v>
      </c>
      <c r="H891" t="s">
        <v>59</v>
      </c>
    </row>
    <row r="892" spans="1:8">
      <c r="A892">
        <v>353191</v>
      </c>
      <c r="B892" t="s">
        <v>2899</v>
      </c>
      <c r="C892" t="s">
        <v>2783</v>
      </c>
      <c r="D892" t="s">
        <v>1439</v>
      </c>
      <c r="E892" t="s">
        <v>1012</v>
      </c>
      <c r="F892" t="s">
        <v>1371</v>
      </c>
      <c r="G892" t="s">
        <v>1540</v>
      </c>
      <c r="H892" t="s">
        <v>59</v>
      </c>
    </row>
    <row r="893" spans="1:8">
      <c r="A893">
        <v>264892</v>
      </c>
      <c r="B893" t="s">
        <v>2900</v>
      </c>
      <c r="C893" t="s">
        <v>2784</v>
      </c>
      <c r="D893" t="s">
        <v>1439</v>
      </c>
      <c r="E893" t="s">
        <v>1213</v>
      </c>
      <c r="F893" t="s">
        <v>1374</v>
      </c>
      <c r="G893" t="s">
        <v>1536</v>
      </c>
      <c r="H893" t="s">
        <v>67</v>
      </c>
    </row>
    <row r="894" spans="1:8">
      <c r="A894">
        <v>353176</v>
      </c>
      <c r="B894" t="s">
        <v>2901</v>
      </c>
      <c r="C894" t="s">
        <v>2785</v>
      </c>
      <c r="D894" t="s">
        <v>1439</v>
      </c>
      <c r="E894" t="s">
        <v>1213</v>
      </c>
      <c r="F894" t="s">
        <v>1374</v>
      </c>
      <c r="G894" t="s">
        <v>1536</v>
      </c>
      <c r="H894" t="s">
        <v>67</v>
      </c>
    </row>
    <row r="895" spans="1:8">
      <c r="A895">
        <v>353179</v>
      </c>
      <c r="B895" t="s">
        <v>2902</v>
      </c>
      <c r="C895" t="s">
        <v>2786</v>
      </c>
      <c r="D895" t="s">
        <v>1439</v>
      </c>
      <c r="E895" t="s">
        <v>1213</v>
      </c>
      <c r="F895" t="s">
        <v>1374</v>
      </c>
      <c r="G895" t="s">
        <v>1536</v>
      </c>
      <c r="H895" t="s">
        <v>67</v>
      </c>
    </row>
    <row r="896" spans="1:8">
      <c r="A896">
        <v>353125</v>
      </c>
      <c r="B896" t="s">
        <v>2903</v>
      </c>
      <c r="C896" t="s">
        <v>2787</v>
      </c>
      <c r="D896" t="s">
        <v>1439</v>
      </c>
      <c r="E896" t="s">
        <v>1338</v>
      </c>
      <c r="F896" t="s">
        <v>1381</v>
      </c>
      <c r="G896" t="s">
        <v>1541</v>
      </c>
      <c r="H896" t="s">
        <v>65</v>
      </c>
    </row>
    <row r="897" spans="1:8">
      <c r="A897">
        <v>353126</v>
      </c>
      <c r="B897" t="s">
        <v>2904</v>
      </c>
      <c r="C897" t="s">
        <v>2788</v>
      </c>
      <c r="D897" t="s">
        <v>1439</v>
      </c>
      <c r="E897" t="s">
        <v>1338</v>
      </c>
      <c r="F897" t="s">
        <v>1381</v>
      </c>
      <c r="G897" t="s">
        <v>1541</v>
      </c>
      <c r="H897" t="s">
        <v>65</v>
      </c>
    </row>
    <row r="898" spans="1:8">
      <c r="A898">
        <v>353128</v>
      </c>
      <c r="B898" t="s">
        <v>2905</v>
      </c>
      <c r="C898" t="s">
        <v>2789</v>
      </c>
      <c r="D898" t="s">
        <v>1439</v>
      </c>
      <c r="E898" t="s">
        <v>1338</v>
      </c>
      <c r="F898" t="s">
        <v>1381</v>
      </c>
      <c r="G898" t="s">
        <v>1541</v>
      </c>
      <c r="H898" t="s">
        <v>65</v>
      </c>
    </row>
    <row r="899" spans="1:8">
      <c r="A899">
        <v>353130</v>
      </c>
      <c r="B899" t="s">
        <v>2906</v>
      </c>
      <c r="C899" t="s">
        <v>2790</v>
      </c>
      <c r="D899" t="s">
        <v>1439</v>
      </c>
      <c r="E899" t="s">
        <v>1338</v>
      </c>
      <c r="F899" t="s">
        <v>1381</v>
      </c>
      <c r="G899" t="s">
        <v>1541</v>
      </c>
      <c r="H899" t="s">
        <v>65</v>
      </c>
    </row>
    <row r="900" spans="1:8">
      <c r="A900">
        <v>353132</v>
      </c>
      <c r="B900" t="s">
        <v>2907</v>
      </c>
      <c r="C900" t="s">
        <v>2791</v>
      </c>
      <c r="D900" t="s">
        <v>1439</v>
      </c>
      <c r="E900" t="s">
        <v>1338</v>
      </c>
      <c r="F900" t="s">
        <v>1381</v>
      </c>
      <c r="G900" t="s">
        <v>1541</v>
      </c>
      <c r="H900" t="s">
        <v>65</v>
      </c>
    </row>
    <row r="901" spans="1:8">
      <c r="A901">
        <v>353165</v>
      </c>
      <c r="B901" t="s">
        <v>2908</v>
      </c>
      <c r="C901" t="s">
        <v>2792</v>
      </c>
      <c r="D901" t="s">
        <v>1439</v>
      </c>
      <c r="E901" t="s">
        <v>1338</v>
      </c>
      <c r="F901" t="s">
        <v>1381</v>
      </c>
      <c r="G901" t="s">
        <v>1541</v>
      </c>
      <c r="H901" t="s">
        <v>65</v>
      </c>
    </row>
    <row r="902" spans="1:8">
      <c r="A902">
        <v>353171</v>
      </c>
      <c r="B902" t="s">
        <v>2909</v>
      </c>
      <c r="C902" t="s">
        <v>2793</v>
      </c>
      <c r="D902" t="s">
        <v>1439</v>
      </c>
      <c r="E902" t="s">
        <v>1338</v>
      </c>
      <c r="F902" t="s">
        <v>1381</v>
      </c>
      <c r="G902" t="s">
        <v>1541</v>
      </c>
      <c r="H902" t="s">
        <v>65</v>
      </c>
    </row>
    <row r="903" spans="1:8">
      <c r="A903">
        <v>353168</v>
      </c>
      <c r="B903" t="s">
        <v>2910</v>
      </c>
      <c r="C903" t="s">
        <v>2794</v>
      </c>
      <c r="D903" t="s">
        <v>1439</v>
      </c>
      <c r="E903" t="s">
        <v>1346</v>
      </c>
      <c r="F903" t="s">
        <v>1374</v>
      </c>
      <c r="G903" t="s">
        <v>1536</v>
      </c>
      <c r="H903" t="s">
        <v>67</v>
      </c>
    </row>
    <row r="904" spans="1:8">
      <c r="A904">
        <v>353169</v>
      </c>
      <c r="B904" t="s">
        <v>2911</v>
      </c>
      <c r="C904" t="s">
        <v>2795</v>
      </c>
      <c r="D904" t="s">
        <v>1439</v>
      </c>
      <c r="E904" t="s">
        <v>1346</v>
      </c>
      <c r="F904" t="s">
        <v>1374</v>
      </c>
      <c r="G904" t="s">
        <v>1536</v>
      </c>
      <c r="H904" t="s">
        <v>67</v>
      </c>
    </row>
    <row r="905" spans="1:8">
      <c r="A905">
        <v>109540</v>
      </c>
      <c r="B905" t="s">
        <v>2912</v>
      </c>
      <c r="C905" t="s">
        <v>2796</v>
      </c>
      <c r="D905" t="s">
        <v>1439</v>
      </c>
      <c r="E905" t="s">
        <v>476</v>
      </c>
      <c r="F905" t="s">
        <v>1374</v>
      </c>
      <c r="G905" t="s">
        <v>1536</v>
      </c>
      <c r="H905" t="s">
        <v>67</v>
      </c>
    </row>
    <row r="906" spans="1:8">
      <c r="A906">
        <v>290160</v>
      </c>
      <c r="B906" t="s">
        <v>2913</v>
      </c>
      <c r="C906" t="s">
        <v>2797</v>
      </c>
      <c r="D906" t="s">
        <v>1439</v>
      </c>
      <c r="E906" t="s">
        <v>476</v>
      </c>
      <c r="F906" t="s">
        <v>1374</v>
      </c>
      <c r="G906" t="s">
        <v>1536</v>
      </c>
      <c r="H906" t="s">
        <v>67</v>
      </c>
    </row>
    <row r="907" spans="1:8">
      <c r="A907">
        <v>118127</v>
      </c>
      <c r="B907" t="s">
        <v>2914</v>
      </c>
      <c r="C907" t="s">
        <v>2798</v>
      </c>
      <c r="D907" t="s">
        <v>1439</v>
      </c>
      <c r="E907" t="s">
        <v>476</v>
      </c>
      <c r="F907" t="s">
        <v>1374</v>
      </c>
      <c r="G907" t="s">
        <v>1536</v>
      </c>
      <c r="H907" t="s">
        <v>67</v>
      </c>
    </row>
    <row r="908" spans="1:8">
      <c r="A908">
        <v>300992</v>
      </c>
      <c r="B908" t="s">
        <v>2915</v>
      </c>
      <c r="C908" t="s">
        <v>2799</v>
      </c>
      <c r="D908" t="s">
        <v>1439</v>
      </c>
      <c r="E908" t="s">
        <v>476</v>
      </c>
      <c r="F908" t="s">
        <v>1374</v>
      </c>
      <c r="G908" t="s">
        <v>1536</v>
      </c>
      <c r="H908" t="s">
        <v>67</v>
      </c>
    </row>
    <row r="909" spans="1:8">
      <c r="A909">
        <v>187169</v>
      </c>
      <c r="B909" t="s">
        <v>2916</v>
      </c>
      <c r="C909" t="s">
        <v>2800</v>
      </c>
      <c r="D909" t="s">
        <v>1439</v>
      </c>
      <c r="E909" t="s">
        <v>512</v>
      </c>
      <c r="F909" t="s">
        <v>604</v>
      </c>
      <c r="G909" t="s">
        <v>1541</v>
      </c>
      <c r="H909" t="s">
        <v>65</v>
      </c>
    </row>
    <row r="910" spans="1:8">
      <c r="A910">
        <v>349497</v>
      </c>
      <c r="B910" t="s">
        <v>2917</v>
      </c>
      <c r="C910" t="s">
        <v>2801</v>
      </c>
      <c r="D910" t="s">
        <v>1439</v>
      </c>
      <c r="E910" t="s">
        <v>512</v>
      </c>
      <c r="F910" t="s">
        <v>604</v>
      </c>
      <c r="G910" t="s">
        <v>1541</v>
      </c>
      <c r="H910" t="s">
        <v>65</v>
      </c>
    </row>
    <row r="911" spans="1:8">
      <c r="A911">
        <v>349488</v>
      </c>
      <c r="B911" t="s">
        <v>2918</v>
      </c>
      <c r="C911" t="s">
        <v>2802</v>
      </c>
      <c r="D911" t="s">
        <v>1439</v>
      </c>
      <c r="E911" t="s">
        <v>512</v>
      </c>
      <c r="F911" t="s">
        <v>604</v>
      </c>
      <c r="G911" t="s">
        <v>1541</v>
      </c>
      <c r="H911" t="s">
        <v>65</v>
      </c>
    </row>
    <row r="912" spans="1:8">
      <c r="A912">
        <v>345096</v>
      </c>
      <c r="B912" t="s">
        <v>2919</v>
      </c>
      <c r="C912" t="s">
        <v>2803</v>
      </c>
      <c r="D912" t="s">
        <v>1439</v>
      </c>
      <c r="E912" t="s">
        <v>512</v>
      </c>
      <c r="F912" t="s">
        <v>604</v>
      </c>
      <c r="G912" t="s">
        <v>1541</v>
      </c>
      <c r="H912" t="s">
        <v>65</v>
      </c>
    </row>
    <row r="913" spans="1:8">
      <c r="A913">
        <v>345433</v>
      </c>
      <c r="B913" t="s">
        <v>2920</v>
      </c>
      <c r="C913" t="s">
        <v>2804</v>
      </c>
      <c r="D913" t="s">
        <v>1439</v>
      </c>
      <c r="E913" t="s">
        <v>1346</v>
      </c>
      <c r="F913" t="s">
        <v>1374</v>
      </c>
      <c r="G913" t="s">
        <v>1536</v>
      </c>
      <c r="H913" t="s">
        <v>67</v>
      </c>
    </row>
    <row r="914" spans="1:8">
      <c r="A914">
        <v>350713</v>
      </c>
      <c r="B914" t="s">
        <v>2921</v>
      </c>
      <c r="C914" t="s">
        <v>2805</v>
      </c>
      <c r="D914" t="s">
        <v>1439</v>
      </c>
      <c r="E914" t="s">
        <v>584</v>
      </c>
      <c r="F914" t="s">
        <v>1374</v>
      </c>
      <c r="G914" t="s">
        <v>1536</v>
      </c>
      <c r="H914" t="s">
        <v>67</v>
      </c>
    </row>
    <row r="915" spans="1:8">
      <c r="A915">
        <v>345181</v>
      </c>
      <c r="B915" t="s">
        <v>2922</v>
      </c>
      <c r="C915" t="s">
        <v>2806</v>
      </c>
      <c r="D915" t="s">
        <v>1439</v>
      </c>
      <c r="E915" t="s">
        <v>584</v>
      </c>
      <c r="F915" t="s">
        <v>1374</v>
      </c>
      <c r="G915" t="s">
        <v>1536</v>
      </c>
      <c r="H915" t="s">
        <v>67</v>
      </c>
    </row>
    <row r="916" spans="1:8">
      <c r="A916">
        <v>292179</v>
      </c>
      <c r="B916" t="s">
        <v>2923</v>
      </c>
      <c r="C916" t="s">
        <v>2807</v>
      </c>
      <c r="D916" t="s">
        <v>1439</v>
      </c>
      <c r="E916" t="s">
        <v>1076</v>
      </c>
      <c r="F916" t="s">
        <v>1374</v>
      </c>
      <c r="G916" t="s">
        <v>1536</v>
      </c>
      <c r="H916" t="s">
        <v>67</v>
      </c>
    </row>
    <row r="917" spans="1:8">
      <c r="A917">
        <v>198530</v>
      </c>
      <c r="B917" t="s">
        <v>2924</v>
      </c>
      <c r="C917" t="s">
        <v>2808</v>
      </c>
      <c r="D917" t="s">
        <v>1439</v>
      </c>
      <c r="E917" t="s">
        <v>1076</v>
      </c>
      <c r="F917" t="s">
        <v>1374</v>
      </c>
      <c r="G917" t="s">
        <v>1536</v>
      </c>
      <c r="H917" t="s">
        <v>67</v>
      </c>
    </row>
    <row r="918" spans="1:8">
      <c r="A918">
        <v>239699</v>
      </c>
      <c r="B918" t="s">
        <v>2925</v>
      </c>
      <c r="C918" t="s">
        <v>2809</v>
      </c>
      <c r="D918" t="s">
        <v>1439</v>
      </c>
      <c r="E918" t="s">
        <v>1076</v>
      </c>
      <c r="F918" t="s">
        <v>1374</v>
      </c>
      <c r="G918" t="s">
        <v>1536</v>
      </c>
      <c r="H918" t="s">
        <v>67</v>
      </c>
    </row>
    <row r="919" spans="1:8">
      <c r="A919">
        <v>234989</v>
      </c>
      <c r="B919" t="s">
        <v>2926</v>
      </c>
      <c r="C919" t="s">
        <v>2810</v>
      </c>
      <c r="D919" t="s">
        <v>1439</v>
      </c>
      <c r="E919" t="s">
        <v>1191</v>
      </c>
      <c r="F919" t="s">
        <v>1381</v>
      </c>
      <c r="G919" t="s">
        <v>1541</v>
      </c>
      <c r="H919" t="s">
        <v>65</v>
      </c>
    </row>
    <row r="920" spans="1:8">
      <c r="A920">
        <v>346145</v>
      </c>
      <c r="B920" t="s">
        <v>2927</v>
      </c>
      <c r="C920" t="s">
        <v>2811</v>
      </c>
      <c r="D920" t="s">
        <v>1439</v>
      </c>
      <c r="E920" t="s">
        <v>1191</v>
      </c>
      <c r="F920" t="s">
        <v>1381</v>
      </c>
      <c r="G920" t="s">
        <v>1541</v>
      </c>
      <c r="H920" t="s">
        <v>65</v>
      </c>
    </row>
    <row r="921" spans="1:8">
      <c r="A921">
        <v>345112</v>
      </c>
      <c r="B921" t="s">
        <v>2928</v>
      </c>
      <c r="C921" t="s">
        <v>2812</v>
      </c>
      <c r="D921" t="s">
        <v>1439</v>
      </c>
      <c r="E921" t="s">
        <v>1191</v>
      </c>
      <c r="F921" t="s">
        <v>1381</v>
      </c>
      <c r="G921" t="s">
        <v>1541</v>
      </c>
      <c r="H921" t="s">
        <v>65</v>
      </c>
    </row>
    <row r="922" spans="1:8">
      <c r="A922">
        <v>349540</v>
      </c>
      <c r="B922" t="s">
        <v>2929</v>
      </c>
      <c r="C922" t="s">
        <v>2813</v>
      </c>
      <c r="D922" t="s">
        <v>1439</v>
      </c>
      <c r="E922" t="s">
        <v>1191</v>
      </c>
      <c r="F922" t="s">
        <v>1381</v>
      </c>
      <c r="G922" t="s">
        <v>1541</v>
      </c>
      <c r="H922" t="s">
        <v>65</v>
      </c>
    </row>
    <row r="923" spans="1:8">
      <c r="A923">
        <v>345436</v>
      </c>
      <c r="B923" t="s">
        <v>2930</v>
      </c>
      <c r="C923" t="s">
        <v>2814</v>
      </c>
      <c r="D923" t="s">
        <v>1439</v>
      </c>
      <c r="E923" t="s">
        <v>1191</v>
      </c>
      <c r="F923" t="s">
        <v>1381</v>
      </c>
      <c r="G923" t="s">
        <v>1541</v>
      </c>
      <c r="H923" t="s">
        <v>65</v>
      </c>
    </row>
    <row r="924" spans="1:8">
      <c r="A924">
        <v>290643</v>
      </c>
      <c r="B924" t="s">
        <v>2931</v>
      </c>
      <c r="C924" t="s">
        <v>2815</v>
      </c>
      <c r="D924" t="s">
        <v>1439</v>
      </c>
      <c r="E924" t="s">
        <v>1213</v>
      </c>
      <c r="F924" t="s">
        <v>1374</v>
      </c>
      <c r="G924" t="s">
        <v>1536</v>
      </c>
      <c r="H924" t="s">
        <v>67</v>
      </c>
    </row>
    <row r="925" spans="1:8">
      <c r="A925">
        <v>350557</v>
      </c>
      <c r="B925" t="s">
        <v>2932</v>
      </c>
      <c r="C925" t="s">
        <v>2816</v>
      </c>
      <c r="D925" t="s">
        <v>1439</v>
      </c>
      <c r="E925" t="s">
        <v>1213</v>
      </c>
      <c r="F925" t="s">
        <v>1374</v>
      </c>
      <c r="G925" t="s">
        <v>1536</v>
      </c>
      <c r="H925" t="s">
        <v>67</v>
      </c>
    </row>
    <row r="926" spans="1:8">
      <c r="A926">
        <v>290287</v>
      </c>
      <c r="B926" t="s">
        <v>2933</v>
      </c>
      <c r="C926" t="s">
        <v>2817</v>
      </c>
      <c r="D926" t="s">
        <v>1439</v>
      </c>
      <c r="E926" t="s">
        <v>1213</v>
      </c>
      <c r="F926" t="s">
        <v>1374</v>
      </c>
      <c r="G926" t="s">
        <v>1536</v>
      </c>
      <c r="H926" t="s">
        <v>67</v>
      </c>
    </row>
    <row r="927" spans="1:8">
      <c r="A927">
        <v>300530</v>
      </c>
      <c r="B927" t="s">
        <v>2934</v>
      </c>
      <c r="C927" t="s">
        <v>2818</v>
      </c>
      <c r="D927" t="s">
        <v>1439</v>
      </c>
      <c r="E927" t="s">
        <v>1213</v>
      </c>
      <c r="F927" t="s">
        <v>1374</v>
      </c>
      <c r="G927" t="s">
        <v>1536</v>
      </c>
      <c r="H927" t="s">
        <v>67</v>
      </c>
    </row>
    <row r="928" spans="1:8">
      <c r="A928">
        <v>65286</v>
      </c>
      <c r="B928" t="s">
        <v>2935</v>
      </c>
      <c r="C928" t="s">
        <v>2819</v>
      </c>
      <c r="D928" t="s">
        <v>1439</v>
      </c>
      <c r="E928" t="s">
        <v>1273</v>
      </c>
      <c r="F928" t="s">
        <v>1374</v>
      </c>
      <c r="G928" t="s">
        <v>1536</v>
      </c>
      <c r="H928" t="s">
        <v>67</v>
      </c>
    </row>
    <row r="929" spans="1:8">
      <c r="A929">
        <v>294102</v>
      </c>
      <c r="B929" t="s">
        <v>2936</v>
      </c>
      <c r="C929" t="s">
        <v>2820</v>
      </c>
      <c r="D929" t="s">
        <v>1439</v>
      </c>
      <c r="E929" t="s">
        <v>1273</v>
      </c>
      <c r="F929" t="s">
        <v>1374</v>
      </c>
      <c r="G929" t="s">
        <v>1536</v>
      </c>
      <c r="H929" t="s">
        <v>67</v>
      </c>
    </row>
    <row r="930" spans="1:8">
      <c r="A930">
        <v>329307</v>
      </c>
      <c r="B930" t="s">
        <v>2937</v>
      </c>
      <c r="C930" t="s">
        <v>2821</v>
      </c>
      <c r="D930" t="s">
        <v>1439</v>
      </c>
      <c r="E930" t="s">
        <v>1273</v>
      </c>
      <c r="F930" t="s">
        <v>1374</v>
      </c>
      <c r="G930" t="s">
        <v>1536</v>
      </c>
      <c r="H930" t="s">
        <v>67</v>
      </c>
    </row>
    <row r="931" spans="1:8">
      <c r="A931">
        <v>121113</v>
      </c>
      <c r="B931" t="s">
        <v>2938</v>
      </c>
      <c r="C931" t="s">
        <v>2822</v>
      </c>
      <c r="D931" t="s">
        <v>1439</v>
      </c>
      <c r="E931" t="s">
        <v>1338</v>
      </c>
      <c r="F931" t="s">
        <v>1381</v>
      </c>
      <c r="G931" t="s">
        <v>1541</v>
      </c>
      <c r="H931" t="s">
        <v>65</v>
      </c>
    </row>
    <row r="932" spans="1:8">
      <c r="A932">
        <v>267921</v>
      </c>
      <c r="B932" t="s">
        <v>2939</v>
      </c>
      <c r="C932" t="s">
        <v>2823</v>
      </c>
      <c r="D932" t="s">
        <v>1439</v>
      </c>
      <c r="E932" t="s">
        <v>1338</v>
      </c>
      <c r="F932" t="s">
        <v>1381</v>
      </c>
      <c r="G932" t="s">
        <v>1541</v>
      </c>
      <c r="H932" t="s">
        <v>65</v>
      </c>
    </row>
    <row r="933" spans="1:8">
      <c r="A933">
        <v>349572</v>
      </c>
      <c r="B933" t="s">
        <v>2940</v>
      </c>
      <c r="C933" t="s">
        <v>2824</v>
      </c>
      <c r="D933" t="s">
        <v>1439</v>
      </c>
      <c r="E933" t="s">
        <v>1338</v>
      </c>
      <c r="F933" t="s">
        <v>1381</v>
      </c>
      <c r="G933" t="s">
        <v>1541</v>
      </c>
      <c r="H933" t="s">
        <v>65</v>
      </c>
    </row>
    <row r="934" spans="1:8">
      <c r="A934">
        <v>349554</v>
      </c>
      <c r="B934" t="s">
        <v>2941</v>
      </c>
      <c r="C934" t="s">
        <v>2825</v>
      </c>
      <c r="D934" t="s">
        <v>1439</v>
      </c>
      <c r="E934" t="s">
        <v>1338</v>
      </c>
      <c r="F934" t="s">
        <v>1381</v>
      </c>
      <c r="G934" t="s">
        <v>1541</v>
      </c>
      <c r="H934" t="s">
        <v>65</v>
      </c>
    </row>
    <row r="935" spans="1:8">
      <c r="A935">
        <v>290267</v>
      </c>
      <c r="B935" t="s">
        <v>2942</v>
      </c>
      <c r="C935" t="s">
        <v>2826</v>
      </c>
      <c r="D935" t="s">
        <v>1439</v>
      </c>
      <c r="E935" t="s">
        <v>1344</v>
      </c>
      <c r="F935" t="s">
        <v>604</v>
      </c>
      <c r="G935" t="s">
        <v>1541</v>
      </c>
      <c r="H935" t="s">
        <v>65</v>
      </c>
    </row>
    <row r="936" spans="1:8">
      <c r="A936">
        <v>345108</v>
      </c>
      <c r="B936" t="s">
        <v>2943</v>
      </c>
      <c r="C936" t="s">
        <v>2827</v>
      </c>
      <c r="D936" t="s">
        <v>1439</v>
      </c>
      <c r="E936" t="s">
        <v>1344</v>
      </c>
      <c r="F936" t="s">
        <v>604</v>
      </c>
      <c r="G936" t="s">
        <v>1541</v>
      </c>
      <c r="H936" t="s">
        <v>65</v>
      </c>
    </row>
    <row r="937" spans="1:8">
      <c r="A937">
        <v>350715</v>
      </c>
      <c r="B937" t="s">
        <v>2944</v>
      </c>
      <c r="C937" t="s">
        <v>2828</v>
      </c>
      <c r="D937" t="s">
        <v>1439</v>
      </c>
      <c r="E937" t="s">
        <v>1344</v>
      </c>
      <c r="F937" t="s">
        <v>604</v>
      </c>
      <c r="G937" t="s">
        <v>1541</v>
      </c>
      <c r="H937" t="s">
        <v>65</v>
      </c>
    </row>
    <row r="938" spans="1:8">
      <c r="A938">
        <v>345435</v>
      </c>
      <c r="B938" t="s">
        <v>2945</v>
      </c>
      <c r="C938" t="s">
        <v>2829</v>
      </c>
      <c r="D938" t="s">
        <v>1439</v>
      </c>
      <c r="E938" t="s">
        <v>1344</v>
      </c>
      <c r="F938" t="s">
        <v>604</v>
      </c>
      <c r="G938" t="s">
        <v>1541</v>
      </c>
      <c r="H938" t="s">
        <v>65</v>
      </c>
    </row>
    <row r="939" spans="1:8">
      <c r="A939">
        <v>349489</v>
      </c>
      <c r="B939" t="s">
        <v>2946</v>
      </c>
      <c r="C939" t="s">
        <v>2830</v>
      </c>
      <c r="D939" t="s">
        <v>1439</v>
      </c>
      <c r="E939" t="s">
        <v>1344</v>
      </c>
      <c r="F939" t="s">
        <v>604</v>
      </c>
      <c r="G939" t="s">
        <v>1541</v>
      </c>
      <c r="H939" t="s">
        <v>65</v>
      </c>
    </row>
    <row r="940" spans="1:8">
      <c r="A940">
        <v>329159</v>
      </c>
      <c r="B940" t="s">
        <v>2947</v>
      </c>
      <c r="C940" t="s">
        <v>2831</v>
      </c>
      <c r="D940" t="s">
        <v>1439</v>
      </c>
      <c r="E940" t="s">
        <v>1338</v>
      </c>
      <c r="F940" t="s">
        <v>1381</v>
      </c>
      <c r="G940" t="s">
        <v>1561</v>
      </c>
      <c r="H940" t="s">
        <v>65</v>
      </c>
    </row>
    <row r="941" spans="1:8">
      <c r="A941">
        <v>329506</v>
      </c>
      <c r="B941" t="s">
        <v>2948</v>
      </c>
      <c r="C941" t="s">
        <v>2832</v>
      </c>
      <c r="D941" t="s">
        <v>1439</v>
      </c>
      <c r="E941" t="s">
        <v>1338</v>
      </c>
      <c r="F941" t="s">
        <v>1381</v>
      </c>
      <c r="G941" t="s">
        <v>1561</v>
      </c>
      <c r="H941" t="s">
        <v>65</v>
      </c>
    </row>
    <row r="942" spans="1:8">
      <c r="A942">
        <v>346140</v>
      </c>
      <c r="B942" t="s">
        <v>2949</v>
      </c>
      <c r="C942" t="s">
        <v>2833</v>
      </c>
      <c r="D942" t="s">
        <v>1439</v>
      </c>
      <c r="E942" t="s">
        <v>2395</v>
      </c>
      <c r="F942" t="s">
        <v>604</v>
      </c>
      <c r="G942" t="s">
        <v>1541</v>
      </c>
      <c r="H942" t="s">
        <v>65</v>
      </c>
    </row>
    <row r="943" spans="1:8">
      <c r="A943">
        <v>346139</v>
      </c>
      <c r="B943" t="s">
        <v>2950</v>
      </c>
      <c r="C943" t="s">
        <v>2834</v>
      </c>
      <c r="D943" t="s">
        <v>1439</v>
      </c>
      <c r="E943" t="s">
        <v>2395</v>
      </c>
      <c r="F943" t="s">
        <v>604</v>
      </c>
      <c r="G943" t="s">
        <v>1541</v>
      </c>
      <c r="H943" t="s">
        <v>65</v>
      </c>
    </row>
    <row r="944" spans="1:8">
      <c r="A944">
        <v>349502</v>
      </c>
      <c r="B944" t="s">
        <v>2951</v>
      </c>
      <c r="C944" t="s">
        <v>2835</v>
      </c>
      <c r="D944" t="s">
        <v>1439</v>
      </c>
      <c r="E944" t="s">
        <v>1213</v>
      </c>
      <c r="F944" t="s">
        <v>1374</v>
      </c>
      <c r="G944" t="s">
        <v>1536</v>
      </c>
      <c r="H944" t="s">
        <v>67</v>
      </c>
    </row>
    <row r="945" spans="1:8">
      <c r="A945">
        <v>274127</v>
      </c>
      <c r="B945" t="s">
        <v>2952</v>
      </c>
      <c r="C945" t="s">
        <v>2836</v>
      </c>
      <c r="D945" t="s">
        <v>1439</v>
      </c>
      <c r="E945" t="s">
        <v>1346</v>
      </c>
      <c r="F945" t="s">
        <v>1374</v>
      </c>
      <c r="G945" t="s">
        <v>1536</v>
      </c>
      <c r="H945" t="s">
        <v>67</v>
      </c>
    </row>
    <row r="946" spans="1:8">
      <c r="A946">
        <v>267972</v>
      </c>
      <c r="B946" t="s">
        <v>2953</v>
      </c>
      <c r="C946" t="s">
        <v>2837</v>
      </c>
      <c r="D946" t="s">
        <v>1439</v>
      </c>
      <c r="E946" t="s">
        <v>2395</v>
      </c>
      <c r="F946" t="s">
        <v>604</v>
      </c>
      <c r="G946" t="s">
        <v>1541</v>
      </c>
      <c r="H946" t="s">
        <v>65</v>
      </c>
    </row>
    <row r="947" spans="1:8">
      <c r="A947">
        <v>345434</v>
      </c>
      <c r="B947" t="s">
        <v>2954</v>
      </c>
      <c r="C947" t="s">
        <v>2838</v>
      </c>
      <c r="D947" t="s">
        <v>1439</v>
      </c>
      <c r="E947" t="s">
        <v>1338</v>
      </c>
      <c r="F947" t="s">
        <v>1381</v>
      </c>
      <c r="G947" t="s">
        <v>1541</v>
      </c>
      <c r="H947" t="s">
        <v>65</v>
      </c>
    </row>
    <row r="948" spans="1:8">
      <c r="A948">
        <v>345121</v>
      </c>
      <c r="B948" t="s">
        <v>2955</v>
      </c>
      <c r="C948" t="s">
        <v>2839</v>
      </c>
      <c r="D948" t="s">
        <v>1439</v>
      </c>
      <c r="E948" t="s">
        <v>791</v>
      </c>
      <c r="F948" t="s">
        <v>1381</v>
      </c>
      <c r="G948" t="s">
        <v>1541</v>
      </c>
      <c r="H948" t="s">
        <v>65</v>
      </c>
    </row>
    <row r="949" spans="1:8">
      <c r="A949">
        <v>346144</v>
      </c>
      <c r="B949" t="s">
        <v>2956</v>
      </c>
      <c r="C949" t="s">
        <v>2840</v>
      </c>
      <c r="D949" t="s">
        <v>1439</v>
      </c>
      <c r="E949" t="s">
        <v>791</v>
      </c>
      <c r="F949" t="s">
        <v>1381</v>
      </c>
      <c r="G949" t="s">
        <v>1541</v>
      </c>
      <c r="H949" t="s">
        <v>65</v>
      </c>
    </row>
    <row r="950" spans="1:8">
      <c r="A950">
        <v>345175</v>
      </c>
      <c r="B950" t="s">
        <v>2957</v>
      </c>
      <c r="C950" t="s">
        <v>2841</v>
      </c>
      <c r="D950" t="s">
        <v>1439</v>
      </c>
      <c r="E950" t="s">
        <v>791</v>
      </c>
      <c r="F950" t="s">
        <v>1381</v>
      </c>
      <c r="G950" t="s">
        <v>1541</v>
      </c>
      <c r="H950" t="s">
        <v>65</v>
      </c>
    </row>
    <row r="951" spans="1:8">
      <c r="A951">
        <v>353391</v>
      </c>
      <c r="B951" t="s">
        <v>2958</v>
      </c>
      <c r="C951" t="s">
        <v>2842</v>
      </c>
      <c r="D951" t="s">
        <v>1439</v>
      </c>
      <c r="E951" t="s">
        <v>1344</v>
      </c>
      <c r="F951" t="s">
        <v>604</v>
      </c>
      <c r="G951" t="s">
        <v>1541</v>
      </c>
      <c r="H951" t="s">
        <v>65</v>
      </c>
    </row>
    <row r="952" spans="1:8">
      <c r="A952">
        <v>353389</v>
      </c>
      <c r="B952" t="s">
        <v>2959</v>
      </c>
      <c r="C952" t="s">
        <v>2843</v>
      </c>
      <c r="D952" t="s">
        <v>1439</v>
      </c>
      <c r="E952" t="s">
        <v>1344</v>
      </c>
      <c r="F952" t="s">
        <v>604</v>
      </c>
      <c r="G952" t="s">
        <v>1541</v>
      </c>
      <c r="H952" t="s">
        <v>65</v>
      </c>
    </row>
    <row r="953" spans="1:8">
      <c r="A953">
        <v>353387</v>
      </c>
      <c r="B953" t="s">
        <v>2960</v>
      </c>
      <c r="C953" t="s">
        <v>2844</v>
      </c>
      <c r="D953" t="s">
        <v>1439</v>
      </c>
      <c r="E953" t="s">
        <v>1344</v>
      </c>
      <c r="F953" t="s">
        <v>604</v>
      </c>
      <c r="G953" t="s">
        <v>1541</v>
      </c>
      <c r="H953" t="s">
        <v>65</v>
      </c>
    </row>
    <row r="954" spans="1:8">
      <c r="A954">
        <v>353386</v>
      </c>
      <c r="B954" t="s">
        <v>2961</v>
      </c>
      <c r="C954" t="s">
        <v>2845</v>
      </c>
      <c r="D954" t="s">
        <v>1439</v>
      </c>
      <c r="E954" t="s">
        <v>1344</v>
      </c>
      <c r="F954" t="s">
        <v>604</v>
      </c>
      <c r="G954" t="s">
        <v>1541</v>
      </c>
      <c r="H954" t="s">
        <v>65</v>
      </c>
    </row>
    <row r="955" spans="1:8">
      <c r="A955">
        <v>353385</v>
      </c>
      <c r="B955" t="s">
        <v>2962</v>
      </c>
      <c r="C955" t="s">
        <v>2846</v>
      </c>
      <c r="D955" t="s">
        <v>1439</v>
      </c>
      <c r="E955" t="s">
        <v>1344</v>
      </c>
      <c r="F955" t="s">
        <v>604</v>
      </c>
      <c r="G955" t="s">
        <v>1541</v>
      </c>
      <c r="H955" t="s">
        <v>65</v>
      </c>
    </row>
    <row r="956" spans="1:8">
      <c r="A956">
        <v>353521</v>
      </c>
      <c r="B956" t="s">
        <v>2963</v>
      </c>
      <c r="C956" t="s">
        <v>2847</v>
      </c>
      <c r="D956" t="s">
        <v>1439</v>
      </c>
      <c r="E956" t="s">
        <v>1344</v>
      </c>
      <c r="F956" t="s">
        <v>604</v>
      </c>
      <c r="G956" t="s">
        <v>1541</v>
      </c>
      <c r="H956" t="s">
        <v>65</v>
      </c>
    </row>
    <row r="957" spans="1:8">
      <c r="A957">
        <v>353415</v>
      </c>
      <c r="B957" t="s">
        <v>2964</v>
      </c>
      <c r="C957" t="s">
        <v>2848</v>
      </c>
      <c r="D957" t="s">
        <v>1439</v>
      </c>
      <c r="E957" t="s">
        <v>1344</v>
      </c>
      <c r="F957" t="s">
        <v>604</v>
      </c>
      <c r="G957" t="s">
        <v>1541</v>
      </c>
      <c r="H957" t="s">
        <v>65</v>
      </c>
    </row>
    <row r="958" spans="1:8">
      <c r="A958">
        <v>353388</v>
      </c>
      <c r="B958" t="s">
        <v>2965</v>
      </c>
      <c r="C958" t="s">
        <v>2849</v>
      </c>
      <c r="D958" t="s">
        <v>1439</v>
      </c>
      <c r="E958" t="s">
        <v>1344</v>
      </c>
      <c r="F958" t="s">
        <v>604</v>
      </c>
      <c r="G958" t="s">
        <v>1541</v>
      </c>
      <c r="H958" t="s">
        <v>65</v>
      </c>
    </row>
    <row r="959" spans="1:8">
      <c r="A959">
        <v>353523</v>
      </c>
      <c r="B959" t="s">
        <v>2966</v>
      </c>
      <c r="C959" t="s">
        <v>2850</v>
      </c>
      <c r="D959" t="s">
        <v>1439</v>
      </c>
      <c r="E959" t="s">
        <v>1344</v>
      </c>
      <c r="F959" t="s">
        <v>604</v>
      </c>
      <c r="G959" t="s">
        <v>1541</v>
      </c>
      <c r="H959" t="s">
        <v>65</v>
      </c>
    </row>
    <row r="960" spans="1:8">
      <c r="A960">
        <v>353526</v>
      </c>
      <c r="B960" t="s">
        <v>2967</v>
      </c>
      <c r="C960" t="s">
        <v>2851</v>
      </c>
      <c r="D960" t="s">
        <v>1439</v>
      </c>
      <c r="E960" t="s">
        <v>1344</v>
      </c>
      <c r="F960" t="s">
        <v>604</v>
      </c>
      <c r="G960" t="s">
        <v>1541</v>
      </c>
      <c r="H960" t="s">
        <v>65</v>
      </c>
    </row>
    <row r="961" spans="1:8">
      <c r="A961">
        <v>353528</v>
      </c>
      <c r="B961" t="s">
        <v>2968</v>
      </c>
      <c r="C961" t="s">
        <v>2852</v>
      </c>
      <c r="D961" t="s">
        <v>1439</v>
      </c>
      <c r="E961" t="s">
        <v>1344</v>
      </c>
      <c r="F961" t="s">
        <v>604</v>
      </c>
      <c r="G961" t="s">
        <v>1541</v>
      </c>
      <c r="H961" t="s">
        <v>65</v>
      </c>
    </row>
    <row r="962" spans="1:8">
      <c r="A962">
        <v>353530</v>
      </c>
      <c r="B962" t="s">
        <v>2969</v>
      </c>
      <c r="C962" t="s">
        <v>2853</v>
      </c>
      <c r="D962" t="s">
        <v>1439</v>
      </c>
      <c r="E962" t="s">
        <v>2395</v>
      </c>
      <c r="F962" t="s">
        <v>604</v>
      </c>
      <c r="G962" t="s">
        <v>1541</v>
      </c>
      <c r="H962" t="s">
        <v>65</v>
      </c>
    </row>
    <row r="963" spans="1:8">
      <c r="A963">
        <v>353466</v>
      </c>
      <c r="B963" t="s">
        <v>2970</v>
      </c>
      <c r="C963" t="s">
        <v>2854</v>
      </c>
      <c r="D963" t="s">
        <v>1439</v>
      </c>
      <c r="E963" t="s">
        <v>2395</v>
      </c>
      <c r="F963" t="s">
        <v>604</v>
      </c>
      <c r="G963" t="s">
        <v>1541</v>
      </c>
      <c r="H963" t="s">
        <v>65</v>
      </c>
    </row>
    <row r="964" spans="1:8">
      <c r="A964">
        <v>353459</v>
      </c>
      <c r="B964" t="s">
        <v>2971</v>
      </c>
      <c r="C964" t="s">
        <v>2855</v>
      </c>
      <c r="D964" t="s">
        <v>1439</v>
      </c>
      <c r="E964" t="s">
        <v>2395</v>
      </c>
      <c r="F964" t="s">
        <v>604</v>
      </c>
      <c r="G964" t="s">
        <v>1541</v>
      </c>
      <c r="H964" t="s">
        <v>65</v>
      </c>
    </row>
    <row r="965" spans="1:8">
      <c r="A965">
        <v>353452</v>
      </c>
      <c r="B965" t="s">
        <v>2972</v>
      </c>
      <c r="C965" t="s">
        <v>2856</v>
      </c>
      <c r="D965" t="s">
        <v>1439</v>
      </c>
      <c r="E965" t="s">
        <v>512</v>
      </c>
      <c r="F965" t="s">
        <v>604</v>
      </c>
      <c r="G965" t="s">
        <v>1541</v>
      </c>
      <c r="H965" t="s">
        <v>65</v>
      </c>
    </row>
    <row r="966" spans="1:8">
      <c r="A966">
        <v>353445</v>
      </c>
      <c r="B966" t="s">
        <v>2973</v>
      </c>
      <c r="C966" t="s">
        <v>2857</v>
      </c>
      <c r="D966" t="s">
        <v>1439</v>
      </c>
      <c r="E966" t="s">
        <v>512</v>
      </c>
      <c r="F966" t="s">
        <v>604</v>
      </c>
      <c r="G966" t="s">
        <v>1541</v>
      </c>
      <c r="H966" t="s">
        <v>65</v>
      </c>
    </row>
    <row r="967" spans="1:8">
      <c r="A967">
        <v>353439</v>
      </c>
      <c r="B967" t="s">
        <v>2974</v>
      </c>
      <c r="C967" t="s">
        <v>872</v>
      </c>
      <c r="D967" t="s">
        <v>1439</v>
      </c>
      <c r="E967" t="s">
        <v>791</v>
      </c>
      <c r="F967" t="s">
        <v>1381</v>
      </c>
      <c r="G967" t="s">
        <v>1541</v>
      </c>
      <c r="H967" t="s">
        <v>65</v>
      </c>
    </row>
    <row r="968" spans="1:8">
      <c r="A968">
        <v>353401</v>
      </c>
      <c r="B968" t="s">
        <v>2975</v>
      </c>
      <c r="C968" t="s">
        <v>2858</v>
      </c>
      <c r="D968" t="s">
        <v>1439</v>
      </c>
      <c r="E968" t="s">
        <v>1338</v>
      </c>
      <c r="F968" t="s">
        <v>1381</v>
      </c>
      <c r="G968" t="s">
        <v>1541</v>
      </c>
      <c r="H968" t="s">
        <v>65</v>
      </c>
    </row>
    <row r="969" spans="1:8">
      <c r="A969">
        <v>353413</v>
      </c>
      <c r="B969" t="s">
        <v>2976</v>
      </c>
      <c r="C969" t="s">
        <v>2859</v>
      </c>
      <c r="D969" t="s">
        <v>1439</v>
      </c>
      <c r="E969" t="s">
        <v>1076</v>
      </c>
      <c r="F969" t="s">
        <v>1374</v>
      </c>
      <c r="G969" t="s">
        <v>1536</v>
      </c>
      <c r="H969" t="s">
        <v>67</v>
      </c>
    </row>
    <row r="970" spans="1:8">
      <c r="A970">
        <v>353395</v>
      </c>
      <c r="B970" t="s">
        <v>2977</v>
      </c>
      <c r="C970" t="s">
        <v>2860</v>
      </c>
      <c r="D970" t="s">
        <v>1439</v>
      </c>
      <c r="E970" t="s">
        <v>1076</v>
      </c>
      <c r="F970" t="s">
        <v>1374</v>
      </c>
      <c r="G970" t="s">
        <v>1536</v>
      </c>
      <c r="H970" t="s">
        <v>67</v>
      </c>
    </row>
    <row r="971" spans="1:8">
      <c r="A971">
        <v>353394</v>
      </c>
      <c r="B971" t="s">
        <v>2978</v>
      </c>
      <c r="C971" t="s">
        <v>2861</v>
      </c>
      <c r="D971" t="s">
        <v>1439</v>
      </c>
      <c r="E971" t="s">
        <v>476</v>
      </c>
      <c r="F971" t="s">
        <v>1374</v>
      </c>
      <c r="G971" t="s">
        <v>1536</v>
      </c>
      <c r="H971" t="s">
        <v>67</v>
      </c>
    </row>
    <row r="972" spans="1:8">
      <c r="A972">
        <v>353534</v>
      </c>
      <c r="B972" t="s">
        <v>2979</v>
      </c>
      <c r="C972" t="s">
        <v>2862</v>
      </c>
      <c r="D972" t="s">
        <v>1439</v>
      </c>
      <c r="E972" t="s">
        <v>476</v>
      </c>
      <c r="F972" t="s">
        <v>1374</v>
      </c>
      <c r="G972" t="s">
        <v>1536</v>
      </c>
      <c r="H972" t="s">
        <v>67</v>
      </c>
    </row>
    <row r="973" spans="1:8">
      <c r="A973">
        <v>353532</v>
      </c>
      <c r="B973" t="s">
        <v>2980</v>
      </c>
      <c r="C973" t="s">
        <v>2863</v>
      </c>
      <c r="D973" t="s">
        <v>1439</v>
      </c>
      <c r="E973" t="s">
        <v>1273</v>
      </c>
      <c r="F973" t="s">
        <v>1374</v>
      </c>
      <c r="G973" t="s">
        <v>1536</v>
      </c>
      <c r="H973" t="s">
        <v>67</v>
      </c>
    </row>
    <row r="974" spans="1:8">
      <c r="A974">
        <v>353402</v>
      </c>
      <c r="B974" t="s">
        <v>2981</v>
      </c>
      <c r="C974" t="s">
        <v>2864</v>
      </c>
      <c r="D974" t="s">
        <v>1439</v>
      </c>
      <c r="E974" t="s">
        <v>1273</v>
      </c>
      <c r="F974" t="s">
        <v>1374</v>
      </c>
      <c r="G974" t="s">
        <v>1536</v>
      </c>
      <c r="H974" t="s">
        <v>67</v>
      </c>
    </row>
    <row r="975" spans="1:8">
      <c r="A975">
        <v>353404</v>
      </c>
      <c r="B975" t="s">
        <v>2982</v>
      </c>
      <c r="C975" t="s">
        <v>2865</v>
      </c>
      <c r="D975" t="s">
        <v>1439</v>
      </c>
      <c r="E975" t="s">
        <v>1273</v>
      </c>
      <c r="F975" t="s">
        <v>1374</v>
      </c>
      <c r="G975" t="s">
        <v>1536</v>
      </c>
      <c r="H975" t="s">
        <v>67</v>
      </c>
    </row>
    <row r="976" spans="1:8">
      <c r="A976">
        <v>353392</v>
      </c>
      <c r="B976" t="s">
        <v>2983</v>
      </c>
      <c r="C976" t="s">
        <v>2866</v>
      </c>
      <c r="D976" t="s">
        <v>1439</v>
      </c>
      <c r="E976" t="s">
        <v>584</v>
      </c>
      <c r="F976" t="s">
        <v>1374</v>
      </c>
      <c r="G976" t="s">
        <v>1536</v>
      </c>
      <c r="H976" t="s">
        <v>67</v>
      </c>
    </row>
    <row r="977" spans="1:8">
      <c r="A977">
        <v>248950</v>
      </c>
      <c r="B977" t="s">
        <v>2984</v>
      </c>
      <c r="C977" t="s">
        <v>2867</v>
      </c>
      <c r="D977" t="s">
        <v>1439</v>
      </c>
      <c r="E977" t="s">
        <v>1346</v>
      </c>
      <c r="F977" t="s">
        <v>1374</v>
      </c>
      <c r="G977" t="s">
        <v>1536</v>
      </c>
      <c r="H977" t="s">
        <v>67</v>
      </c>
    </row>
    <row r="978" spans="1:8">
      <c r="A978">
        <v>353757</v>
      </c>
      <c r="B978" t="s">
        <v>2985</v>
      </c>
      <c r="C978" t="s">
        <v>2868</v>
      </c>
      <c r="D978" t="s">
        <v>1439</v>
      </c>
      <c r="E978" t="s">
        <v>1191</v>
      </c>
      <c r="F978" t="s">
        <v>1381</v>
      </c>
      <c r="G978" t="s">
        <v>1541</v>
      </c>
      <c r="H978" t="s">
        <v>65</v>
      </c>
    </row>
    <row r="979" spans="1:8">
      <c r="A979">
        <v>353775</v>
      </c>
      <c r="B979" t="s">
        <v>2986</v>
      </c>
      <c r="C979" t="s">
        <v>2869</v>
      </c>
      <c r="D979" t="s">
        <v>1439</v>
      </c>
      <c r="E979" t="s">
        <v>1191</v>
      </c>
      <c r="F979" t="s">
        <v>1381</v>
      </c>
      <c r="G979" t="s">
        <v>1541</v>
      </c>
      <c r="H979" t="s">
        <v>65</v>
      </c>
    </row>
    <row r="980" spans="1:8">
      <c r="A980">
        <v>351301</v>
      </c>
      <c r="B980" t="s">
        <v>2987</v>
      </c>
      <c r="C980" t="s">
        <v>2870</v>
      </c>
      <c r="D980" t="s">
        <v>1439</v>
      </c>
      <c r="E980" t="s">
        <v>1191</v>
      </c>
      <c r="F980" t="s">
        <v>1381</v>
      </c>
      <c r="G980" t="s">
        <v>1541</v>
      </c>
      <c r="H980" t="s">
        <v>65</v>
      </c>
    </row>
    <row r="981" spans="1:8">
      <c r="A981">
        <v>353780</v>
      </c>
      <c r="B981" t="s">
        <v>2988</v>
      </c>
      <c r="C981" t="s">
        <v>2871</v>
      </c>
      <c r="D981" t="s">
        <v>1439</v>
      </c>
      <c r="E981" t="s">
        <v>1191</v>
      </c>
      <c r="F981" t="s">
        <v>1381</v>
      </c>
      <c r="G981" t="s">
        <v>1541</v>
      </c>
      <c r="H981" t="s">
        <v>65</v>
      </c>
    </row>
    <row r="982" spans="1:8">
      <c r="A982">
        <v>353743</v>
      </c>
      <c r="B982" t="s">
        <v>2989</v>
      </c>
      <c r="C982" t="s">
        <v>2872</v>
      </c>
      <c r="D982" t="s">
        <v>1439</v>
      </c>
      <c r="E982" t="s">
        <v>1191</v>
      </c>
      <c r="F982" t="s">
        <v>1381</v>
      </c>
      <c r="G982" t="s">
        <v>1541</v>
      </c>
      <c r="H982" t="s">
        <v>65</v>
      </c>
    </row>
    <row r="983" spans="1:8">
      <c r="A983">
        <v>353739</v>
      </c>
      <c r="B983" t="s">
        <v>2990</v>
      </c>
      <c r="C983" t="s">
        <v>2873</v>
      </c>
      <c r="D983" t="s">
        <v>1439</v>
      </c>
      <c r="E983" t="s">
        <v>1191</v>
      </c>
      <c r="F983" t="s">
        <v>1381</v>
      </c>
      <c r="G983" t="s">
        <v>1541</v>
      </c>
      <c r="H983" t="s">
        <v>65</v>
      </c>
    </row>
    <row r="984" spans="1:8">
      <c r="A984">
        <v>353762</v>
      </c>
      <c r="B984" t="s">
        <v>2991</v>
      </c>
      <c r="C984" t="s">
        <v>2874</v>
      </c>
      <c r="D984" t="s">
        <v>1439</v>
      </c>
      <c r="E984" t="s">
        <v>1191</v>
      </c>
      <c r="F984" t="s">
        <v>1381</v>
      </c>
      <c r="G984" t="s">
        <v>1541</v>
      </c>
      <c r="H984" t="s">
        <v>65</v>
      </c>
    </row>
    <row r="985" spans="1:8">
      <c r="A985">
        <v>353748</v>
      </c>
      <c r="B985" t="s">
        <v>2992</v>
      </c>
      <c r="C985" t="s">
        <v>2875</v>
      </c>
      <c r="D985" t="s">
        <v>1439</v>
      </c>
      <c r="E985" t="s">
        <v>1191</v>
      </c>
      <c r="F985" t="s">
        <v>1381</v>
      </c>
      <c r="G985" t="s">
        <v>1541</v>
      </c>
      <c r="H985" t="s">
        <v>65</v>
      </c>
    </row>
    <row r="986" spans="1:8">
      <c r="A986">
        <v>353752</v>
      </c>
      <c r="B986" t="s">
        <v>2993</v>
      </c>
      <c r="C986" t="s">
        <v>2876</v>
      </c>
      <c r="D986" t="s">
        <v>1439</v>
      </c>
      <c r="E986" t="s">
        <v>1273</v>
      </c>
      <c r="F986" t="s">
        <v>1374</v>
      </c>
      <c r="G986" t="s">
        <v>1536</v>
      </c>
      <c r="H986" t="s">
        <v>67</v>
      </c>
    </row>
    <row r="987" spans="1:8">
      <c r="A987">
        <v>353746</v>
      </c>
      <c r="B987" t="s">
        <v>2994</v>
      </c>
      <c r="C987" t="s">
        <v>2877</v>
      </c>
      <c r="D987" t="s">
        <v>1439</v>
      </c>
      <c r="E987" t="s">
        <v>1273</v>
      </c>
      <c r="F987" t="s">
        <v>1374</v>
      </c>
      <c r="G987" t="s">
        <v>1536</v>
      </c>
      <c r="H987" t="s">
        <v>67</v>
      </c>
    </row>
    <row r="988" spans="1:8">
      <c r="A988">
        <v>353754</v>
      </c>
      <c r="B988" t="s">
        <v>2995</v>
      </c>
      <c r="C988" t="s">
        <v>2878</v>
      </c>
      <c r="D988" t="s">
        <v>1439</v>
      </c>
      <c r="E988" t="s">
        <v>1012</v>
      </c>
      <c r="F988" t="s">
        <v>1371</v>
      </c>
      <c r="G988" t="s">
        <v>1540</v>
      </c>
      <c r="H988" t="s">
        <v>59</v>
      </c>
    </row>
    <row r="989" spans="1:8">
      <c r="A989">
        <v>353833</v>
      </c>
      <c r="B989" t="s">
        <v>2996</v>
      </c>
      <c r="C989" t="s">
        <v>2879</v>
      </c>
      <c r="D989" t="s">
        <v>1439</v>
      </c>
      <c r="E989" t="s">
        <v>1012</v>
      </c>
      <c r="F989" t="s">
        <v>1371</v>
      </c>
      <c r="G989" t="s">
        <v>1540</v>
      </c>
      <c r="H989" t="s">
        <v>59</v>
      </c>
    </row>
    <row r="990" spans="1:8">
      <c r="A990">
        <v>353759</v>
      </c>
      <c r="B990" t="s">
        <v>2997</v>
      </c>
      <c r="C990" t="s">
        <v>2880</v>
      </c>
      <c r="D990" t="s">
        <v>1439</v>
      </c>
      <c r="E990" t="s">
        <v>947</v>
      </c>
      <c r="F990" t="s">
        <v>1371</v>
      </c>
      <c r="G990" t="s">
        <v>1540</v>
      </c>
      <c r="H990" t="s">
        <v>59</v>
      </c>
    </row>
    <row r="991" spans="1:8">
      <c r="A991">
        <v>353777</v>
      </c>
      <c r="B991" t="s">
        <v>2998</v>
      </c>
      <c r="C991" t="s">
        <v>2881</v>
      </c>
      <c r="D991" t="s">
        <v>1439</v>
      </c>
      <c r="E991" t="s">
        <v>947</v>
      </c>
      <c r="F991" t="s">
        <v>1371</v>
      </c>
      <c r="G991" t="s">
        <v>1540</v>
      </c>
      <c r="H991" t="s">
        <v>59</v>
      </c>
    </row>
    <row r="992" spans="1:8">
      <c r="A992">
        <v>353753</v>
      </c>
      <c r="B992" t="s">
        <v>2999</v>
      </c>
      <c r="C992" t="s">
        <v>2882</v>
      </c>
      <c r="D992" t="s">
        <v>1439</v>
      </c>
      <c r="E992" t="s">
        <v>692</v>
      </c>
      <c r="F992" t="s">
        <v>1371</v>
      </c>
      <c r="G992" t="s">
        <v>1540</v>
      </c>
      <c r="H992" t="s">
        <v>59</v>
      </c>
    </row>
    <row r="993" spans="1:8">
      <c r="A993">
        <v>353437</v>
      </c>
      <c r="B993" t="s">
        <v>3000</v>
      </c>
      <c r="C993" t="s">
        <v>2883</v>
      </c>
      <c r="D993" t="s">
        <v>1439</v>
      </c>
      <c r="E993" t="s">
        <v>512</v>
      </c>
      <c r="F993" t="s">
        <v>604</v>
      </c>
      <c r="G993" t="s">
        <v>1550</v>
      </c>
      <c r="H993" t="s">
        <v>65</v>
      </c>
    </row>
    <row r="994" spans="1:8">
      <c r="A994">
        <v>354326</v>
      </c>
      <c r="B994" t="s">
        <v>3065</v>
      </c>
      <c r="C994" t="s">
        <v>3001</v>
      </c>
      <c r="D994" t="s">
        <v>1439</v>
      </c>
      <c r="E994" t="s">
        <v>791</v>
      </c>
      <c r="F994" t="s">
        <v>1381</v>
      </c>
      <c r="G994" t="s">
        <v>1541</v>
      </c>
      <c r="H994" t="s">
        <v>65</v>
      </c>
    </row>
    <row r="995" spans="1:8">
      <c r="A995">
        <v>354329</v>
      </c>
      <c r="B995" t="s">
        <v>3066</v>
      </c>
      <c r="C995" t="s">
        <v>3002</v>
      </c>
      <c r="D995" t="s">
        <v>1439</v>
      </c>
      <c r="E995" t="s">
        <v>791</v>
      </c>
      <c r="F995" t="s">
        <v>1381</v>
      </c>
      <c r="G995" t="s">
        <v>1541</v>
      </c>
      <c r="H995" t="s">
        <v>65</v>
      </c>
    </row>
    <row r="996" spans="1:8">
      <c r="A996">
        <v>354333</v>
      </c>
      <c r="B996" t="s">
        <v>3067</v>
      </c>
      <c r="C996" t="s">
        <v>3003</v>
      </c>
      <c r="D996" t="s">
        <v>1439</v>
      </c>
      <c r="E996" t="s">
        <v>791</v>
      </c>
      <c r="F996" t="s">
        <v>1381</v>
      </c>
      <c r="G996" t="s">
        <v>1541</v>
      </c>
      <c r="H996" t="s">
        <v>65</v>
      </c>
    </row>
    <row r="997" spans="1:8">
      <c r="A997">
        <v>296234</v>
      </c>
      <c r="B997" t="s">
        <v>3068</v>
      </c>
      <c r="C997" t="s">
        <v>3004</v>
      </c>
      <c r="D997" t="s">
        <v>1439</v>
      </c>
      <c r="E997" t="s">
        <v>791</v>
      </c>
      <c r="F997" t="s">
        <v>1381</v>
      </c>
      <c r="G997" t="s">
        <v>1541</v>
      </c>
      <c r="H997" t="s">
        <v>65</v>
      </c>
    </row>
    <row r="998" spans="1:8">
      <c r="A998">
        <v>354334</v>
      </c>
      <c r="B998" t="s">
        <v>3069</v>
      </c>
      <c r="C998" t="s">
        <v>3005</v>
      </c>
      <c r="D998" t="s">
        <v>1439</v>
      </c>
      <c r="E998" t="s">
        <v>791</v>
      </c>
      <c r="F998" t="s">
        <v>1381</v>
      </c>
      <c r="G998" t="s">
        <v>1541</v>
      </c>
      <c r="H998" t="s">
        <v>65</v>
      </c>
    </row>
    <row r="999" spans="1:8">
      <c r="A999">
        <v>354339</v>
      </c>
      <c r="B999" t="s">
        <v>3070</v>
      </c>
      <c r="C999" t="s">
        <v>3006</v>
      </c>
      <c r="D999" t="s">
        <v>1439</v>
      </c>
      <c r="E999" t="s">
        <v>791</v>
      </c>
      <c r="F999" t="s">
        <v>1381</v>
      </c>
      <c r="G999" t="s">
        <v>1541</v>
      </c>
      <c r="H999" t="s">
        <v>65</v>
      </c>
    </row>
    <row r="1000" spans="1:8">
      <c r="A1000">
        <v>354338</v>
      </c>
      <c r="B1000" t="s">
        <v>3071</v>
      </c>
      <c r="C1000" t="s">
        <v>3007</v>
      </c>
      <c r="D1000" t="s">
        <v>1439</v>
      </c>
      <c r="E1000" t="s">
        <v>791</v>
      </c>
      <c r="F1000" t="s">
        <v>1381</v>
      </c>
      <c r="G1000" t="s">
        <v>1541</v>
      </c>
      <c r="H1000" t="s">
        <v>65</v>
      </c>
    </row>
    <row r="1001" spans="1:8">
      <c r="A1001">
        <v>354345</v>
      </c>
      <c r="B1001" t="s">
        <v>3072</v>
      </c>
      <c r="C1001" t="s">
        <v>3008</v>
      </c>
      <c r="D1001" t="s">
        <v>1439</v>
      </c>
      <c r="E1001" t="s">
        <v>791</v>
      </c>
      <c r="F1001" t="s">
        <v>1381</v>
      </c>
      <c r="G1001" t="s">
        <v>1541</v>
      </c>
      <c r="H1001" t="s">
        <v>65</v>
      </c>
    </row>
    <row r="1002" spans="1:8">
      <c r="A1002">
        <v>354353</v>
      </c>
      <c r="B1002" t="s">
        <v>3073</v>
      </c>
      <c r="C1002" t="s">
        <v>3009</v>
      </c>
      <c r="D1002" t="s">
        <v>1439</v>
      </c>
      <c r="E1002" t="s">
        <v>791</v>
      </c>
      <c r="F1002" t="s">
        <v>1381</v>
      </c>
      <c r="G1002" t="s">
        <v>1541</v>
      </c>
      <c r="H1002" t="s">
        <v>65</v>
      </c>
    </row>
    <row r="1003" spans="1:8">
      <c r="A1003">
        <v>354360</v>
      </c>
      <c r="B1003" t="s">
        <v>3074</v>
      </c>
      <c r="C1003" t="s">
        <v>3010</v>
      </c>
      <c r="D1003" t="s">
        <v>1439</v>
      </c>
      <c r="E1003" t="s">
        <v>791</v>
      </c>
      <c r="F1003" t="s">
        <v>1381</v>
      </c>
      <c r="G1003" t="s">
        <v>1541</v>
      </c>
      <c r="H1003" t="s">
        <v>65</v>
      </c>
    </row>
    <row r="1004" spans="1:8">
      <c r="A1004">
        <v>354296</v>
      </c>
      <c r="B1004" t="s">
        <v>3075</v>
      </c>
      <c r="C1004" t="s">
        <v>3011</v>
      </c>
      <c r="D1004" t="s">
        <v>1439</v>
      </c>
      <c r="E1004" t="s">
        <v>2395</v>
      </c>
      <c r="F1004" t="s">
        <v>604</v>
      </c>
      <c r="G1004" t="s">
        <v>1541</v>
      </c>
      <c r="H1004" t="s">
        <v>65</v>
      </c>
    </row>
    <row r="1005" spans="1:8">
      <c r="A1005">
        <v>354292</v>
      </c>
      <c r="B1005" t="s">
        <v>3076</v>
      </c>
      <c r="C1005" t="s">
        <v>3012</v>
      </c>
      <c r="D1005" t="s">
        <v>1439</v>
      </c>
      <c r="E1005" t="s">
        <v>2395</v>
      </c>
      <c r="F1005" t="s">
        <v>604</v>
      </c>
      <c r="G1005" t="s">
        <v>1541</v>
      </c>
      <c r="H1005" t="s">
        <v>65</v>
      </c>
    </row>
    <row r="1006" spans="1:8">
      <c r="A1006">
        <v>354293</v>
      </c>
      <c r="B1006" t="s">
        <v>3077</v>
      </c>
      <c r="C1006" t="s">
        <v>3013</v>
      </c>
      <c r="D1006" t="s">
        <v>1439</v>
      </c>
      <c r="E1006" t="s">
        <v>2395</v>
      </c>
      <c r="F1006" t="s">
        <v>604</v>
      </c>
      <c r="G1006" t="s">
        <v>1541</v>
      </c>
      <c r="H1006" t="s">
        <v>65</v>
      </c>
    </row>
    <row r="1007" spans="1:8">
      <c r="A1007">
        <v>354315</v>
      </c>
      <c r="B1007" t="s">
        <v>3078</v>
      </c>
      <c r="C1007" t="s">
        <v>3014</v>
      </c>
      <c r="D1007" t="s">
        <v>1439</v>
      </c>
      <c r="E1007" t="s">
        <v>2395</v>
      </c>
      <c r="F1007" t="s">
        <v>604</v>
      </c>
      <c r="G1007" t="s">
        <v>1541</v>
      </c>
      <c r="H1007" t="s">
        <v>65</v>
      </c>
    </row>
    <row r="1008" spans="1:8">
      <c r="A1008">
        <v>354316</v>
      </c>
      <c r="B1008" t="s">
        <v>3079</v>
      </c>
      <c r="C1008" t="s">
        <v>3015</v>
      </c>
      <c r="D1008" t="s">
        <v>1439</v>
      </c>
      <c r="E1008" t="s">
        <v>2395</v>
      </c>
      <c r="F1008" t="s">
        <v>604</v>
      </c>
      <c r="G1008" t="s">
        <v>1541</v>
      </c>
      <c r="H1008" t="s">
        <v>65</v>
      </c>
    </row>
    <row r="1009" spans="1:8">
      <c r="A1009">
        <v>354318</v>
      </c>
      <c r="B1009" t="s">
        <v>3080</v>
      </c>
      <c r="C1009" t="s">
        <v>3016</v>
      </c>
      <c r="D1009" t="s">
        <v>1439</v>
      </c>
      <c r="E1009" t="s">
        <v>2395</v>
      </c>
      <c r="F1009" t="s">
        <v>604</v>
      </c>
      <c r="G1009" t="s">
        <v>1541</v>
      </c>
      <c r="H1009" t="s">
        <v>65</v>
      </c>
    </row>
    <row r="1010" spans="1:8">
      <c r="A1010">
        <v>344512</v>
      </c>
      <c r="B1010" t="s">
        <v>3081</v>
      </c>
      <c r="C1010" t="s">
        <v>3017</v>
      </c>
      <c r="D1010" t="s">
        <v>1439</v>
      </c>
      <c r="E1010" t="s">
        <v>2395</v>
      </c>
      <c r="F1010" t="s">
        <v>604</v>
      </c>
      <c r="G1010" t="s">
        <v>1541</v>
      </c>
      <c r="H1010" t="s">
        <v>65</v>
      </c>
    </row>
    <row r="1011" spans="1:8">
      <c r="A1011">
        <v>354319</v>
      </c>
      <c r="B1011" t="s">
        <v>3082</v>
      </c>
      <c r="C1011" t="s">
        <v>3018</v>
      </c>
      <c r="D1011" t="s">
        <v>1439</v>
      </c>
      <c r="E1011" t="s">
        <v>2395</v>
      </c>
      <c r="F1011" t="s">
        <v>604</v>
      </c>
      <c r="G1011" t="s">
        <v>1541</v>
      </c>
      <c r="H1011" t="s">
        <v>65</v>
      </c>
    </row>
    <row r="1012" spans="1:8">
      <c r="A1012">
        <v>354311</v>
      </c>
      <c r="B1012" t="s">
        <v>3083</v>
      </c>
      <c r="C1012" t="s">
        <v>3019</v>
      </c>
      <c r="D1012" t="s">
        <v>1439</v>
      </c>
      <c r="E1012" t="s">
        <v>2395</v>
      </c>
      <c r="F1012" t="s">
        <v>604</v>
      </c>
      <c r="G1012" t="s">
        <v>1541</v>
      </c>
      <c r="H1012" t="s">
        <v>65</v>
      </c>
    </row>
    <row r="1013" spans="1:8">
      <c r="A1013">
        <v>354328</v>
      </c>
      <c r="B1013" t="s">
        <v>3084</v>
      </c>
      <c r="C1013" t="s">
        <v>3020</v>
      </c>
      <c r="D1013" t="s">
        <v>1439</v>
      </c>
      <c r="E1013" t="s">
        <v>2395</v>
      </c>
      <c r="F1013" t="s">
        <v>604</v>
      </c>
      <c r="G1013" t="s">
        <v>1541</v>
      </c>
      <c r="H1013" t="s">
        <v>65</v>
      </c>
    </row>
    <row r="1014" spans="1:8">
      <c r="A1014">
        <v>249865</v>
      </c>
      <c r="B1014" t="s">
        <v>3085</v>
      </c>
      <c r="C1014" t="s">
        <v>3021</v>
      </c>
      <c r="D1014" t="s">
        <v>1439</v>
      </c>
      <c r="E1014" t="s">
        <v>584</v>
      </c>
      <c r="F1014" t="s">
        <v>1374</v>
      </c>
      <c r="G1014" t="s">
        <v>1536</v>
      </c>
      <c r="H1014" t="s">
        <v>67</v>
      </c>
    </row>
    <row r="1015" spans="1:8">
      <c r="A1015">
        <v>354320</v>
      </c>
      <c r="B1015" t="s">
        <v>3086</v>
      </c>
      <c r="C1015" t="s">
        <v>3022</v>
      </c>
      <c r="D1015" t="s">
        <v>1439</v>
      </c>
      <c r="E1015" t="s">
        <v>584</v>
      </c>
      <c r="F1015" t="s">
        <v>1374</v>
      </c>
      <c r="G1015" t="s">
        <v>1536</v>
      </c>
      <c r="H1015" t="s">
        <v>67</v>
      </c>
    </row>
    <row r="1016" spans="1:8">
      <c r="A1016">
        <v>354323</v>
      </c>
      <c r="B1016" t="s">
        <v>3087</v>
      </c>
      <c r="C1016" t="s">
        <v>3023</v>
      </c>
      <c r="D1016" t="s">
        <v>1439</v>
      </c>
      <c r="E1016" t="s">
        <v>584</v>
      </c>
      <c r="F1016" t="s">
        <v>1374</v>
      </c>
      <c r="G1016" t="s">
        <v>1536</v>
      </c>
      <c r="H1016" t="s">
        <v>67</v>
      </c>
    </row>
    <row r="1017" spans="1:8">
      <c r="A1017">
        <v>354324</v>
      </c>
      <c r="B1017" t="s">
        <v>3088</v>
      </c>
      <c r="C1017" t="s">
        <v>3024</v>
      </c>
      <c r="D1017" t="s">
        <v>1439</v>
      </c>
      <c r="E1017" t="s">
        <v>584</v>
      </c>
      <c r="F1017" t="s">
        <v>1374</v>
      </c>
      <c r="G1017" t="s">
        <v>1536</v>
      </c>
      <c r="H1017" t="s">
        <v>67</v>
      </c>
    </row>
    <row r="1018" spans="1:8">
      <c r="A1018">
        <v>354336</v>
      </c>
      <c r="B1018" t="s">
        <v>3089</v>
      </c>
      <c r="C1018" t="s">
        <v>3025</v>
      </c>
      <c r="D1018" t="s">
        <v>1439</v>
      </c>
      <c r="E1018" t="s">
        <v>584</v>
      </c>
      <c r="F1018" t="s">
        <v>1374</v>
      </c>
      <c r="G1018" t="s">
        <v>1536</v>
      </c>
      <c r="H1018" t="s">
        <v>67</v>
      </c>
    </row>
    <row r="1019" spans="1:8">
      <c r="A1019">
        <v>354349</v>
      </c>
      <c r="B1019" t="s">
        <v>3090</v>
      </c>
      <c r="C1019" t="s">
        <v>3026</v>
      </c>
      <c r="D1019" t="s">
        <v>1439</v>
      </c>
      <c r="E1019" t="s">
        <v>1273</v>
      </c>
      <c r="F1019" t="s">
        <v>1374</v>
      </c>
      <c r="G1019" t="s">
        <v>1536</v>
      </c>
      <c r="H1019" t="s">
        <v>67</v>
      </c>
    </row>
    <row r="1020" spans="1:8">
      <c r="A1020">
        <v>354352</v>
      </c>
      <c r="B1020" t="s">
        <v>3091</v>
      </c>
      <c r="C1020" t="s">
        <v>3027</v>
      </c>
      <c r="D1020" t="s">
        <v>1439</v>
      </c>
      <c r="E1020" t="s">
        <v>1273</v>
      </c>
      <c r="F1020" t="s">
        <v>1374</v>
      </c>
      <c r="G1020" t="s">
        <v>1536</v>
      </c>
      <c r="H1020" t="s">
        <v>67</v>
      </c>
    </row>
    <row r="1021" spans="1:8">
      <c r="A1021">
        <v>354356</v>
      </c>
      <c r="B1021" t="s">
        <v>3092</v>
      </c>
      <c r="C1021" t="s">
        <v>3028</v>
      </c>
      <c r="D1021" t="s">
        <v>1439</v>
      </c>
      <c r="E1021" t="s">
        <v>476</v>
      </c>
      <c r="F1021" t="s">
        <v>1374</v>
      </c>
      <c r="G1021" t="s">
        <v>1536</v>
      </c>
      <c r="H1021" t="s">
        <v>67</v>
      </c>
    </row>
    <row r="1022" spans="1:8">
      <c r="A1022">
        <v>354357</v>
      </c>
      <c r="B1022" t="s">
        <v>3093</v>
      </c>
      <c r="C1022" t="s">
        <v>3029</v>
      </c>
      <c r="D1022" t="s">
        <v>1439</v>
      </c>
      <c r="E1022" t="s">
        <v>1273</v>
      </c>
      <c r="F1022" t="s">
        <v>1374</v>
      </c>
      <c r="G1022" t="s">
        <v>1536</v>
      </c>
      <c r="H1022" t="s">
        <v>67</v>
      </c>
    </row>
    <row r="1023" spans="1:8">
      <c r="A1023">
        <v>354347</v>
      </c>
      <c r="B1023" t="s">
        <v>3094</v>
      </c>
      <c r="C1023" t="s">
        <v>3030</v>
      </c>
      <c r="D1023" t="s">
        <v>1439</v>
      </c>
      <c r="E1023" t="s">
        <v>692</v>
      </c>
      <c r="F1023" t="s">
        <v>1371</v>
      </c>
      <c r="G1023" t="s">
        <v>1540</v>
      </c>
      <c r="H1023" t="s">
        <v>59</v>
      </c>
    </row>
    <row r="1024" spans="1:8">
      <c r="A1024">
        <v>354350</v>
      </c>
      <c r="B1024" t="s">
        <v>3095</v>
      </c>
      <c r="C1024" t="s">
        <v>3031</v>
      </c>
      <c r="D1024" t="s">
        <v>1439</v>
      </c>
      <c r="E1024" t="s">
        <v>692</v>
      </c>
      <c r="F1024" t="s">
        <v>1371</v>
      </c>
      <c r="G1024" t="s">
        <v>1540</v>
      </c>
      <c r="H1024" t="s">
        <v>59</v>
      </c>
    </row>
    <row r="1025" spans="1:8">
      <c r="A1025">
        <v>354335</v>
      </c>
      <c r="B1025" t="s">
        <v>3096</v>
      </c>
      <c r="C1025" t="s">
        <v>3032</v>
      </c>
      <c r="D1025" t="s">
        <v>1439</v>
      </c>
      <c r="E1025" t="s">
        <v>947</v>
      </c>
      <c r="F1025" t="s">
        <v>1371</v>
      </c>
      <c r="G1025" t="s">
        <v>1540</v>
      </c>
      <c r="H1025" t="s">
        <v>59</v>
      </c>
    </row>
    <row r="1026" spans="1:8">
      <c r="A1026">
        <v>354341</v>
      </c>
      <c r="B1026" t="s">
        <v>3097</v>
      </c>
      <c r="C1026" t="s">
        <v>3033</v>
      </c>
      <c r="D1026" t="s">
        <v>1439</v>
      </c>
      <c r="E1026" t="s">
        <v>947</v>
      </c>
      <c r="F1026" t="s">
        <v>1371</v>
      </c>
      <c r="G1026" t="s">
        <v>1540</v>
      </c>
      <c r="H1026" t="s">
        <v>59</v>
      </c>
    </row>
    <row r="1027" spans="1:8">
      <c r="A1027">
        <v>354344</v>
      </c>
      <c r="B1027" t="s">
        <v>3098</v>
      </c>
      <c r="C1027" t="s">
        <v>3034</v>
      </c>
      <c r="D1027" t="s">
        <v>1439</v>
      </c>
      <c r="E1027" t="s">
        <v>947</v>
      </c>
      <c r="F1027" t="s">
        <v>1371</v>
      </c>
      <c r="G1027" t="s">
        <v>1540</v>
      </c>
      <c r="H1027" t="s">
        <v>59</v>
      </c>
    </row>
    <row r="1028" spans="1:8">
      <c r="A1028">
        <v>354343</v>
      </c>
      <c r="B1028" t="s">
        <v>3099</v>
      </c>
      <c r="C1028" t="s">
        <v>3035</v>
      </c>
      <c r="D1028" t="s">
        <v>1439</v>
      </c>
      <c r="E1028" t="s">
        <v>947</v>
      </c>
      <c r="F1028" t="s">
        <v>1371</v>
      </c>
      <c r="G1028" t="s">
        <v>1540</v>
      </c>
      <c r="H1028" t="s">
        <v>59</v>
      </c>
    </row>
    <row r="1029" spans="1:8">
      <c r="A1029">
        <v>276658</v>
      </c>
      <c r="B1029" t="s">
        <v>3100</v>
      </c>
      <c r="C1029" t="s">
        <v>3036</v>
      </c>
      <c r="D1029" t="s">
        <v>1439</v>
      </c>
      <c r="E1029" t="s">
        <v>1012</v>
      </c>
      <c r="F1029" t="s">
        <v>1371</v>
      </c>
      <c r="G1029" t="s">
        <v>1540</v>
      </c>
      <c r="H1029" t="s">
        <v>59</v>
      </c>
    </row>
    <row r="1030" spans="1:8">
      <c r="A1030">
        <v>354330</v>
      </c>
      <c r="B1030" t="s">
        <v>3101</v>
      </c>
      <c r="C1030" t="s">
        <v>3037</v>
      </c>
      <c r="D1030" t="s">
        <v>1439</v>
      </c>
      <c r="E1030" t="s">
        <v>1012</v>
      </c>
      <c r="F1030" t="s">
        <v>1371</v>
      </c>
      <c r="G1030" t="s">
        <v>1540</v>
      </c>
      <c r="H1030" t="s">
        <v>59</v>
      </c>
    </row>
    <row r="1031" spans="1:8">
      <c r="A1031">
        <v>354331</v>
      </c>
      <c r="B1031" t="s">
        <v>3102</v>
      </c>
      <c r="C1031" t="s">
        <v>3038</v>
      </c>
      <c r="D1031" t="s">
        <v>1439</v>
      </c>
      <c r="E1031" t="s">
        <v>1012</v>
      </c>
      <c r="F1031" t="s">
        <v>1371</v>
      </c>
      <c r="G1031" t="s">
        <v>1540</v>
      </c>
      <c r="H1031" t="s">
        <v>59</v>
      </c>
    </row>
    <row r="1032" spans="1:8">
      <c r="A1032">
        <v>354639</v>
      </c>
      <c r="B1032" t="s">
        <v>3103</v>
      </c>
      <c r="C1032" t="s">
        <v>3039</v>
      </c>
      <c r="D1032" t="s">
        <v>1439</v>
      </c>
      <c r="E1032" t="s">
        <v>512</v>
      </c>
      <c r="F1032" t="s">
        <v>604</v>
      </c>
      <c r="G1032" t="s">
        <v>1541</v>
      </c>
      <c r="H1032" t="s">
        <v>65</v>
      </c>
    </row>
    <row r="1033" spans="1:8">
      <c r="A1033">
        <v>354641</v>
      </c>
      <c r="B1033" t="s">
        <v>3104</v>
      </c>
      <c r="C1033" t="s">
        <v>3040</v>
      </c>
      <c r="D1033" t="s">
        <v>1439</v>
      </c>
      <c r="E1033" t="s">
        <v>512</v>
      </c>
      <c r="F1033" t="s">
        <v>604</v>
      </c>
      <c r="G1033" t="s">
        <v>1541</v>
      </c>
      <c r="H1033" t="s">
        <v>65</v>
      </c>
    </row>
    <row r="1034" spans="1:8">
      <c r="A1034">
        <v>354649</v>
      </c>
      <c r="B1034" t="s">
        <v>3105</v>
      </c>
      <c r="C1034" t="s">
        <v>3041</v>
      </c>
      <c r="D1034" t="s">
        <v>1439</v>
      </c>
      <c r="E1034" t="s">
        <v>512</v>
      </c>
      <c r="F1034" t="s">
        <v>604</v>
      </c>
      <c r="G1034" t="s">
        <v>1541</v>
      </c>
      <c r="H1034" t="s">
        <v>65</v>
      </c>
    </row>
    <row r="1035" spans="1:8">
      <c r="A1035">
        <v>354658</v>
      </c>
      <c r="B1035" t="s">
        <v>3106</v>
      </c>
      <c r="C1035" t="s">
        <v>3042</v>
      </c>
      <c r="D1035" t="s">
        <v>1439</v>
      </c>
      <c r="E1035" t="s">
        <v>1191</v>
      </c>
      <c r="F1035" t="s">
        <v>1381</v>
      </c>
      <c r="G1035" t="s">
        <v>1541</v>
      </c>
      <c r="H1035" t="s">
        <v>65</v>
      </c>
    </row>
    <row r="1036" spans="1:8">
      <c r="A1036">
        <v>354670</v>
      </c>
      <c r="B1036" t="s">
        <v>3107</v>
      </c>
      <c r="C1036" t="s">
        <v>3043</v>
      </c>
      <c r="D1036" t="s">
        <v>1439</v>
      </c>
      <c r="E1036" t="s">
        <v>1191</v>
      </c>
      <c r="F1036" t="s">
        <v>1381</v>
      </c>
      <c r="G1036" t="s">
        <v>1541</v>
      </c>
      <c r="H1036" t="s">
        <v>65</v>
      </c>
    </row>
    <row r="1037" spans="1:8">
      <c r="A1037">
        <v>354682</v>
      </c>
      <c r="B1037" t="s">
        <v>3108</v>
      </c>
      <c r="C1037" t="s">
        <v>3044</v>
      </c>
      <c r="D1037" t="s">
        <v>1439</v>
      </c>
      <c r="E1037" t="s">
        <v>1191</v>
      </c>
      <c r="F1037" t="s">
        <v>1381</v>
      </c>
      <c r="G1037" t="s">
        <v>1541</v>
      </c>
      <c r="H1037" t="s">
        <v>65</v>
      </c>
    </row>
    <row r="1038" spans="1:8">
      <c r="A1038">
        <v>354644</v>
      </c>
      <c r="B1038" t="s">
        <v>3109</v>
      </c>
      <c r="C1038" t="s">
        <v>3045</v>
      </c>
      <c r="D1038" t="s">
        <v>1439</v>
      </c>
      <c r="E1038" t="s">
        <v>1338</v>
      </c>
      <c r="F1038" t="s">
        <v>1381</v>
      </c>
      <c r="G1038" t="s">
        <v>1541</v>
      </c>
      <c r="H1038" t="s">
        <v>65</v>
      </c>
    </row>
    <row r="1039" spans="1:8">
      <c r="A1039">
        <v>354646</v>
      </c>
      <c r="B1039" t="s">
        <v>3110</v>
      </c>
      <c r="C1039" t="s">
        <v>3046</v>
      </c>
      <c r="D1039" t="s">
        <v>1439</v>
      </c>
      <c r="E1039" t="s">
        <v>1338</v>
      </c>
      <c r="F1039" t="s">
        <v>1381</v>
      </c>
      <c r="G1039" t="s">
        <v>1541</v>
      </c>
      <c r="H1039" t="s">
        <v>65</v>
      </c>
    </row>
    <row r="1040" spans="1:8">
      <c r="A1040">
        <v>354657</v>
      </c>
      <c r="B1040" t="s">
        <v>3111</v>
      </c>
      <c r="C1040" t="s">
        <v>3047</v>
      </c>
      <c r="D1040" t="s">
        <v>1439</v>
      </c>
      <c r="E1040" t="s">
        <v>1338</v>
      </c>
      <c r="F1040" t="s">
        <v>1381</v>
      </c>
      <c r="G1040" t="s">
        <v>1541</v>
      </c>
      <c r="H1040" t="s">
        <v>65</v>
      </c>
    </row>
    <row r="1041" spans="1:8">
      <c r="A1041">
        <v>354653</v>
      </c>
      <c r="B1041" t="s">
        <v>3112</v>
      </c>
      <c r="C1041" t="s">
        <v>3048</v>
      </c>
      <c r="D1041" t="s">
        <v>1439</v>
      </c>
      <c r="E1041" t="s">
        <v>1346</v>
      </c>
      <c r="F1041" t="s">
        <v>1374</v>
      </c>
      <c r="G1041" t="s">
        <v>1536</v>
      </c>
      <c r="H1041" t="s">
        <v>67</v>
      </c>
    </row>
    <row r="1042" spans="1:8">
      <c r="A1042">
        <v>354655</v>
      </c>
      <c r="B1042" t="s">
        <v>3113</v>
      </c>
      <c r="C1042" t="s">
        <v>3049</v>
      </c>
      <c r="D1042" t="s">
        <v>1439</v>
      </c>
      <c r="E1042" t="s">
        <v>1346</v>
      </c>
      <c r="F1042" t="s">
        <v>1374</v>
      </c>
      <c r="G1042" t="s">
        <v>1536</v>
      </c>
      <c r="H1042" t="s">
        <v>67</v>
      </c>
    </row>
    <row r="1043" spans="1:8">
      <c r="A1043">
        <v>354659</v>
      </c>
      <c r="B1043" t="s">
        <v>3114</v>
      </c>
      <c r="C1043" t="s">
        <v>3050</v>
      </c>
      <c r="D1043" t="s">
        <v>1439</v>
      </c>
      <c r="E1043" t="s">
        <v>1213</v>
      </c>
      <c r="F1043" t="s">
        <v>1374</v>
      </c>
      <c r="G1043" t="s">
        <v>1536</v>
      </c>
      <c r="H1043" t="s">
        <v>67</v>
      </c>
    </row>
    <row r="1044" spans="1:8">
      <c r="A1044">
        <v>354661</v>
      </c>
      <c r="B1044" t="s">
        <v>3115</v>
      </c>
      <c r="C1044" t="s">
        <v>3051</v>
      </c>
      <c r="D1044" t="s">
        <v>1439</v>
      </c>
      <c r="E1044" t="s">
        <v>1213</v>
      </c>
      <c r="F1044" t="s">
        <v>1374</v>
      </c>
      <c r="G1044" t="s">
        <v>1536</v>
      </c>
      <c r="H1044" t="s">
        <v>67</v>
      </c>
    </row>
    <row r="1045" spans="1:8">
      <c r="A1045">
        <v>354348</v>
      </c>
      <c r="B1045" t="s">
        <v>3116</v>
      </c>
      <c r="C1045" t="s">
        <v>3052</v>
      </c>
      <c r="D1045" t="s">
        <v>1439</v>
      </c>
      <c r="E1045" t="s">
        <v>1213</v>
      </c>
      <c r="F1045" t="s">
        <v>1374</v>
      </c>
      <c r="G1045" t="s">
        <v>1536</v>
      </c>
      <c r="H1045" t="s">
        <v>67</v>
      </c>
    </row>
    <row r="1046" spans="1:8">
      <c r="A1046">
        <v>354667</v>
      </c>
      <c r="B1046" t="s">
        <v>3117</v>
      </c>
      <c r="C1046" t="s">
        <v>3053</v>
      </c>
      <c r="D1046" t="s">
        <v>1439</v>
      </c>
      <c r="E1046" t="s">
        <v>1076</v>
      </c>
      <c r="F1046" t="s">
        <v>1374</v>
      </c>
      <c r="G1046" t="s">
        <v>1536</v>
      </c>
      <c r="H1046" t="s">
        <v>67</v>
      </c>
    </row>
    <row r="1047" spans="1:8">
      <c r="A1047">
        <v>354676</v>
      </c>
      <c r="B1047" t="s">
        <v>3118</v>
      </c>
      <c r="C1047" t="s">
        <v>3054</v>
      </c>
      <c r="D1047" t="s">
        <v>1439</v>
      </c>
      <c r="E1047" t="s">
        <v>1076</v>
      </c>
      <c r="F1047" t="s">
        <v>1374</v>
      </c>
      <c r="G1047" t="s">
        <v>1536</v>
      </c>
      <c r="H1047" t="s">
        <v>67</v>
      </c>
    </row>
    <row r="1048" spans="1:8">
      <c r="A1048">
        <v>354679</v>
      </c>
      <c r="B1048" t="s">
        <v>3119</v>
      </c>
      <c r="C1048" t="s">
        <v>3055</v>
      </c>
      <c r="D1048" t="s">
        <v>1439</v>
      </c>
      <c r="E1048" t="s">
        <v>1076</v>
      </c>
      <c r="F1048" t="s">
        <v>1374</v>
      </c>
      <c r="G1048" t="s">
        <v>1536</v>
      </c>
      <c r="H1048" t="s">
        <v>67</v>
      </c>
    </row>
    <row r="1049" spans="1:8">
      <c r="A1049">
        <v>354686</v>
      </c>
      <c r="B1049" t="s">
        <v>3120</v>
      </c>
      <c r="C1049" t="s">
        <v>3056</v>
      </c>
      <c r="D1049" t="s">
        <v>1439</v>
      </c>
      <c r="E1049" t="s">
        <v>947</v>
      </c>
      <c r="F1049" t="s">
        <v>1371</v>
      </c>
      <c r="G1049" t="s">
        <v>1540</v>
      </c>
      <c r="H1049" t="s">
        <v>59</v>
      </c>
    </row>
    <row r="1050" spans="1:8">
      <c r="A1050">
        <v>354687</v>
      </c>
      <c r="B1050" t="s">
        <v>3121</v>
      </c>
      <c r="C1050" t="s">
        <v>3057</v>
      </c>
      <c r="D1050" t="s">
        <v>1439</v>
      </c>
      <c r="E1050" t="s">
        <v>947</v>
      </c>
      <c r="F1050" t="s">
        <v>1371</v>
      </c>
      <c r="G1050" t="s">
        <v>1540</v>
      </c>
      <c r="H1050" t="s">
        <v>59</v>
      </c>
    </row>
    <row r="1051" spans="1:8">
      <c r="A1051">
        <v>354688</v>
      </c>
      <c r="B1051" t="s">
        <v>3122</v>
      </c>
      <c r="C1051" t="s">
        <v>3058</v>
      </c>
      <c r="D1051" t="s">
        <v>1439</v>
      </c>
      <c r="E1051" t="s">
        <v>947</v>
      </c>
      <c r="F1051" t="s">
        <v>1371</v>
      </c>
      <c r="G1051" t="s">
        <v>1540</v>
      </c>
      <c r="H1051" t="s">
        <v>59</v>
      </c>
    </row>
    <row r="1052" spans="1:8">
      <c r="A1052">
        <v>354691</v>
      </c>
      <c r="B1052" t="s">
        <v>3123</v>
      </c>
      <c r="C1052" t="s">
        <v>3059</v>
      </c>
      <c r="D1052" t="s">
        <v>1439</v>
      </c>
      <c r="E1052" t="s">
        <v>947</v>
      </c>
      <c r="F1052" t="s">
        <v>1371</v>
      </c>
      <c r="G1052" t="s">
        <v>1540</v>
      </c>
      <c r="H1052" t="s">
        <v>59</v>
      </c>
    </row>
    <row r="1053" spans="1:8">
      <c r="A1053">
        <v>354692</v>
      </c>
      <c r="B1053" t="s">
        <v>3124</v>
      </c>
      <c r="C1053" t="s">
        <v>3060</v>
      </c>
      <c r="D1053" t="s">
        <v>1439</v>
      </c>
      <c r="E1053" t="s">
        <v>692</v>
      </c>
      <c r="F1053" t="s">
        <v>1371</v>
      </c>
      <c r="G1053" t="s">
        <v>1540</v>
      </c>
      <c r="H1053" t="s">
        <v>59</v>
      </c>
    </row>
    <row r="1054" spans="1:8">
      <c r="A1054">
        <v>354689</v>
      </c>
      <c r="B1054" t="s">
        <v>3125</v>
      </c>
      <c r="C1054" t="s">
        <v>3061</v>
      </c>
      <c r="D1054" t="s">
        <v>1439</v>
      </c>
      <c r="E1054" t="s">
        <v>692</v>
      </c>
      <c r="F1054" t="s">
        <v>1371</v>
      </c>
      <c r="G1054" t="s">
        <v>1540</v>
      </c>
      <c r="H1054" t="s">
        <v>59</v>
      </c>
    </row>
    <row r="1055" spans="1:8">
      <c r="A1055">
        <v>354718</v>
      </c>
      <c r="B1055" t="s">
        <v>3126</v>
      </c>
      <c r="C1055" t="s">
        <v>3062</v>
      </c>
      <c r="D1055" t="s">
        <v>1439</v>
      </c>
      <c r="E1055" t="s">
        <v>692</v>
      </c>
      <c r="F1055" t="s">
        <v>1371</v>
      </c>
      <c r="G1055" t="s">
        <v>1540</v>
      </c>
      <c r="H1055" t="s">
        <v>59</v>
      </c>
    </row>
    <row r="1056" spans="1:8">
      <c r="A1056">
        <v>354731</v>
      </c>
      <c r="B1056" t="s">
        <v>3127</v>
      </c>
      <c r="C1056" t="s">
        <v>3063</v>
      </c>
      <c r="D1056" t="s">
        <v>1439</v>
      </c>
      <c r="E1056" t="s">
        <v>692</v>
      </c>
      <c r="F1056" t="s">
        <v>1371</v>
      </c>
      <c r="G1056" t="s">
        <v>1540</v>
      </c>
      <c r="H1056" t="s">
        <v>59</v>
      </c>
    </row>
    <row r="1057" spans="1:8">
      <c r="A1057">
        <v>267969</v>
      </c>
      <c r="B1057" t="s">
        <v>1389</v>
      </c>
      <c r="C1057" t="s">
        <v>1362</v>
      </c>
      <c r="D1057" t="s">
        <v>1439</v>
      </c>
      <c r="E1057" t="s">
        <v>1346</v>
      </c>
      <c r="F1057" t="s">
        <v>1374</v>
      </c>
      <c r="G1057" t="s">
        <v>1536</v>
      </c>
      <c r="H1057" t="s">
        <v>67</v>
      </c>
    </row>
    <row r="1058" spans="1:8">
      <c r="A1058">
        <v>172892</v>
      </c>
      <c r="B1058" t="s">
        <v>2315</v>
      </c>
      <c r="C1058" t="s">
        <v>2285</v>
      </c>
      <c r="D1058" t="s">
        <v>1439</v>
      </c>
      <c r="E1058" t="s">
        <v>1346</v>
      </c>
      <c r="F1058" t="s">
        <v>1374</v>
      </c>
      <c r="G1058" t="s">
        <v>1536</v>
      </c>
      <c r="H1058" t="s">
        <v>67</v>
      </c>
    </row>
    <row r="1059" spans="1:8">
      <c r="A1059">
        <v>355196</v>
      </c>
      <c r="B1059" t="s">
        <v>3161</v>
      </c>
      <c r="C1059" t="s">
        <v>3128</v>
      </c>
      <c r="D1059" t="s">
        <v>1439</v>
      </c>
      <c r="E1059" t="s">
        <v>476</v>
      </c>
      <c r="F1059" t="s">
        <v>1374</v>
      </c>
      <c r="G1059" t="s">
        <v>1536</v>
      </c>
      <c r="H1059" t="s">
        <v>67</v>
      </c>
    </row>
    <row r="1060" spans="1:8">
      <c r="A1060">
        <v>355192</v>
      </c>
      <c r="B1060" t="s">
        <v>3162</v>
      </c>
      <c r="C1060" t="s">
        <v>3129</v>
      </c>
      <c r="D1060" t="s">
        <v>1439</v>
      </c>
      <c r="E1060" t="s">
        <v>476</v>
      </c>
      <c r="F1060" t="s">
        <v>1374</v>
      </c>
      <c r="G1060" t="s">
        <v>1536</v>
      </c>
      <c r="H1060" t="s">
        <v>67</v>
      </c>
    </row>
    <row r="1061" spans="1:8">
      <c r="A1061">
        <v>355171</v>
      </c>
      <c r="B1061" t="s">
        <v>3163</v>
      </c>
      <c r="C1061" t="s">
        <v>3130</v>
      </c>
      <c r="D1061" t="s">
        <v>1439</v>
      </c>
      <c r="E1061" t="s">
        <v>476</v>
      </c>
      <c r="F1061" t="s">
        <v>1374</v>
      </c>
      <c r="G1061" t="s">
        <v>1536</v>
      </c>
      <c r="H1061" t="s">
        <v>67</v>
      </c>
    </row>
    <row r="1062" spans="1:8">
      <c r="A1062">
        <v>355127</v>
      </c>
      <c r="B1062" t="s">
        <v>3164</v>
      </c>
      <c r="C1062" t="s">
        <v>3131</v>
      </c>
      <c r="D1062" t="s">
        <v>1439</v>
      </c>
      <c r="E1062" t="s">
        <v>476</v>
      </c>
      <c r="F1062" t="s">
        <v>1374</v>
      </c>
      <c r="G1062" t="s">
        <v>1536</v>
      </c>
      <c r="H1062" t="s">
        <v>67</v>
      </c>
    </row>
    <row r="1063" spans="1:8">
      <c r="A1063">
        <v>355173</v>
      </c>
      <c r="B1063" t="s">
        <v>3165</v>
      </c>
      <c r="C1063" t="s">
        <v>3132</v>
      </c>
      <c r="D1063" t="s">
        <v>1439</v>
      </c>
      <c r="E1063" t="s">
        <v>2395</v>
      </c>
      <c r="F1063" t="s">
        <v>604</v>
      </c>
      <c r="G1063" t="s">
        <v>1541</v>
      </c>
      <c r="H1063" t="s">
        <v>65</v>
      </c>
    </row>
    <row r="1064" spans="1:8">
      <c r="A1064">
        <v>355182</v>
      </c>
      <c r="B1064" t="s">
        <v>3166</v>
      </c>
      <c r="C1064" t="s">
        <v>3133</v>
      </c>
      <c r="D1064" t="s">
        <v>1439</v>
      </c>
      <c r="E1064" t="s">
        <v>584</v>
      </c>
      <c r="F1064" t="s">
        <v>1374</v>
      </c>
      <c r="G1064" t="s">
        <v>1536</v>
      </c>
      <c r="H1064" t="s">
        <v>67</v>
      </c>
    </row>
    <row r="1065" spans="1:8">
      <c r="A1065">
        <v>355125</v>
      </c>
      <c r="B1065" t="s">
        <v>3167</v>
      </c>
      <c r="C1065" t="s">
        <v>3134</v>
      </c>
      <c r="D1065" t="s">
        <v>1439</v>
      </c>
      <c r="E1065" t="s">
        <v>584</v>
      </c>
      <c r="F1065" t="s">
        <v>1374</v>
      </c>
      <c r="G1065" t="s">
        <v>1536</v>
      </c>
      <c r="H1065" t="s">
        <v>67</v>
      </c>
    </row>
    <row r="1066" spans="1:8">
      <c r="A1066">
        <v>355188</v>
      </c>
      <c r="B1066" t="s">
        <v>3168</v>
      </c>
      <c r="C1066" t="s">
        <v>3135</v>
      </c>
      <c r="D1066" t="s">
        <v>1439</v>
      </c>
      <c r="E1066" t="s">
        <v>584</v>
      </c>
      <c r="F1066" t="s">
        <v>1374</v>
      </c>
      <c r="G1066" t="s">
        <v>1536</v>
      </c>
      <c r="H1066" t="s">
        <v>67</v>
      </c>
    </row>
    <row r="1067" spans="1:8">
      <c r="A1067">
        <v>355122</v>
      </c>
      <c r="B1067" t="s">
        <v>3169</v>
      </c>
      <c r="C1067" t="s">
        <v>3136</v>
      </c>
      <c r="D1067" t="s">
        <v>1439</v>
      </c>
      <c r="E1067" t="s">
        <v>584</v>
      </c>
      <c r="F1067" t="s">
        <v>1374</v>
      </c>
      <c r="G1067" t="s">
        <v>1536</v>
      </c>
      <c r="H1067" t="s">
        <v>67</v>
      </c>
    </row>
    <row r="1068" spans="1:8">
      <c r="A1068">
        <v>211562</v>
      </c>
      <c r="B1068" t="s">
        <v>3170</v>
      </c>
      <c r="C1068" t="s">
        <v>3137</v>
      </c>
      <c r="D1068" t="s">
        <v>1439</v>
      </c>
      <c r="E1068" t="s">
        <v>791</v>
      </c>
      <c r="F1068" t="s">
        <v>1381</v>
      </c>
      <c r="G1068" t="s">
        <v>1541</v>
      </c>
      <c r="H1068" t="s">
        <v>65</v>
      </c>
    </row>
    <row r="1069" spans="1:8">
      <c r="A1069">
        <v>355203</v>
      </c>
      <c r="B1069" t="s">
        <v>3171</v>
      </c>
      <c r="C1069" t="s">
        <v>3138</v>
      </c>
      <c r="D1069" t="s">
        <v>1439</v>
      </c>
      <c r="E1069" t="s">
        <v>791</v>
      </c>
      <c r="F1069" t="s">
        <v>1381</v>
      </c>
      <c r="G1069" t="s">
        <v>1541</v>
      </c>
      <c r="H1069" t="s">
        <v>65</v>
      </c>
    </row>
    <row r="1070" spans="1:8">
      <c r="A1070">
        <v>355204</v>
      </c>
      <c r="B1070" t="s">
        <v>3172</v>
      </c>
      <c r="C1070" t="s">
        <v>3139</v>
      </c>
      <c r="D1070" t="s">
        <v>1439</v>
      </c>
      <c r="E1070" t="s">
        <v>791</v>
      </c>
      <c r="F1070" t="s">
        <v>1381</v>
      </c>
      <c r="G1070" t="s">
        <v>1541</v>
      </c>
      <c r="H1070" t="s">
        <v>65</v>
      </c>
    </row>
    <row r="1071" spans="1:8">
      <c r="A1071">
        <v>355117</v>
      </c>
      <c r="B1071" t="s">
        <v>3173</v>
      </c>
      <c r="C1071" t="s">
        <v>3140</v>
      </c>
      <c r="D1071" t="s">
        <v>1439</v>
      </c>
      <c r="E1071" t="s">
        <v>791</v>
      </c>
      <c r="F1071" t="s">
        <v>1381</v>
      </c>
      <c r="G1071" t="s">
        <v>1541</v>
      </c>
      <c r="H1071" t="s">
        <v>65</v>
      </c>
    </row>
    <row r="1072" spans="1:8">
      <c r="A1072">
        <v>355186</v>
      </c>
      <c r="B1072" t="s">
        <v>3174</v>
      </c>
      <c r="C1072" t="s">
        <v>3141</v>
      </c>
      <c r="D1072" t="s">
        <v>1439</v>
      </c>
      <c r="E1072" t="s">
        <v>1076</v>
      </c>
      <c r="F1072" t="s">
        <v>1374</v>
      </c>
      <c r="G1072" t="s">
        <v>1536</v>
      </c>
      <c r="H1072" t="s">
        <v>67</v>
      </c>
    </row>
    <row r="1073" spans="1:8">
      <c r="A1073">
        <v>355119</v>
      </c>
      <c r="B1073" t="s">
        <v>3175</v>
      </c>
      <c r="C1073" t="s">
        <v>3142</v>
      </c>
      <c r="D1073" t="s">
        <v>1439</v>
      </c>
      <c r="E1073" t="s">
        <v>1076</v>
      </c>
      <c r="F1073" t="s">
        <v>1374</v>
      </c>
      <c r="G1073" t="s">
        <v>1536</v>
      </c>
      <c r="H1073" t="s">
        <v>67</v>
      </c>
    </row>
    <row r="1074" spans="1:8">
      <c r="A1074">
        <v>355191</v>
      </c>
      <c r="B1074" t="s">
        <v>3176</v>
      </c>
      <c r="C1074" t="s">
        <v>3143</v>
      </c>
      <c r="D1074" t="s">
        <v>1439</v>
      </c>
      <c r="E1074" t="s">
        <v>1076</v>
      </c>
      <c r="F1074" t="s">
        <v>1374</v>
      </c>
      <c r="G1074" t="s">
        <v>1536</v>
      </c>
      <c r="H1074" t="s">
        <v>67</v>
      </c>
    </row>
    <row r="1075" spans="1:8">
      <c r="A1075">
        <v>355116</v>
      </c>
      <c r="B1075" t="s">
        <v>3177</v>
      </c>
      <c r="C1075" t="s">
        <v>3144</v>
      </c>
      <c r="D1075" t="s">
        <v>1439</v>
      </c>
      <c r="E1075" t="s">
        <v>1191</v>
      </c>
      <c r="F1075" t="s">
        <v>1381</v>
      </c>
      <c r="G1075" t="s">
        <v>1541</v>
      </c>
      <c r="H1075" t="s">
        <v>65</v>
      </c>
    </row>
    <row r="1076" spans="1:8">
      <c r="A1076">
        <v>332938</v>
      </c>
      <c r="B1076" t="s">
        <v>3178</v>
      </c>
      <c r="C1076" t="s">
        <v>3007</v>
      </c>
      <c r="D1076" t="s">
        <v>1439</v>
      </c>
      <c r="E1076" t="s">
        <v>1191</v>
      </c>
      <c r="F1076" t="s">
        <v>1381</v>
      </c>
      <c r="G1076" t="s">
        <v>1541</v>
      </c>
      <c r="H1076" t="s">
        <v>65</v>
      </c>
    </row>
    <row r="1077" spans="1:8">
      <c r="A1077">
        <v>355202</v>
      </c>
      <c r="B1077" t="s">
        <v>3179</v>
      </c>
      <c r="C1077" t="s">
        <v>3145</v>
      </c>
      <c r="D1077" t="s">
        <v>1439</v>
      </c>
      <c r="E1077" t="s">
        <v>1273</v>
      </c>
      <c r="F1077" t="s">
        <v>1374</v>
      </c>
      <c r="G1077" t="s">
        <v>1536</v>
      </c>
      <c r="H1077" t="s">
        <v>67</v>
      </c>
    </row>
    <row r="1078" spans="1:8">
      <c r="A1078">
        <v>355172</v>
      </c>
      <c r="B1078" t="s">
        <v>3180</v>
      </c>
      <c r="C1078" t="s">
        <v>3146</v>
      </c>
      <c r="D1078" t="s">
        <v>1439</v>
      </c>
      <c r="E1078" t="s">
        <v>1273</v>
      </c>
      <c r="F1078" t="s">
        <v>1374</v>
      </c>
      <c r="G1078" t="s">
        <v>1536</v>
      </c>
      <c r="H1078" t="s">
        <v>67</v>
      </c>
    </row>
    <row r="1079" spans="1:8">
      <c r="A1079">
        <v>355121</v>
      </c>
      <c r="B1079" t="s">
        <v>3181</v>
      </c>
      <c r="C1079" t="s">
        <v>3147</v>
      </c>
      <c r="D1079" t="s">
        <v>1439</v>
      </c>
      <c r="E1079" t="s">
        <v>1273</v>
      </c>
      <c r="F1079" t="s">
        <v>1374</v>
      </c>
      <c r="G1079" t="s">
        <v>1536</v>
      </c>
      <c r="H1079" t="s">
        <v>67</v>
      </c>
    </row>
    <row r="1080" spans="1:8">
      <c r="A1080">
        <v>355194</v>
      </c>
      <c r="B1080" t="s">
        <v>3182</v>
      </c>
      <c r="C1080" t="s">
        <v>3148</v>
      </c>
      <c r="D1080" t="s">
        <v>1439</v>
      </c>
      <c r="E1080" t="s">
        <v>1273</v>
      </c>
      <c r="F1080" t="s">
        <v>1374</v>
      </c>
      <c r="G1080" t="s">
        <v>1536</v>
      </c>
      <c r="H1080" t="s">
        <v>67</v>
      </c>
    </row>
    <row r="1081" spans="1:8">
      <c r="A1081">
        <v>355176</v>
      </c>
      <c r="B1081" t="s">
        <v>3183</v>
      </c>
      <c r="C1081" t="s">
        <v>3149</v>
      </c>
      <c r="D1081" t="s">
        <v>1439</v>
      </c>
      <c r="E1081" t="s">
        <v>1344</v>
      </c>
      <c r="F1081" t="s">
        <v>604</v>
      </c>
      <c r="G1081" t="s">
        <v>1541</v>
      </c>
      <c r="H1081" t="s">
        <v>65</v>
      </c>
    </row>
    <row r="1082" spans="1:8">
      <c r="A1082">
        <v>355205</v>
      </c>
      <c r="B1082" t="s">
        <v>3184</v>
      </c>
      <c r="C1082" t="s">
        <v>3150</v>
      </c>
      <c r="D1082" t="s">
        <v>1439</v>
      </c>
      <c r="E1082" t="s">
        <v>1344</v>
      </c>
      <c r="F1082" t="s">
        <v>604</v>
      </c>
      <c r="G1082" t="s">
        <v>1541</v>
      </c>
      <c r="H1082" t="s">
        <v>65</v>
      </c>
    </row>
    <row r="1083" spans="1:8">
      <c r="A1083">
        <v>355181</v>
      </c>
      <c r="B1083" t="s">
        <v>3185</v>
      </c>
      <c r="C1083" t="s">
        <v>3151</v>
      </c>
      <c r="D1083" t="s">
        <v>1439</v>
      </c>
      <c r="E1083" t="s">
        <v>1344</v>
      </c>
      <c r="F1083" t="s">
        <v>604</v>
      </c>
      <c r="G1083" t="s">
        <v>1541</v>
      </c>
      <c r="H1083" t="s">
        <v>65</v>
      </c>
    </row>
    <row r="1084" spans="1:8">
      <c r="A1084">
        <v>355178</v>
      </c>
      <c r="B1084" t="s">
        <v>3186</v>
      </c>
      <c r="C1084" t="s">
        <v>3152</v>
      </c>
      <c r="D1084" t="s">
        <v>1439</v>
      </c>
      <c r="E1084" t="s">
        <v>1344</v>
      </c>
      <c r="F1084" t="s">
        <v>604</v>
      </c>
      <c r="G1084" t="s">
        <v>1541</v>
      </c>
      <c r="H1084" t="s">
        <v>65</v>
      </c>
    </row>
    <row r="1085" spans="1:8">
      <c r="A1085">
        <v>241756</v>
      </c>
      <c r="B1085" t="s">
        <v>3187</v>
      </c>
      <c r="C1085" t="s">
        <v>3153</v>
      </c>
      <c r="D1085" t="s">
        <v>1439</v>
      </c>
      <c r="E1085" t="s">
        <v>1012</v>
      </c>
      <c r="F1085" t="s">
        <v>1371</v>
      </c>
      <c r="G1085" t="s">
        <v>1540</v>
      </c>
      <c r="H1085" t="s">
        <v>59</v>
      </c>
    </row>
    <row r="1086" spans="1:8">
      <c r="A1086">
        <v>278977</v>
      </c>
      <c r="B1086" t="s">
        <v>3188</v>
      </c>
      <c r="C1086" t="s">
        <v>3154</v>
      </c>
      <c r="D1086" t="s">
        <v>1439</v>
      </c>
      <c r="E1086" t="s">
        <v>1012</v>
      </c>
      <c r="F1086" t="s">
        <v>1371</v>
      </c>
      <c r="G1086" t="s">
        <v>1540</v>
      </c>
      <c r="H1086" t="s">
        <v>59</v>
      </c>
    </row>
    <row r="1087" spans="1:8">
      <c r="A1087">
        <v>355288</v>
      </c>
      <c r="B1087" t="s">
        <v>3189</v>
      </c>
      <c r="C1087" t="s">
        <v>3155</v>
      </c>
      <c r="D1087" t="s">
        <v>1439</v>
      </c>
      <c r="E1087" t="s">
        <v>1012</v>
      </c>
      <c r="F1087" t="s">
        <v>1371</v>
      </c>
      <c r="G1087" t="s">
        <v>1540</v>
      </c>
      <c r="H1087" t="s">
        <v>59</v>
      </c>
    </row>
    <row r="1088" spans="1:8">
      <c r="A1088">
        <v>355299</v>
      </c>
      <c r="B1088" t="s">
        <v>3190</v>
      </c>
      <c r="C1088" t="s">
        <v>3156</v>
      </c>
      <c r="D1088" t="s">
        <v>1439</v>
      </c>
      <c r="E1088" t="s">
        <v>1012</v>
      </c>
      <c r="F1088" t="s">
        <v>1371</v>
      </c>
      <c r="G1088" t="s">
        <v>1540</v>
      </c>
      <c r="H1088" t="s">
        <v>59</v>
      </c>
    </row>
    <row r="1089" spans="1:8">
      <c r="A1089">
        <v>355206</v>
      </c>
      <c r="B1089" t="s">
        <v>3191</v>
      </c>
      <c r="C1089" t="s">
        <v>3157</v>
      </c>
      <c r="D1089" t="s">
        <v>1439</v>
      </c>
      <c r="E1089" t="s">
        <v>512</v>
      </c>
      <c r="F1089" t="s">
        <v>604</v>
      </c>
      <c r="G1089" t="s">
        <v>1541</v>
      </c>
      <c r="H1089" t="s">
        <v>65</v>
      </c>
    </row>
    <row r="1090" spans="1:8">
      <c r="A1090">
        <v>240248</v>
      </c>
      <c r="B1090" t="s">
        <v>1390</v>
      </c>
      <c r="C1090" t="s">
        <v>1363</v>
      </c>
      <c r="D1090" t="s">
        <v>1439</v>
      </c>
      <c r="E1090" t="s">
        <v>791</v>
      </c>
      <c r="F1090" t="s">
        <v>1381</v>
      </c>
      <c r="G1090" t="s">
        <v>1541</v>
      </c>
      <c r="H1090" t="s">
        <v>65</v>
      </c>
    </row>
    <row r="1091" spans="1:8">
      <c r="A1091">
        <v>310657</v>
      </c>
      <c r="B1091" t="s">
        <v>1391</v>
      </c>
      <c r="C1091" t="s">
        <v>1364</v>
      </c>
      <c r="D1091" t="s">
        <v>1439</v>
      </c>
      <c r="E1091" t="s">
        <v>1273</v>
      </c>
      <c r="F1091" t="s">
        <v>1374</v>
      </c>
      <c r="G1091" t="s">
        <v>1536</v>
      </c>
      <c r="H1091" t="s">
        <v>67</v>
      </c>
    </row>
    <row r="1092" spans="1:8">
      <c r="A1092">
        <v>273874</v>
      </c>
      <c r="B1092" t="s">
        <v>1397</v>
      </c>
      <c r="C1092" t="s">
        <v>1370</v>
      </c>
      <c r="D1092" t="s">
        <v>1439</v>
      </c>
      <c r="E1092" t="s">
        <v>1338</v>
      </c>
      <c r="F1092" t="s">
        <v>1381</v>
      </c>
      <c r="G1092" t="s">
        <v>1541</v>
      </c>
      <c r="H1092" t="s">
        <v>65</v>
      </c>
    </row>
    <row r="1093" spans="1:8">
      <c r="A1093">
        <v>299079</v>
      </c>
      <c r="B1093" t="s">
        <v>1393</v>
      </c>
      <c r="C1093" t="s">
        <v>1366</v>
      </c>
      <c r="D1093" t="s">
        <v>1439</v>
      </c>
      <c r="E1093" t="s">
        <v>476</v>
      </c>
      <c r="F1093" t="s">
        <v>1374</v>
      </c>
      <c r="G1093" t="s">
        <v>1536</v>
      </c>
      <c r="H1093" t="s">
        <v>67</v>
      </c>
    </row>
    <row r="1094" spans="1:8">
      <c r="A1094">
        <v>329247</v>
      </c>
      <c r="B1094" t="s">
        <v>1750</v>
      </c>
      <c r="C1094" t="s">
        <v>1751</v>
      </c>
      <c r="D1094" t="s">
        <v>1439</v>
      </c>
      <c r="E1094" t="s">
        <v>1076</v>
      </c>
      <c r="F1094" t="s">
        <v>1374</v>
      </c>
      <c r="G1094" t="s">
        <v>1536</v>
      </c>
      <c r="H1094" t="s">
        <v>67</v>
      </c>
    </row>
    <row r="1095" spans="1:8">
      <c r="A1095">
        <v>303501</v>
      </c>
      <c r="B1095" t="s">
        <v>918</v>
      </c>
      <c r="C1095" t="s">
        <v>919</v>
      </c>
      <c r="D1095" t="s">
        <v>1439</v>
      </c>
      <c r="E1095" t="s">
        <v>584</v>
      </c>
      <c r="F1095" t="s">
        <v>1374</v>
      </c>
      <c r="G1095" t="s">
        <v>1536</v>
      </c>
      <c r="H1095" t="s">
        <v>67</v>
      </c>
    </row>
    <row r="1096" spans="1:8">
      <c r="A1096">
        <v>260127</v>
      </c>
      <c r="B1096" t="s">
        <v>914</v>
      </c>
      <c r="C1096" t="s">
        <v>915</v>
      </c>
      <c r="D1096" t="s">
        <v>1439</v>
      </c>
      <c r="E1096" t="s">
        <v>1213</v>
      </c>
      <c r="F1096" t="s">
        <v>1374</v>
      </c>
      <c r="G1096" t="s">
        <v>1536</v>
      </c>
      <c r="H1096" t="s">
        <v>67</v>
      </c>
    </row>
    <row r="1097" spans="1:8">
      <c r="A1097">
        <v>296775</v>
      </c>
      <c r="B1097" t="s">
        <v>1395</v>
      </c>
      <c r="C1097" t="s">
        <v>1368</v>
      </c>
      <c r="D1097" t="s">
        <v>1439</v>
      </c>
      <c r="E1097" t="s">
        <v>1338</v>
      </c>
      <c r="F1097" t="s">
        <v>1381</v>
      </c>
      <c r="G1097" t="s">
        <v>1541</v>
      </c>
      <c r="H1097" t="s">
        <v>65</v>
      </c>
    </row>
    <row r="1098" spans="1:8">
      <c r="A1098">
        <v>310989</v>
      </c>
      <c r="B1098" t="s">
        <v>523</v>
      </c>
      <c r="C1098" t="s">
        <v>524</v>
      </c>
      <c r="D1098" t="s">
        <v>1439</v>
      </c>
      <c r="E1098" t="s">
        <v>1191</v>
      </c>
      <c r="F1098" t="s">
        <v>1381</v>
      </c>
      <c r="G1098" t="s">
        <v>1541</v>
      </c>
      <c r="H1098" t="s">
        <v>65</v>
      </c>
    </row>
    <row r="1099" spans="1:8">
      <c r="A1099">
        <v>293363</v>
      </c>
      <c r="B1099" t="s">
        <v>1396</v>
      </c>
      <c r="C1099" t="s">
        <v>1369</v>
      </c>
      <c r="D1099" t="s">
        <v>1439</v>
      </c>
      <c r="E1099" t="s">
        <v>512</v>
      </c>
      <c r="F1099" t="s">
        <v>604</v>
      </c>
      <c r="G1099" t="s">
        <v>1541</v>
      </c>
      <c r="H1099" t="s">
        <v>65</v>
      </c>
    </row>
    <row r="1100" spans="1:8">
      <c r="A1100">
        <v>325860</v>
      </c>
      <c r="B1100" t="s">
        <v>1631</v>
      </c>
      <c r="C1100" t="s">
        <v>1632</v>
      </c>
      <c r="D1100" t="s">
        <v>1439</v>
      </c>
      <c r="E1100" t="s">
        <v>1191</v>
      </c>
      <c r="F1100" t="s">
        <v>1381</v>
      </c>
      <c r="G1100" t="s">
        <v>1541</v>
      </c>
      <c r="H1100" t="s">
        <v>65</v>
      </c>
    </row>
    <row r="1101" spans="1:8">
      <c r="A1101">
        <v>350790</v>
      </c>
      <c r="B1101" t="s">
        <v>2509</v>
      </c>
      <c r="C1101" t="s">
        <v>2439</v>
      </c>
      <c r="D1101" t="s">
        <v>1439</v>
      </c>
      <c r="E1101" t="s">
        <v>476</v>
      </c>
      <c r="F1101" t="s">
        <v>1374</v>
      </c>
      <c r="G1101" t="s">
        <v>1536</v>
      </c>
      <c r="H1101" t="s">
        <v>67</v>
      </c>
    </row>
    <row r="1102" spans="1:8">
      <c r="A1102">
        <v>300222</v>
      </c>
      <c r="B1102" t="s">
        <v>3192</v>
      </c>
      <c r="C1102" t="s">
        <v>3158</v>
      </c>
      <c r="D1102" t="s">
        <v>1439</v>
      </c>
      <c r="E1102" t="s">
        <v>791</v>
      </c>
      <c r="F1102" t="s">
        <v>1381</v>
      </c>
      <c r="G1102" t="s">
        <v>1541</v>
      </c>
      <c r="H1102" t="s">
        <v>65</v>
      </c>
    </row>
    <row r="1103" spans="1:8">
      <c r="A1103">
        <v>347795</v>
      </c>
      <c r="B1103" t="s">
        <v>3193</v>
      </c>
      <c r="C1103" t="s">
        <v>3159</v>
      </c>
      <c r="D1103" t="s">
        <v>1439</v>
      </c>
      <c r="E1103" t="s">
        <v>791</v>
      </c>
      <c r="F1103" t="s">
        <v>1381</v>
      </c>
      <c r="G1103" t="s">
        <v>1541</v>
      </c>
      <c r="H1103" t="s">
        <v>65</v>
      </c>
    </row>
    <row r="1104" spans="1:8">
      <c r="A1104">
        <v>349528</v>
      </c>
      <c r="B1104" t="s">
        <v>3194</v>
      </c>
      <c r="C1104" t="s">
        <v>3160</v>
      </c>
      <c r="D1104" t="s">
        <v>1439</v>
      </c>
      <c r="E1104" t="s">
        <v>791</v>
      </c>
      <c r="F1104" t="s">
        <v>1381</v>
      </c>
      <c r="G1104" t="s">
        <v>1541</v>
      </c>
      <c r="H1104" t="s">
        <v>65</v>
      </c>
    </row>
    <row r="1105" spans="1:8">
      <c r="A1105">
        <v>26469</v>
      </c>
      <c r="B1105" t="s">
        <v>1708</v>
      </c>
      <c r="C1105" t="s">
        <v>1709</v>
      </c>
      <c r="D1105" t="s">
        <v>1710</v>
      </c>
      <c r="E1105" t="s">
        <v>1711</v>
      </c>
      <c r="F1105" t="s">
        <v>1712</v>
      </c>
      <c r="G1105" t="s">
        <v>63</v>
      </c>
      <c r="H1105" t="s">
        <v>63</v>
      </c>
    </row>
    <row r="1106" spans="1:8">
      <c r="A1106">
        <v>138778</v>
      </c>
      <c r="B1106" t="s">
        <v>1398</v>
      </c>
      <c r="C1106" t="s">
        <v>1371</v>
      </c>
      <c r="D1106" t="s">
        <v>1667</v>
      </c>
      <c r="E1106" t="s">
        <v>1380</v>
      </c>
      <c r="F1106" t="s">
        <v>1432</v>
      </c>
      <c r="G1106" t="s">
        <v>63</v>
      </c>
      <c r="H1106" t="s">
        <v>63</v>
      </c>
    </row>
    <row r="1107" spans="1:8">
      <c r="A1107">
        <v>80701</v>
      </c>
      <c r="B1107" t="s">
        <v>1399</v>
      </c>
      <c r="C1107" t="s">
        <v>1372</v>
      </c>
      <c r="D1107" t="s">
        <v>1441</v>
      </c>
      <c r="E1107" t="s">
        <v>1374</v>
      </c>
      <c r="F1107" t="s">
        <v>1380</v>
      </c>
      <c r="G1107" t="s">
        <v>63</v>
      </c>
      <c r="H1107" t="s">
        <v>63</v>
      </c>
    </row>
    <row r="1108" spans="1:8">
      <c r="A1108">
        <v>54896</v>
      </c>
      <c r="B1108" t="s">
        <v>1400</v>
      </c>
      <c r="C1108" t="s">
        <v>1373</v>
      </c>
      <c r="D1108" t="s">
        <v>1438</v>
      </c>
      <c r="E1108" t="s">
        <v>1378</v>
      </c>
      <c r="F1108" t="s">
        <v>1380</v>
      </c>
      <c r="G1108" t="s">
        <v>63</v>
      </c>
      <c r="H1108" t="s">
        <v>63</v>
      </c>
    </row>
    <row r="1109" spans="1:8">
      <c r="A1109">
        <v>230924</v>
      </c>
      <c r="B1109" t="s">
        <v>1401</v>
      </c>
      <c r="C1109" t="s">
        <v>2884</v>
      </c>
      <c r="D1109" t="s">
        <v>1438</v>
      </c>
      <c r="E1109" t="s">
        <v>1381</v>
      </c>
      <c r="F1109" t="s">
        <v>1380</v>
      </c>
      <c r="G1109" t="s">
        <v>63</v>
      </c>
      <c r="H1109" t="s">
        <v>63</v>
      </c>
    </row>
    <row r="1110" spans="1:8">
      <c r="A1110">
        <v>27746</v>
      </c>
      <c r="B1110" t="s">
        <v>1402</v>
      </c>
      <c r="C1110" t="s">
        <v>1374</v>
      </c>
      <c r="D1110" t="s">
        <v>1667</v>
      </c>
      <c r="E1110" t="s">
        <v>1380</v>
      </c>
      <c r="F1110" t="s">
        <v>1432</v>
      </c>
      <c r="G1110" t="s">
        <v>63</v>
      </c>
      <c r="H1110" t="s">
        <v>63</v>
      </c>
    </row>
    <row r="1111" spans="1:8">
      <c r="A1111">
        <v>183717</v>
      </c>
      <c r="B1111" t="s">
        <v>1403</v>
      </c>
      <c r="C1111" t="s">
        <v>1375</v>
      </c>
      <c r="D1111" t="s">
        <v>1667</v>
      </c>
      <c r="E1111" t="s">
        <v>1380</v>
      </c>
      <c r="F1111" t="s">
        <v>1432</v>
      </c>
      <c r="G1111" t="s">
        <v>63</v>
      </c>
      <c r="H1111" t="s">
        <v>63</v>
      </c>
    </row>
    <row r="1112" spans="1:8">
      <c r="A1112">
        <v>54884</v>
      </c>
      <c r="B1112" t="s">
        <v>1404</v>
      </c>
      <c r="C1112" t="s">
        <v>1376</v>
      </c>
      <c r="D1112" t="s">
        <v>1438</v>
      </c>
      <c r="E1112" t="s">
        <v>1375</v>
      </c>
      <c r="F1112" t="s">
        <v>1380</v>
      </c>
      <c r="G1112" t="s">
        <v>63</v>
      </c>
      <c r="H1112" t="s">
        <v>63</v>
      </c>
    </row>
    <row r="1113" spans="1:8">
      <c r="A1113">
        <v>255419</v>
      </c>
      <c r="B1113" t="s">
        <v>1405</v>
      </c>
      <c r="C1113" t="s">
        <v>1377</v>
      </c>
      <c r="D1113" t="s">
        <v>1668</v>
      </c>
      <c r="E1113" t="s">
        <v>1380</v>
      </c>
      <c r="F1113" t="s">
        <v>1432</v>
      </c>
      <c r="G1113" t="s">
        <v>63</v>
      </c>
      <c r="H1113" t="s">
        <v>63</v>
      </c>
    </row>
    <row r="1114" spans="1:8">
      <c r="A1114">
        <v>165823</v>
      </c>
      <c r="B1114" t="s">
        <v>1406</v>
      </c>
      <c r="C1114" t="s">
        <v>1378</v>
      </c>
      <c r="D1114" t="s">
        <v>1667</v>
      </c>
      <c r="E1114" t="s">
        <v>1380</v>
      </c>
      <c r="F1114" t="s">
        <v>1432</v>
      </c>
      <c r="G1114" t="s">
        <v>63</v>
      </c>
      <c r="H1114" t="s">
        <v>63</v>
      </c>
    </row>
    <row r="1115" spans="1:8">
      <c r="A1115">
        <v>185123</v>
      </c>
      <c r="B1115" t="s">
        <v>1407</v>
      </c>
      <c r="C1115" t="s">
        <v>1379</v>
      </c>
      <c r="D1115" t="s">
        <v>1438</v>
      </c>
      <c r="E1115" t="s">
        <v>1371</v>
      </c>
      <c r="F1115" t="s">
        <v>1380</v>
      </c>
      <c r="G1115" t="s">
        <v>63</v>
      </c>
      <c r="H1115" t="s">
        <v>63</v>
      </c>
    </row>
    <row r="1116" spans="1:8">
      <c r="A1116">
        <v>115983</v>
      </c>
      <c r="B1116" t="s">
        <v>1408</v>
      </c>
      <c r="C1116" t="s">
        <v>1380</v>
      </c>
      <c r="D1116" t="s">
        <v>1669</v>
      </c>
      <c r="E1116" t="s">
        <v>1432</v>
      </c>
      <c r="F1116" t="s">
        <v>1711</v>
      </c>
      <c r="G1116" t="s">
        <v>63</v>
      </c>
      <c r="H1116" t="s">
        <v>63</v>
      </c>
    </row>
    <row r="1117" spans="1:8">
      <c r="A1117">
        <v>31531</v>
      </c>
      <c r="B1117" t="s">
        <v>1409</v>
      </c>
      <c r="C1117" t="s">
        <v>1381</v>
      </c>
      <c r="D1117" t="s">
        <v>1667</v>
      </c>
      <c r="E1117" t="s">
        <v>1380</v>
      </c>
      <c r="F1117" t="s">
        <v>1380</v>
      </c>
      <c r="G1117" t="s">
        <v>63</v>
      </c>
      <c r="H1117" t="s">
        <v>63</v>
      </c>
    </row>
    <row r="1118" spans="1:8">
      <c r="A1118">
        <v>80601</v>
      </c>
      <c r="B1118" t="s">
        <v>1410</v>
      </c>
      <c r="C1118" t="s">
        <v>1382</v>
      </c>
      <c r="D1118" t="s">
        <v>1438</v>
      </c>
      <c r="E1118" t="s">
        <v>1375</v>
      </c>
      <c r="F1118" t="s">
        <v>1380</v>
      </c>
      <c r="G1118" t="s">
        <v>63</v>
      </c>
      <c r="H1118" t="s">
        <v>63</v>
      </c>
    </row>
    <row r="1119" spans="1:8">
      <c r="A1119">
        <v>145024</v>
      </c>
      <c r="B1119" t="s">
        <v>1411</v>
      </c>
      <c r="C1119" t="s">
        <v>1383</v>
      </c>
      <c r="D1119" t="s">
        <v>1438</v>
      </c>
      <c r="E1119" t="s">
        <v>1381</v>
      </c>
      <c r="F1119" t="s">
        <v>1380</v>
      </c>
      <c r="G1119" t="s">
        <v>63</v>
      </c>
      <c r="H1119" t="s">
        <v>63</v>
      </c>
    </row>
    <row r="1120" spans="1:8">
      <c r="A1120">
        <v>172950</v>
      </c>
      <c r="B1120" t="s">
        <v>1412</v>
      </c>
      <c r="C1120" t="s">
        <v>1384</v>
      </c>
      <c r="D1120" t="s">
        <v>1438</v>
      </c>
      <c r="E1120" t="s">
        <v>1374</v>
      </c>
      <c r="F1120" t="s">
        <v>1380</v>
      </c>
      <c r="G1120" t="s">
        <v>63</v>
      </c>
      <c r="H1120" t="s">
        <v>63</v>
      </c>
    </row>
    <row r="1121" spans="1:8">
      <c r="A1121">
        <v>312060</v>
      </c>
      <c r="B1121" t="s">
        <v>1415</v>
      </c>
      <c r="C1121" t="s">
        <v>1387</v>
      </c>
      <c r="D1121" t="s">
        <v>1670</v>
      </c>
      <c r="E1121" t="s">
        <v>1380</v>
      </c>
      <c r="F1121" t="s">
        <v>1432</v>
      </c>
      <c r="G1121" t="s">
        <v>63</v>
      </c>
      <c r="H1121" t="s">
        <v>63</v>
      </c>
    </row>
    <row r="1122" spans="1:8">
      <c r="A1122">
        <v>183053</v>
      </c>
      <c r="B1122" t="s">
        <v>1413</v>
      </c>
      <c r="C1122" t="s">
        <v>1385</v>
      </c>
      <c r="D1122" t="s">
        <v>1438</v>
      </c>
      <c r="E1122" t="s">
        <v>1374</v>
      </c>
      <c r="F1122" t="s">
        <v>1380</v>
      </c>
      <c r="G1122" t="s">
        <v>63</v>
      </c>
      <c r="H1122" t="s">
        <v>63</v>
      </c>
    </row>
    <row r="1123" spans="1:8">
      <c r="A1123">
        <v>81571</v>
      </c>
      <c r="B1123" t="s">
        <v>1414</v>
      </c>
      <c r="C1123" t="s">
        <v>1386</v>
      </c>
      <c r="D1123" t="s">
        <v>1438</v>
      </c>
      <c r="E1123" t="s">
        <v>1381</v>
      </c>
      <c r="F1123" t="s">
        <v>1380</v>
      </c>
      <c r="G1123" t="s">
        <v>63</v>
      </c>
      <c r="H1123" t="s">
        <v>63</v>
      </c>
    </row>
    <row r="1124" spans="1:8">
      <c r="A1124">
        <v>44106</v>
      </c>
      <c r="B1124" t="s">
        <v>603</v>
      </c>
      <c r="C1124" t="s">
        <v>604</v>
      </c>
      <c r="D1124" t="s">
        <v>1667</v>
      </c>
      <c r="E1124" t="s">
        <v>1380</v>
      </c>
      <c r="F1124" t="s">
        <v>1380</v>
      </c>
      <c r="G1124" t="s">
        <v>63</v>
      </c>
      <c r="H1124" t="s">
        <v>63</v>
      </c>
    </row>
  </sheetData>
  <autoFilter ref="A1:H1104" xr:uid="{419405D1-4382-48A8-8102-DA0E6E20C455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/>
  <cols>
    <col min="1" max="1" width="107.6640625" bestFit="1" customWidth="1"/>
  </cols>
  <sheetData>
    <row r="1" spans="1:1">
      <c r="A1" s="5" t="s">
        <v>428</v>
      </c>
    </row>
    <row r="2" spans="1:1">
      <c r="A2" t="s">
        <v>430</v>
      </c>
    </row>
    <row r="3" spans="1:1">
      <c r="A3" t="s">
        <v>431</v>
      </c>
    </row>
    <row r="4" spans="1:1">
      <c r="A4" s="5" t="s">
        <v>432</v>
      </c>
    </row>
    <row r="5" spans="1:1">
      <c r="A5" t="s">
        <v>433</v>
      </c>
    </row>
    <row r="6" spans="1:1">
      <c r="A6" t="s">
        <v>434</v>
      </c>
    </row>
    <row r="7" spans="1:1">
      <c r="A7" s="5" t="s">
        <v>59</v>
      </c>
    </row>
    <row r="8" spans="1:1">
      <c r="A8" t="s">
        <v>435</v>
      </c>
    </row>
    <row r="9" spans="1:1">
      <c r="A9" s="5" t="s">
        <v>67</v>
      </c>
    </row>
    <row r="10" spans="1:1">
      <c r="A10" t="s">
        <v>436</v>
      </c>
    </row>
    <row r="11" spans="1:1">
      <c r="A11" s="5" t="s">
        <v>65</v>
      </c>
    </row>
    <row r="12" spans="1:1">
      <c r="A12" t="s">
        <v>437</v>
      </c>
    </row>
    <row r="13" spans="1:1">
      <c r="A13" t="s">
        <v>438</v>
      </c>
    </row>
    <row r="14" spans="1:1">
      <c r="A14" s="5" t="s">
        <v>62</v>
      </c>
    </row>
    <row r="15" spans="1:1">
      <c r="A15" t="s">
        <v>439</v>
      </c>
    </row>
    <row r="16" spans="1:1">
      <c r="A16" s="5" t="s">
        <v>61</v>
      </c>
    </row>
    <row r="17" spans="1:1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20</vt:i4>
      </vt:variant>
    </vt:vector>
  </HeadingPairs>
  <TitlesOfParts>
    <vt:vector size="20" baseType="lpstr">
      <vt:lpstr>Genel</vt:lpstr>
      <vt:lpstr>Genel Müşteri Çıkış</vt:lpstr>
      <vt:lpstr>Genel Müşteri Çıkış (2)</vt:lpstr>
      <vt:lpstr>Çalışma saatleri</vt:lpstr>
      <vt:lpstr>Sayfa1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Personel Listesi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2026-10-05T20:09:41Z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