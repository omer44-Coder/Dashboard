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62" documentId="13_ncr:1_{5C53DD68-2375-405F-8904-01DDF28FFD40}" xr6:coauthVersionLast="47" xr6:coauthVersionMax="47" xr10:uidLastSave="{692022E0-3F35-4C64-AAD1-19AEA0494EEC}"/>
  <bookViews>
    <workbookView xWindow="-108" yWindow="-108" windowWidth="23256" windowHeight="12456" firstSheet="1" activeTab="6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N11" i="41" l="1"/>
  <c r="GO11" i="41"/>
  <c r="GP11" i="41"/>
  <c r="GQ11" i="41"/>
  <c r="GR11" i="41"/>
  <c r="GS11" i="41"/>
  <c r="GN11" i="11"/>
  <c r="GO11" i="11"/>
  <c r="GP11" i="11"/>
  <c r="GQ11" i="11"/>
  <c r="GR11" i="11"/>
  <c r="GS11" i="11"/>
  <c r="GT11" i="11"/>
  <c r="AC560" i="8"/>
  <c r="AE560" i="8" s="1"/>
  <c r="R560" i="8" s="1"/>
  <c r="AD560" i="8"/>
  <c r="AF560" i="8" s="1"/>
  <c r="AC561" i="8"/>
  <c r="AE561" i="8" s="1"/>
  <c r="R561" i="8" s="1"/>
  <c r="AD561" i="8"/>
  <c r="AF561" i="8" s="1"/>
  <c r="AC562" i="8"/>
  <c r="AE562" i="8" s="1"/>
  <c r="R562" i="8" s="1"/>
  <c r="AD562" i="8"/>
  <c r="AF562" i="8" s="1"/>
  <c r="AC563" i="8"/>
  <c r="AE563" i="8" s="1"/>
  <c r="R563" i="8" s="1"/>
  <c r="AD563" i="8"/>
  <c r="AF563" i="8" s="1"/>
  <c r="AC564" i="8"/>
  <c r="AE564" i="8" s="1"/>
  <c r="R564" i="8" s="1"/>
  <c r="AD564" i="8"/>
  <c r="AF564" i="8" s="1"/>
  <c r="AC565" i="8"/>
  <c r="AE565" i="8" s="1"/>
  <c r="R565" i="8" s="1"/>
  <c r="AD565" i="8"/>
  <c r="AF565" i="8" s="1"/>
  <c r="R559" i="8"/>
  <c r="R566" i="8"/>
  <c r="P566" i="8" s="1"/>
  <c r="Q559" i="8"/>
  <c r="Q566" i="8"/>
  <c r="P559" i="8"/>
  <c r="O560" i="8"/>
  <c r="O561" i="8"/>
  <c r="O562" i="8"/>
  <c r="O563" i="8"/>
  <c r="O564" i="8"/>
  <c r="O565" i="8"/>
  <c r="O566" i="8"/>
  <c r="N566" i="8"/>
  <c r="C571" i="8"/>
  <c r="D571" i="8"/>
  <c r="E571" i="8"/>
  <c r="F571" i="8"/>
  <c r="G571" i="8"/>
  <c r="H571" i="8"/>
  <c r="B571" i="8"/>
  <c r="GN11" i="5"/>
  <c r="GO11" i="5"/>
  <c r="GP11" i="5"/>
  <c r="GQ11" i="5"/>
  <c r="GR11" i="5"/>
  <c r="GS11" i="5"/>
  <c r="GT11" i="5"/>
  <c r="N560" i="8" l="1"/>
  <c r="Q560" i="8"/>
  <c r="P560" i="8" s="1"/>
  <c r="Q563" i="8"/>
  <c r="N563" i="8"/>
  <c r="P563" i="8"/>
  <c r="Q562" i="8"/>
  <c r="P562" i="8" s="1"/>
  <c r="N562" i="8"/>
  <c r="Q564" i="8"/>
  <c r="N564" i="8"/>
  <c r="N565" i="8"/>
  <c r="Q565" i="8"/>
  <c r="P565" i="8" s="1"/>
  <c r="Q561" i="8"/>
  <c r="P561" i="8" s="1"/>
  <c r="N561" i="8"/>
  <c r="P564" i="8"/>
  <c r="GN11" i="16"/>
  <c r="GO11" i="16"/>
  <c r="GP11" i="16"/>
  <c r="GQ11" i="16"/>
  <c r="GR11" i="16"/>
  <c r="GS11" i="16"/>
  <c r="GT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GT11" i="3"/>
  <c r="AG561" i="8"/>
  <c r="AG560" i="8"/>
  <c r="AG562" i="8"/>
  <c r="AG563" i="8"/>
  <c r="AG564" i="8"/>
  <c r="AG565" i="8"/>
  <c r="AB560" i="8"/>
  <c r="AB561" i="8"/>
  <c r="AB562" i="8"/>
  <c r="AB563" i="8"/>
  <c r="AB564" i="8"/>
  <c r="AB565" i="8"/>
  <c r="X560" i="8"/>
  <c r="X561" i="8"/>
  <c r="X562" i="8"/>
  <c r="X563" i="8"/>
  <c r="X564" i="8"/>
  <c r="X565" i="8"/>
  <c r="W560" i="8"/>
  <c r="W561" i="8"/>
  <c r="W562" i="8"/>
  <c r="W563" i="8"/>
  <c r="W564" i="8"/>
  <c r="W565" i="8"/>
  <c r="GN11" i="2"/>
  <c r="GO11" i="2"/>
  <c r="GP11" i="2"/>
  <c r="GQ11" i="2"/>
  <c r="GR11" i="2"/>
  <c r="GS11" i="2"/>
  <c r="GT11" i="2"/>
  <c r="X553" i="8" l="1"/>
  <c r="AB553" i="8" s="1"/>
  <c r="AD553" i="8" s="1"/>
  <c r="AF553" i="8" s="1"/>
  <c r="X554" i="8"/>
  <c r="AB554" i="8" s="1"/>
  <c r="AD554" i="8" s="1"/>
  <c r="AF554" i="8" s="1"/>
  <c r="X555" i="8"/>
  <c r="X556" i="8"/>
  <c r="X557" i="8"/>
  <c r="X558" i="8"/>
  <c r="X559" i="8"/>
  <c r="W553" i="8"/>
  <c r="W554" i="8"/>
  <c r="W555" i="8"/>
  <c r="W556" i="8"/>
  <c r="W557" i="8"/>
  <c r="W558" i="8"/>
  <c r="W559" i="8"/>
  <c r="R552" i="8"/>
  <c r="AC553" i="8"/>
  <c r="AE553" i="8"/>
  <c r="R553" i="8" s="1"/>
  <c r="AC554" i="8"/>
  <c r="AE554" i="8" s="1"/>
  <c r="R554" i="8" s="1"/>
  <c r="AC555" i="8"/>
  <c r="AE555" i="8"/>
  <c r="R555" i="8" s="1"/>
  <c r="AC556" i="8"/>
  <c r="AE556" i="8" s="1"/>
  <c r="R556" i="8" s="1"/>
  <c r="AD556" i="8"/>
  <c r="AF556" i="8" s="1"/>
  <c r="AC557" i="8"/>
  <c r="AE557" i="8"/>
  <c r="R557" i="8" s="1"/>
  <c r="AC558" i="8"/>
  <c r="AE558" i="8" s="1"/>
  <c r="R558" i="8" s="1"/>
  <c r="AC559" i="8"/>
  <c r="AE559" i="8"/>
  <c r="AB555" i="8"/>
  <c r="AD555" i="8" s="1"/>
  <c r="AF555" i="8" s="1"/>
  <c r="AB556" i="8"/>
  <c r="AB557" i="8"/>
  <c r="AD557" i="8" s="1"/>
  <c r="AF557" i="8" s="1"/>
  <c r="AB558" i="8"/>
  <c r="AD558" i="8" s="1"/>
  <c r="AF558" i="8" s="1"/>
  <c r="AB559" i="8"/>
  <c r="AD559" i="8" s="1"/>
  <c r="AF559" i="8" s="1"/>
  <c r="O552" i="8"/>
  <c r="O553" i="8"/>
  <c r="O554" i="8"/>
  <c r="O555" i="8"/>
  <c r="O556" i="8"/>
  <c r="O557" i="8"/>
  <c r="O558" i="8"/>
  <c r="O559" i="8"/>
  <c r="AG553" i="8"/>
  <c r="AG554" i="8"/>
  <c r="AG555" i="8"/>
  <c r="AG556" i="8"/>
  <c r="AG557" i="8"/>
  <c r="AG558" i="8"/>
  <c r="AG559" i="8"/>
  <c r="AG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N546" i="8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<sst xmlns="http://schemas.openxmlformats.org/spreadsheetml/2006/main" count="14340" uniqueCount="2588">
  <si>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</si>
  <si>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</si>
  <si>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</si>
  <si>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</si>
  <si>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</si>
  <si>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</si>
  <si>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</si>
  <si>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</si>
  <si>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</si>
  <si>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</si>
  <si>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</si>
  <si>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</si>
  <si>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</si>
  <si>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</si>
  <si>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</si>
  <si>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</si>
  <si>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</si>
  <si>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</si>
  <si>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</si>
  <si>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</si>
  <si>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</si>
  <si>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</si>
  <si>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</si>
  <si>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</si>
  <si>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</si>
  <si>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</si>
  <si>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</si>
  <si>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</si>
  <si>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</si>
  <si>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</si>
  <si>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</si>
  <si>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</si>
  <si>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</si>
  <si>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</si>
  <si>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</si>
  <si>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</si>
  <si>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</si>
  <si>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</si>
  <si>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</si>
  <si>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</si>
  <si>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</si>
  <si>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</si>
  <si>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</si>
  <si>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</si>
  <si>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</si>
  <si>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</si>
  <si>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</si>
  <si>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</si>
  <si>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</si>
  <si>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</si>
  <si>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</si>
  <si>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</si>
  <si>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</si>
  <si>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</si>
  <si>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</si>
  <si>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</si>
  <si>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</si>
  <si>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</si>
  <si>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</si>
  <si>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</si>
  <si>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</si>
  <si>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</si>
  <si>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</si>
  <si>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</si>
  <si>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</si>
  <si>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</si>
  <si>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</si>
  <si>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</si>
  <si>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</si>
  <si>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</si>
  <si>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</si>
  <si>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</si>
  <si>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</si>
  <si>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</si>
  <si>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</si>
  <si>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</si>
  <si>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</si>
  <si>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</si>
  <si>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</si>
  <si>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</si>
  <si>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</si>
  <si>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</si>
  <si>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</si>
  <si>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</si>
  <si>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</si>
  <si>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</si>
  <si>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</si>
  <si>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</si>
  <si>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</si>
  <si>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</si>
  <si>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</si>
  <si>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</si>
  <si>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</si>
  <si>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</si>
  <si>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</si>
  <si>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</si>
  <si>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</si>
  <si>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</si>
  <si>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</si>
  <si>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</si>
  <si>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</si>
  <si>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</si>
  <si>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</si>
  <si>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</si>
  <si>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</si>
  <si>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</si>
  <si>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</si>
  <si>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</si>
  <si>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</si>
  <si>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</si>
  <si>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</si>
  <si>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</si>
  <si>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</si>
  <si>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</si>
  <si>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</si>
  <si>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</si>
  <si>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</si>
  <si>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</si>
  <si>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</si>
  <si>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</si>
  <si>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</si>
  <si>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</si>
  <si>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</si>
  <si>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</si>
  <si>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</si>
  <si>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</si>
  <si>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</si>
  <si>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</si>
  <si>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</si>
  <si>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</si>
  <si>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</si>
  <si>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</si>
  <si>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</si>
  <si>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</si>
  <si>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</si>
  <si>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</si>
  <si>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</si>
  <si>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</si>
  <si>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</si>
  <si>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</si>
  <si>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</si>
  <si>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</si>
  <si>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</si>
  <si>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</si>
  <si>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</si>
  <si>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</si>
  <si>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</si>
  <si>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</si>
  <si>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</si>
  <si>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</si>
  <si>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</si>
  <si>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</si>
  <si>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</si>
  <si>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</si>
  <si>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</si>
  <si>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</si>
  <si>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</si>
  <si>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</si>
  <si>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</si>
  <si>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</si>
  <si>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</si>
  <si>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</si>
  <si>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</si>
  <si>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</si>
  <si>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</si>
  <si>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</si>
  <si>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</si>
  <si>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</si>
  <si>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</si>
  <si>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</si>
  <si>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</si>
  <si>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</si>
  <si>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</si>
  <si>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</si>
  <si>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</si>
  <si>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</si>
  <si>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</si>
  <si>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</si>
  <si>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</si>
  <si>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</si>
  <si>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</si>
  <si>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</si>
  <si>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</si>
  <si>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</si>
  <si>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</si>
  <si>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</si>
  <si>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</si>
  <si>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</si>
  <si>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</si>
  <si>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</si>
  <si>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</si>
  <si>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</si>
  <si>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</si>
  <si>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</si>
  <si>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</si>
  <si>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</si>
  <si>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</si>
  <si>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</si>
  <si>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</si>
  <si>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</si>
  <si>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</si>
  <si>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</si>
  <si>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</si>
  <si>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</si>
  <si>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</si>
  <si>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</si>
  <si>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</si>
  <si>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</si>
  <si>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</si>
  <si>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</si>
  <si>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</si>
  <si>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</si>
  <si>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</si>
  <si>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</si>
  <si>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</si>
  <si>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</si>
  <si>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</si>
  <si>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</si>
  <si>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</si>
  <si>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</si>
  <si>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</si>
  <si>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</si>
  <si>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</si>
  <si>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</si>
  <si>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</si>
  <si>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</si>
  <si>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</si>
  <si>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</si>
  <si>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</si>
  <si>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</si>
  <si>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</si>
  <si>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</si>
  <si>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</si>
  <si>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</si>
  <si>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</si>
  <si>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</si>
  <si>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</si>
  <si>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</si>
  <si>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</si>
  <si>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</si>
  <si>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</si>
  <si>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</si>
  <si>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</si>
  <si>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</si>
  <si>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</si>
  <si>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</si>
  <si>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</si>
  <si>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</si>
  <si>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</si>
  <si>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</si>
  <si>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</si>
  <si>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</si>
  <si>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</si>
  <si>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</si>
  <si>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</si>
  <si>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</si>
  <si>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</si>
  <si>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</si>
  <si>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</si>
  <si>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</si>
  <si>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</si>
  <si>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</si>
  <si>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</si>
  <si>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</si>
  <si>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</si>
  <si>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</si>
  <si>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</si>
  <si>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</si>
  <si>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</si>
  <si>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</si>
  <si>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</si>
  <si>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</si>
  <si>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</si>
  <si>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</si>
  <si>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</si>
  <si>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</si>
  <si>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</si>
  <si>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</si>
  <si>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</si>
  <si>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</si>
  <si>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</si>
  <si>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</si>
  <si>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</si>
  <si>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</si>
  <si>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</si>
  <si>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</si>
  <si>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</si>
  <si>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</si>
  <si>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</si>
  <si>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</si>
  <si>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</si>
  <si>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</si>
  <si>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</si>
  <si>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</si>
  <si>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</si>
  <si>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</si>
  <si>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</si>
  <si>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</si>
  <si>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</si>
  <si>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</si>
  <si>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</si>
  <si>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</si>
  <si>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</si>
  <si>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</si>
  <si>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</si>
  <si>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</si>
  <si>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</si>
  <si>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</si>
  <si>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</si>
  <si>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</si>
  <si>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</si>
  <si>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</si>
  <si>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</si>
  <si>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</si>
  <si>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</si>
  <si>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</si>
  <si>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</si>
  <si>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</si>
  <si>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</si>
  <si>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</si>
  <si>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</si>
  <si>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</si>
  <si>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</si>
  <si>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</si>
  <si>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</si>
  <si>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</si>
  <si>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</si>
  <si>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</si>
  <si>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</si>
  <si>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</si>
  <si>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</si>
  <si>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</si>
  <si>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</si>
  <si>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</si>
  <si>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</si>
  <si>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</si>
  <si>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</si>
  <si>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</si>
  <si>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</si>
  <si>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</si>
  <si>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</si>
  <si>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</si>
  <si>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</si>
  <si>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</si>
  <si>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</si>
  <si>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</si>
  <si>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</si>
  <si>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</si>
  <si>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</si>
  <si>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</si>
  <si>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</si>
  <si>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</si>
  <si>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</si>
  <si>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</si>
  <si>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</si>
  <si>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</si>
  <si>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</si>
  <si>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</si>
  <si>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</si>
  <si>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</si>
  <si>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</si>
  <si>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</si>
  <si>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</si>
  <si>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</si>
  <si>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</si>
  <si>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</si>
  <si>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</si>
  <si>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</si>
  <si>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</si>
  <si>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</si>
  <si>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</si>
  <si>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</si>
  <si>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</si>
  <si>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</si>
  <si>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</si>
  <si>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</si>
  <si>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</si>
  <si>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</si>
  <si>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</si>
  <si>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</si>
  <si>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</si>
  <si>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</si>
  <si>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</si>
  <si>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</si>
  <si>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</si>
  <si>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</si>
  <si>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</si>
  <si>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</si>
  <si>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</si>
  <si>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</si>
  <si>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</si>
  <si>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</si>
  <si>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</si>
  <si>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</si>
  <si>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</si>
  <si>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</si>
  <si>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</si>
  <si>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</si>
  <si>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</si>
  <si>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</si>
  <si>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</si>
  <si>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</si>
  <si>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</si>
  <si>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</si>
  <si>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</si>
  <si>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</si>
  <si>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</si>
  <si>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</si>
  <si>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</si>
  <si>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</si>
  <si>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</si>
  <si>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</si>
  <si>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</si>
  <si>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</si>
  <si>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</si>
  <si>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</si>
  <si>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</si>
  <si>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</si>
  <si>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</si>
  <si>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</si>
  <si>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</si>
  <si>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</si>
  <si>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</si>
  <si>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</si>
  <si>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</si>
  <si>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</si>
  <si>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</si>
  <si>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</si>
  <si>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</si>
  <si>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</si>
  <si>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</si>
  <si>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</si>
  <si>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</si>
  <si>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</si>
  <si>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</si>
  <si>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</si>
  <si>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</si>
  <si>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</si>
  <si>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</si>
  <si>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</si>
  <si>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</si>
  <si>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</si>
  <si>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</si>
  <si>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</si>
  <si>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</si>
  <si>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</si>
  <si>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</si>
  <si>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</si>
  <si>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</si>
  <si>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</si>
  <si>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</si>
  <si>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</si>
  <si>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</si>
  <si>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</si>
  <si>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</si>
  <si>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</si>
  <si>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</si>
  <si>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</si>
  <si>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</si>
  <si>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</si>
  <si>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</si>
  <si>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</si>
  <si>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</si>
  <si>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</si>
  <si>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</si>
  <si>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</si>
  <si>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</si>
  <si>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</si>
  <si>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</si>
  <si>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</si>
  <si>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</si>
  <si>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</si>
  <si>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</si>
  <si>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</si>
  <si>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</si>
  <si>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</si>
  <si>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</si>
  <si>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</si>
  <si>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</si>
  <si>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</si>
  <si>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</si>
  <si>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</si>
  <si>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</si>
  <si>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</si>
  <si>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</si>
  <si>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</si>
  <si>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</si>
  <si>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</si>
  <si>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</si>
  <si>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</si>
  <si>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</si>
  <si>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</si>
  <si>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</si>
  <si>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</si>
  <si>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</si>
  <si>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</si>
  <si>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</si>
  <si>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</si>
  <si>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</si>
  <si>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</si>
  <si>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</si>
  <si>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</si>
  <si>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</si>
  <si>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</si>
  <si>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</si>
  <si>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</si>
  <si>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</si>
  <si>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</si>
  <si>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</si>
  <si>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</si>
  <si>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</si>
  <si>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</si>
  <si>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</si>
  <si>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</si>
  <si>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</si>
  <si>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</si>
  <si>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</si>
  <si>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</si>
  <si>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</si>
  <si>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</si>
  <si>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</si>
  <si>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</si>
  <si>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</si>
  <si>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</si>
  <si>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</si>
  <si>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</si>
  <si>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</si>
  <si>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</si>
  <si>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</si>
  <si>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</si>
  <si>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</si>
  <si>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</si>
  <si>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</si>
  <si>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</si>
  <si>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</si>
  <si>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</si>
  <si>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</si>
  <si>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</si>
  <si>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</si>
  <si>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</si>
  <si>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</si>
  <si>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</si>
  <si>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</si>
  <si>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</si>
  <si>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</si>
  <si>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</si>
  <si>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</si>
  <si>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</si>
  <si>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</si>
  <si>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</si>
  <si>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</si>
  <si>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</si>
  <si>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</si>
  <si>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</si>
  <si>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</si>
  <si>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</si>
  <si>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</si>
  <si>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</si>
  <si>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</si>
  <si>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</si>
  <si>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</si>
  <si>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</si>
  <si>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</si>
  <si>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</si>
  <si>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</si>
  <si>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</si>
  <si>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</si>
  <si>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</si>
  <si>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</si>
  <si>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</si>
  <si>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</si>
  <si>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</si>
  <si>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</si>
  <si>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</si>
  <si>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</si>
  <si>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</si>
  <si>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</si>
  <si>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</si>
  <si>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</si>
  <si>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</si>
  <si>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</si>
  <si>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</si>
  <si>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</si>
  <si>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</si>
  <si>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</si>
  <si>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</si>
  <si>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</si>
  <si>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</si>
  <si>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</si>
  <si>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</si>
  <si>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</si>
  <si>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</si>
  <si>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</si>
  <si>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</si>
  <si>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</si>
  <si>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</si>
  <si>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</si>
  <si>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</si>
  <si>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</si>
  <si>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</si>
  <si>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</si>
  <si>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</si>
  <si>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</si>
  <si>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</si>
  <si>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</si>
  <si>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</si>
  <si>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</si>
  <si>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</si>
  <si>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</si>
  <si>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</si>
  <si>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</si>
  <si>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</si>
  <si>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</si>
  <si>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</si>
  <si>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</si>
  <si>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</si>
  <si>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</si>
  <si>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</si>
  <si>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</si>
  <si>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</si>
  <si>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</si>
  <si>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</si>
  <si>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</si>
  <si>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</si>
  <si>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</si>
  <si>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</si>
  <si>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</si>
  <si>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</si>
  <si>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</si>
  <si>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</si>
  <si>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</si>
  <si>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</si>
  <si>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</si>
  <si>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</si>
  <si>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</si>
  <si>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</si>
  <si>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</si>
  <si>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</si>
  <si>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</si>
  <si>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</si>
  <si>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</si>
  <si>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</si>
  <si>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</si>
  <si>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</si>
  <si>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</si>
  <si>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</si>
  <si>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</si>
  <si>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</si>
  <si>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</si>
  <si>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</si>
  <si>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</si>
  <si>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</si>
  <si>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</si>
  <si>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</si>
  <si>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</si>
  <si>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</si>
  <si>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</si>
  <si>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</si>
  <si>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</si>
  <si>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</si>
  <si>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</si>
  <si>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</si>
  <si>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</si>
  <si>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</si>
  <si>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</si>
  <si>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</si>
  <si>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</si>
  <si>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</si>
  <si>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</si>
  <si>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</si>
  <si>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</si>
  <si>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</si>
  <si>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</si>
  <si>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</si>
  <si>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</si>
  <si>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</si>
  <si>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</si>
  <si>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</si>
  <si>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</si>
  <si>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</si>
  <si>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</si>
  <si>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</si>
  <si>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</si>
  <si>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</si>
  <si>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</si>
  <si>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</si>
  <si>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</si>
  <si>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</si>
  <si>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</si>
  <si>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</si>
  <si>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</si>
  <si>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</si>
  <si>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</si>
  <si>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</si>
  <si>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</si>
  <si>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</si>
  <si>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</si>
  <si>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</si>
  <si>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</si>
  <si>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</si>
  <si>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</si>
  <si>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</si>
  <si>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</si>
  <si>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</si>
  <si>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</si>
  <si>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</si>
  <si>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</si>
  <si>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</si>
  <si>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</si>
  <si>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</si>
  <si>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</si>
  <si>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</si>
  <si>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</si>
  <si>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</si>
  <si>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</si>
  <si>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</si>
  <si>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</si>
  <si>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</si>
  <si>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</si>
  <si>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</si>
  <si>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</si>
  <si>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</si>
  <si>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</si>
  <si>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</si>
  <si>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</si>
  <si>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</si>
  <si>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</si>
  <si>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</si>
  <si>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</si>
  <si>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</si>
  <si>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</si>
  <si>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</si>
  <si>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</si>
  <si>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</si>
  <si>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</si>
  <si>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</si>
  <si>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</si>
  <si>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</si>
  <si>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</si>
  <si>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</si>
  <si>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</si>
  <si>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</si>
  <si>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</si>
  <si>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</si>
  <si>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</si>
  <si>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</si>
  <si>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</si>
  <si>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</si>
  <si>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</si>
  <si>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</si>
  <si>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</si>
  <si>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</si>
  <si>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</si>
  <si>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</si>
  <si>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</si>
  <si>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</si>
  <si>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</si>
  <si>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</si>
  <si>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</si>
  <si>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</si>
  <si>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</si>
  <si>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</si>
  <si>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</si>
  <si>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</si>
  <si>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</si>
  <si>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</si>
  <si>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</si>
  <si>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</si>
  <si>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</si>
  <si>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</si>
  <si>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</si>
  <si>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</si>
  <si>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</si>
  <si>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</si>
  <si>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</si>
  <si>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</si>
  <si>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</si>
  <si>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</si>
  <si>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</si>
  <si>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</si>
  <si>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</si>
  <si>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</si>
  <si>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</si>
  <si>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</si>
  <si>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</si>
  <si>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</si>
  <si>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</si>
  <si>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</si>
  <si>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</si>
  <si>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</si>
  <si>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</si>
  <si>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</si>
  <si>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</si>
  <si>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</si>
  <si>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</si>
  <si>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</si>
  <si>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</si>
  <si>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</si>
  <si>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</si>
  <si>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</si>
  <si>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</si>
  <si>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</si>
  <si>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</si>
  <si>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</si>
  <si>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</si>
  <si>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</si>
  <si>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</si>
  <si>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</si>
  <si>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</si>
  <si>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</si>
  <si>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</si>
  <si>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</si>
  <si>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</si>
  <si>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</si>
  <si>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</si>
  <si>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</si>
  <si>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</si>
  <si>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</si>
  <si>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</si>
  <si>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</si>
  <si>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</si>
  <si>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</si>
  <si>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</si>
  <si>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</si>
  <si>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</si>
  <si>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</si>
  <si>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</si>
  <si>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</si>
  <si>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</si>
  <si>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</si>
  <si>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</si>
  <si>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</si>
  <si>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</si>
  <si>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</si>
  <si>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</si>
  <si>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</si>
  <si>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</si>
  <si>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</si>
  <si>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</si>
  <si>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</si>
  <si>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</si>
  <si>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</si>
  <si>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</si>
  <si>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</si>
  <si>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</si>
  <si>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</si>
  <si>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</si>
  <si>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</si>
  <si>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</si>
  <si>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</si>
  <si>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</si>
  <si>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</si>
  <si>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</si>
  <si>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</si>
  <si>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</si>
  <si>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</si>
  <si>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</si>
  <si>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</si>
  <si>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</si>
  <si>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</si>
  <si>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</si>
  <si>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</si>
  <si>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</si>
  <si>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</si>
  <si>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</si>
  <si>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</si>
  <si>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</si>
  <si>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</si>
  <si>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</si>
  <si>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</si>
  <si>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</si>
  <si>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</si>
  <si>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</si>
  <si>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</si>
  <si>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</si>
  <si>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</si>
  <si>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</si>
  <si>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</si>
  <si>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</si>
  <si>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</si>
  <si>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</si>
  <si>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</si>
  <si>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</si>
  <si>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</si>
  <si>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</si>
  <si>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</si>
  <si>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</si>
  <si>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</si>
  <si>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</si>
  <si>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</si>
  <si>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</si>
  <si>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</si>
  <si>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</si>
  <si>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</si>
  <si>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</si>
  <si>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</si>
  <si>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</si>
  <si>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</si>
  <si>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</si>
  <si>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</si>
  <si>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</si>
  <si>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</si>
  <si>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</si>
  <si>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</si>
  <si>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</si>
  <si>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</si>
  <si>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</si>
  <si>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</si>
  <si>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</si>
  <si>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</si>
  <si>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</si>
  <si>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</si>
  <si>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</si>
  <si>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</si>
  <si>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</si>
  <si>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</si>
  <si>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</si>
  <si>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</si>
  <si>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</si>
  <si>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</si>
  <si>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</si>
  <si>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</si>
  <si>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</si>
  <si>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</si>
  <si>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</si>
  <si>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</si>
  <si>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</si>
  <si>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</si>
  <si>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</si>
  <si>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</si>
  <si>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</si>
  <si>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</si>
  <si>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</si>
  <si>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</si>
  <si>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</si>
  <si>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</si>
  <si>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</si>
  <si>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</si>
  <si>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</si>
  <si>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</si>
  <si>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</si>
  <si>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</si>
  <si>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</si>
  <si>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</si>
  <si>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</si>
  <si>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</si>
  <si>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</si>
  <si>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</si>
  <si>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</si>
  <si>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</si>
  <si>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</si>
  <si>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</si>
  <si>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</si>
  <si>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</si>
  <si>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</si>
  <si>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</si>
  <si>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</si>
  <si>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</si>
  <si>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</si>
  <si>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</si>
  <si>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</si>
  <si>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</si>
  <si>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</si>
  <si>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</si>
  <si>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</si>
  <si>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</si>
  <si>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</si>
  <si>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</si>
  <si>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</si>
  <si>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</si>
  <si>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</si>
  <si>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</si>
  <si>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</si>
  <si>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</si>
  <si>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</si>
  <si>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</si>
  <si>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</si>
  <si>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</si>
  <si>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</si>
  <si>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</si>
  <si>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</si>
  <si>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</si>
  <si>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</si>
  <si>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</si>
  <si>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</si>
  <si>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</si>
  <si>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</si>
  <si>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</si>
  <si>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</si>
  <si>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</si>
  <si>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</si>
  <si>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</si>
  <si>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</si>
  <si>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</si>
  <si>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</si>
  <si>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</si>
  <si>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</si>
  <si>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</si>
  <si>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</si>
  <si>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</si>
  <si>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</si>
  <si>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</si>
  <si>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</si>
  <si>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</si>
  <si>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</si>
  <si>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</si>
  <si>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</si>
  <si>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</si>
  <si>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</si>
  <si>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</si>
  <si>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</si>
  <si>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</si>
  <si>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</si>
  <si>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</si>
  <si>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</si>
  <si>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</si>
  <si>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</si>
  <si>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</si>
  <si>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</si>
  <si>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</si>
  <si>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</si>
  <si>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</si>
  <si>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</si>
  <si>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</si>
  <si>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</si>
  <si>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</si>
  <si>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</si>
  <si>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</si>
  <si>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</si>
  <si>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</si>
  <si>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</si>
  <si>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</si>
  <si>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</si>
  <si>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</si>
  <si>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</si>
  <si>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</si>
  <si>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</si>
  <si>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</si>
  <si>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</si>
  <si>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</si>
  <si>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</si>
  <si>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</si>
  <si>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</si>
  <si>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</si>
  <si>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</si>
  <si>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</si>
  <si>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</si>
  <si>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</si>
  <si>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</si>
  <si>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</si>
  <si>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</si>
  <si>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</si>
  <si>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</si>
  <si>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</si>
  <si>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</si>
  <si>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</si>
  <si>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</si>
  <si>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</si>
  <si>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</si>
  <si>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</si>
  <si>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</si>
  <si>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</si>
  <si>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</si>
  <si>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</si>
  <si>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</si>
  <si>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</si>
  <si>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</si>
  <si>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</si>
  <si>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</si>
  <si>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</si>
  <si>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</si>
  <si>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</si>
  <si>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</si>
  <si>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</si>
  <si>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</si>
  <si>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</si>
  <si>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</si>
  <si>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</si>
  <si>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</si>
  <si>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</si>
  <si>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</si>
  <si>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</si>
  <si>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</si>
  <si>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</si>
  <si>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</si>
  <si>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</si>
  <si>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</si>
  <si>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</si>
  <si>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</si>
  <si>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</si>
  <si>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</si>
  <si>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</si>
  <si>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</si>
  <si>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</si>
  <si>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</si>
  <si>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</si>
  <si>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</si>
  <si>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</si>
  <si>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</si>
  <si>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</si>
  <si>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</si>
  <si>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</si>
  <si>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</si>
  <si>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</si>
  <si>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</si>
  <si>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</si>
  <si>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</si>
  <si>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</si>
  <si>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</si>
  <si>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</si>
  <si>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</si>
  <si>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</si>
  <si>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</si>
  <si>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</si>
  <si>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</si>
  <si>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</si>
  <si>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</si>
  <si>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</si>
  <si>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</si>
  <si>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</si>
  <si>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</si>
  <si>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</si>
  <si>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</si>
  <si>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</si>
  <si>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</si>
  <si>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</si>
  <si>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</si>
  <si>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</si>
  <si>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</si>
  <si>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</si>
  <si>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</si>
  <si>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</si>
  <si>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</si>
  <si>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</si>
  <si>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</si>
  <si>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</si>
  <si>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</si>
  <si>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</si>
  <si>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</si>
  <si>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</si>
  <si>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</si>
  <si>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</si>
  <si>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</si>
  <si>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</si>
  <si>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</si>
  <si>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</si>
  <si>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</si>
  <si>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</si>
  <si>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</si>
  <si>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</si>
  <si>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</si>
  <si>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</si>
  <si>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</si>
  <si>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</si>
  <si>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</si>
  <si>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</si>
  <si>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</si>
  <si>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</si>
  <si>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</si>
  <si>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</si>
  <si>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</si>
  <si>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</si>
  <si>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</si>
  <si>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</si>
  <si>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</si>
  <si>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</si>
  <si>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</si>
  <si>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</si>
  <si>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</si>
  <si>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</si>
  <si>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</si>
  <si>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</si>
  <si>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</si>
  <si>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</si>
  <si>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</si>
  <si>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</si>
  <si>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</si>
  <si>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</si>
  <si>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</si>
  <si>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</si>
  <si>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</si>
  <si>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</si>
  <si>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</si>
  <si>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</si>
  <si>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</si>
  <si>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</si>
  <si>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</si>
  <si>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</si>
  <si>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</si>
  <si>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</si>
  <si>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</si>
  <si>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</si>
  <si>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</si>
  <si>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</si>
  <si>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</si>
  <si>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</si>
  <si>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</si>
  <si>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</si>
  <si>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</si>
  <si>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</si>
  <si>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</si>
  <si>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</si>
  <si>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</si>
  <si>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</si>
  <si>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</si>
  <si>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</si>
  <si>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</si>
  <si>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</si>
  <si>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</si>
  <si>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</si>
  <si>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</si>
  <si>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</si>
  <si>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</si>
  <si>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</si>
  <si>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</si>
  <si>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</si>
  <si>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</si>
  <si>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</si>
  <si>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</si>
  <si>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</si>
  <si>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</si>
  <si>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</si>
  <si>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</si>
  <si>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</si>
  <si>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</si>
  <si>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</si>
  <si>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</si>
  <si>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</si>
  <si>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</si>
  <si>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</si>
  <si>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</si>
  <si>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</si>
  <si>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</si>
  <si>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</si>
  <si>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</si>
  <si>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</si>
  <si>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</si>
  <si>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</si>
  <si>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</si>
  <si>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</si>
  <si>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</si>
  <si>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</si>
  <si>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</si>
  <si>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</si>
  <si>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</si>
  <si>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</si>
  <si>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</si>
  <si>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</si>
  <si>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</si>
  <si>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</si>
  <si>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</si>
  <si>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</si>
  <si>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</si>
  <si>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</si>
  <si>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</si>
  <si>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</si>
  <si>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</si>
  <si>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</si>
  <si>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</si>
  <si>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</si>
  <si>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</si>
  <si>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</si>
  <si>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</si>
  <si>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</si>
  <si>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</si>
  <si>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</si>
  <si>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</si>
  <si>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</si>
  <si>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</si>
  <si>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</si>
  <si>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</si>
  <si>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</si>
  <si>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</si>
  <si>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</si>
  <si>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</si>
  <si>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</si>
  <si>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</si>
  <si>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</si>
  <si>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</si>
  <si>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</si>
  <si>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</si>
  <si>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</si>
  <si>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</si>
  <si>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</si>
  <si>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</si>
  <si>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</si>
  <si>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</si>
  <si>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</si>
  <si>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</si>
  <si>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</si>
  <si>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</si>
  <si>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</si>
  <si>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</si>
  <si>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</si>
  <si>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</si>
  <si>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</si>
  <si>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</si>
  <si>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</si>
  <si>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</si>
  <si>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</si>
  <si>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</si>
  <si>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</si>
  <si>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</si>
  <si>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</si>
  <si>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</si>
  <si>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</si>
  <si>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</si>
  <si>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</si>
  <si>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</si>
  <si>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</si>
  <si>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</si>
  <si>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</si>
  <si>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</si>
  <si>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</si>
  <si>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</si>
  <si>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</si>
  <si>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</si>
  <si>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</si>
  <si>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</si>
  <si>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</si>
  <si>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</si>
  <si>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</si>
  <si>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</si>
  <si>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</si>
  <si>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</si>
  <si>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</si>
  <si>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</si>
  <si>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</si>
  <si>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</si>
  <si>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</si>
  <si>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</si>
  <si>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</si>
  <si>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</si>
  <si>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</si>
  <si>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</si>
  <si>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</si>
  <si>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</si>
  <si>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</si>
  <si>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</si>
  <si>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</si>
  <si>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</si>
  <si>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</si>
  <si>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</si>
  <si>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</si>
  <si>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</si>
  <si>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</si>
  <si>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</si>
  <si>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</si>
  <si>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</si>
  <si>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</si>
  <si>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</si>
  <si>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</si>
  <si>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</si>
  <si>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</si>
  <si>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</si>
  <si>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</si>
  <si>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</si>
  <si>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</si>
  <si>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</si>
  <si>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</si>
  <si>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</si>
  <si>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</si>
  <si>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</si>
  <si>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</si>
  <si>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</si>
  <si>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</si>
  <si>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</si>
  <si>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</si>
  <si>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</si>
  <si>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</si>
  <si>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</si>
  <si>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</si>
  <si>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</si>
  <si>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</si>
  <si>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</si>
  <si>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</si>
  <si>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</si>
  <si>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</si>
  <si>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</si>
  <si>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</si>
  <si>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</si>
  <si>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</si>
  <si>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</si>
  <si>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</si>
  <si>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</si>
  <si>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</si>
  <si>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</si>
  <si>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</si>
  <si>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</si>
  <si>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</si>
  <si>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</si>
  <si>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</si>
  <si>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</si>
  <si>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</si>
  <si>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</si>
  <si>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</si>
  <si>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</si>
  <si>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</si>
  <si>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</si>
  <si>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</si>
  <si>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</si>
  <si>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</si>
  <si>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</si>
  <si>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</si>
  <si>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</si>
  <si>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</si>
  <si>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</si>
  <si>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</si>
  <si>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</si>
  <si>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</si>
  <si>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</si>
  <si>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</si>
  <si>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</si>
  <si>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</si>
  <si>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</si>
  <si>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</si>
  <si>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</si>
  <si>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</si>
  <si>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</si>
  <si>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</si>
  <si>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</si>
  <si>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</si>
  <si>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</si>
  <si>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</si>
  <si>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</si>
  <si>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</si>
  <si>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</si>
  <si>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</si>
  <si>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</si>
  <si>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</si>
  <si>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</si>
  <si>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</si>
  <si>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</si>
  <si>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</si>
  <si>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</si>
  <si>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</si>
  <si>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</si>
  <si>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</si>
  <si>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</si>
  <si>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</si>
  <si>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</si>
  <si>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</si>
  <si>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</si>
  <si>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</si>
  <si>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</si>
  <si>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</si>
  <si>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</si>
  <si>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</si>
  <si>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</si>
  <si>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</si>
  <si>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</si>
  <si>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</si>
  <si>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</si>
  <si>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</si>
  <si>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</si>
  <si>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</si>
  <si>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</si>
  <si>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</si>
  <si>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</si>
  <si>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</si>
  <si>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</si>
  <si>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</si>
  <si>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</si>
  <si>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</si>
  <si>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</si>
  <si>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</si>
  <si>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</si>
  <si>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</si>
  <si>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</si>
  <si>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</si>
  <si>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</si>
  <si>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</si>
  <si>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</si>
  <si>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</si>
  <si>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</si>
  <si>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</si>
  <si>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</si>
  <si>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</si>
  <si>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</si>
  <si>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</si>
  <si>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</si>
  <si>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</si>
  <si>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</si>
  <si>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</si>
  <si>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</si>
  <si>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</si>
  <si>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</si>
  <si>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</si>
  <si>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</si>
  <si>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</si>
  <si>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</si>
  <si>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</si>
  <si>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</si>
  <si>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</si>
  <si>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</si>
  <si>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</si>
  <si>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</si>
  <si>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</si>
  <si>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</si>
  <si>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</si>
  <si>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</si>
  <si>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</si>
  <si>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</si>
  <si>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</si>
  <si>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</si>
  <si>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</si>
  <si>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</si>
  <si>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</si>
  <si>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</si>
  <si>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</si>
  <si>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</si>
  <si>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</si>
  <si>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</si>
  <si>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</si>
  <si>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</si>
  <si>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</si>
  <si>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</si>
  <si>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</si>
  <si>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</si>
  <si>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</si>
  <si>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</si>
  <si>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</si>
  <si>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</si>
  <si>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</si>
  <si>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</si>
  <si>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</si>
  <si>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</si>
  <si>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</si>
  <si>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</si>
  <si>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</si>
  <si>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</si>
  <si>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</si>
  <si>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</si>
  <si>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</si>
  <si>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</si>
  <si>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</si>
  <si>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</si>
  <si>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</si>
  <si>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</si>
  <si>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</si>
  <si>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</si>
  <si>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</si>
  <si>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</si>
  <si>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</si>
  <si>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</si>
  <si>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</si>
  <si>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</si>
  <si>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</si>
  <si>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</si>
  <si>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</si>
  <si>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</si>
  <si>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</si>
  <si>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</si>
  <si>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</si>
  <si>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</si>
  <si>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</si>
  <si>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</si>
  <si>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</si>
  <si>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</si>
  <si>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</si>
  <si>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</si>
  <si>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</si>
  <si>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</si>
  <si>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</si>
  <si>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</si>
  <si>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</si>
  <si>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</si>
  <si>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</si>
  <si>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</si>
  <si>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</si>
  <si>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</si>
  <si>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</si>
  <si>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</si>
  <si>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</si>
  <si>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</si>
  <si>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</si>
  <si>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</si>
  <si>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</si>
  <si>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</si>
  <si>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</si>
  <si>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</si>
  <si>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</si>
  <si>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</si>
  <si>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</si>
  <si>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</si>
  <si>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</si>
  <si>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</si>
  <si>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</si>
  <si>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</si>
  <si>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</si>
  <si>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</si>
  <si>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</si>
  <si>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</si>
  <si>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</si>
  <si>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</si>
  <si>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</si>
  <si>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</si>
  <si>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</si>
  <si>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</si>
  <si>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</si>
  <si>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</si>
  <si>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</si>
  <si>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</si>
  <si>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</si>
  <si>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</si>
  <si>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</si>
  <si>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</si>
  <si>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</si>
  <si>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</si>
  <si>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</si>
  <si>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</si>
  <si>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</si>
  <si>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</si>
  <si>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</si>
  <si>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</si>
  <si>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</si>
  <si>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</si>
  <si>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</si>
  <si>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</si>
  <si>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</si>
  <si>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</si>
  <si>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</si>
  <si>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</si>
  <si>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</si>
  <si>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</si>
  <si>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</si>
  <si>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</si>
  <si>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</si>
  <si>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</si>
  <si>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</si>
  <si>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</si>
  <si>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</si>
  <si>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</si>
  <si>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</si>
  <si>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</si>
  <si>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</si>
  <si>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</si>
  <si>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</si>
  <si>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</si>
  <si>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</si>
  <si>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</si>
  <si>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</si>
  <si>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</si>
  <si>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</si>
  <si>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</si>
  <si>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</si>
  <si>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</si>
  <si>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</si>
  <si>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</si>
  <si>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</si>
  <si>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</si>
  <si>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</si>
  <si>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</si>
  <si>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</si>
  <si>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</si>
  <si>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</si>
  <si>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</si>
  <si>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</si>
  <si>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</si>
  <si>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</si>
  <si>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</si>
  <si>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</si>
  <si>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</si>
  <si>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</si>
  <si>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</si>
  <si>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</si>
  <si>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</si>
  <si>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</si>
  <si>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</si>
  <si>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</si>
  <si>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</si>
  <si>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</si>
  <si>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</si>
  <si>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</si>
  <si>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</si>
  <si>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</si>
  <si>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</si>
  <si>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</si>
  <si>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</si>
  <si>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</si>
  <si>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</si>
  <si>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</si>
  <si>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</si>
  <si>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</si>
  <si>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</si>
  <si>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</si>
  <si>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</si>
  <si>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</si>
  <si>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</si>
  <si>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</si>
  <si>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</si>
  <si>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</si>
  <si>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</si>
  <si>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</si>
  <si>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</si>
  <si>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</si>
  <si>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</si>
  <si>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</si>
  <si>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</si>
  <si>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</si>
  <si>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</si>
  <si>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</si>
  <si>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</si>
  <si>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</si>
  <si>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</si>
  <si>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</si>
  <si>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</si>
  <si>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</si>
  <si>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</si>
  <si>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</si>
  <si>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</si>
  <si>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</si>
  <si>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</si>
  <si>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</si>
  <si>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</si>
  <si>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</si>
  <si>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</si>
  <si>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</si>
  <si>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</si>
  <si>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</si>
  <si>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</si>
  <si>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</si>
  <si>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</si>
  <si>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</si>
  <si>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</si>
  <si>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</si>
  <si>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</si>
  <si>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</si>
  <si>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</si>
  <si>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</si>
  <si>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</si>
  <si>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</si>
  <si>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</si>
  <si>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</si>
  <si>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</si>
  <si>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</si>
  <si>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</si>
  <si>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</si>
  <si>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</si>
  <si>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</si>
  <si>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</si>
  <si>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</si>
  <si>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</si>
  <si>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</si>
  <si>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</si>
  <si>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</si>
  <si>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</si>
  <si>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</si>
  <si>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</si>
  <si>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</si>
  <si>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</si>
  <si>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</si>
  <si>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</si>
  <si>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</si>
  <si>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</si>
  <si>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</si>
  <si>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</si>
  <si>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</si>
  <si>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</si>
  <si>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</si>
  <si>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</si>
  <si>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</si>
  <si>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</si>
  <si>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</si>
  <si>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</si>
  <si>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</si>
  <si>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</si>
  <si>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</si>
  <si>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</si>
  <si>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</si>
  <si>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</si>
  <si>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</si>
  <si>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</si>
  <si>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</si>
  <si>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</si>
  <si>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</si>
  <si>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</si>
  <si>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</si>
  <si>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</si>
  <si>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</si>
  <si>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</si>
  <si>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</si>
  <si>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</si>
  <si>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</si>
  <si>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</si>
  <si>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</si>
  <si>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</si>
  <si>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</si>
  <si>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</si>
  <si>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</si>
  <si>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</si>
  <si>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</si>
  <si>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</si>
  <si>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</si>
  <si>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</si>
  <si>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</si>
  <si>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</si>
  <si>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</si>
  <si>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</si>
  <si>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</si>
  <si>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</si>
  <si>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</si>
  <si>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</si>
  <si>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</si>
  <si>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</si>
  <si>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</si>
  <si>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</si>
  <si>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</si>
  <si>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</si>
  <si>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</si>
  <si>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</si>
  <si>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</si>
  <si>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</si>
  <si>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</si>
  <si>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</si>
  <si>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</si>
  <si>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</si>
  <si>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</si>
  <si>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</si>
  <si>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</si>
  <si>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</si>
  <si>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</si>
  <si>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</si>
  <si>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</si>
  <si>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</si>
  <si>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</si>
  <si>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</si>
  <si>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</si>
  <si>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</si>
  <si>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</si>
  <si>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</si>
  <si>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</si>
  <si>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</si>
  <si>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</si>
  <si>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</si>
  <si>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</si>
  <si>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</si>
  <si>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</si>
  <si>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</si>
  <si>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</si>
  <si>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</si>
  <si>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</si>
  <si>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</si>
  <si>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</si>
  <si>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</si>
  <si>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</si>
  <si>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</si>
  <si>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</si>
  <si>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</si>
  <si>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</si>
  <si>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</si>
  <si>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</si>
  <si>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</si>
  <si>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</si>
  <si>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</si>
  <si>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</si>
  <si>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</si>
  <si>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</si>
  <si>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</si>
  <si>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</si>
  <si>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</si>
  <si>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</si>
  <si>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</si>
  <si>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</si>
  <si>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</si>
  <si>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</si>
  <si>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</si>
  <si>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</si>
  <si>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</si>
  <si>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</si>
  <si>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</si>
  <si>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</si>
  <si>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</si>
  <si>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</si>
  <si>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</si>
  <si>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</si>
  <si>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</si>
  <si>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</si>
  <si>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</si>
  <si>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</si>
  <si>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</si>
  <si>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</si>
  <si>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</si>
  <si>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</si>
  <si>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</si>
  <si>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</si>
  <si>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</si>
  <si>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</si>
  <si>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</si>
  <si>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</si>
  <si>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</si>
  <si>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</si>
  <si>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</si>
  <si>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</si>
  <si>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</si>
  <si>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</si>
  <si>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</si>
  <si>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</si>
  <si>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</si>
  <si>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</si>
  <si>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</si>
  <si>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</si>
  <si>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</si>
  <si>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</si>
  <si>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</si>
  <si>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</si>
  <si>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</si>
  <si>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</si>
  <si>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</si>
  <si>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</si>
  <si>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</si>
  <si>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</si>
  <si>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</si>
  <si>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</si>
  <si>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</si>
  <si>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</si>
  <si>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</si>
  <si>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</si>
  <si>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</si>
  <si>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</si>
  <si>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</si>
  <si>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</si>
  <si>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</si>
  <si>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</si>
  <si>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</si>
  <si>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</si>
  <si>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</si>
  <si>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</si>
  <si>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</si>
  <si>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</si>
  <si>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</si>
  <si>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</si>
  <si>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</si>
  <si>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</si>
  <si>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</si>
  <si>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</si>
  <si>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</si>
  <si>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</si>
  <si>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</si>
  <si>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</si>
  <si>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</si>
  <si>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</si>
  <si>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</si>
  <si>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</si>
  <si>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</si>
  <si>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</si>
  <si>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</si>
  <si>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</si>
  <si>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</si>
  <si>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</si>
  <si>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</si>
  <si>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</si>
  <si>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</si>
  <si>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</si>
  <si>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</si>
  <si>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</si>
  <si>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</si>
  <si>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</si>
  <si>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</si>
  <si>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</si>
  <si>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</si>
  <si>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</si>
  <si>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</si>
  <si>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</si>
  <si>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</si>
  <si>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</si>
  <si>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</si>
  <si>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</si>
  <si>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</si>
  <si>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</si>
  <si>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</si>
  <si>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</si>
  <si>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</si>
  <si>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</si>
  <si>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</si>
  <si>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</si>
  <si>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</si>
  <si>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</si>
  <si>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</si>
  <si>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</si>
  <si>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</si>
  <si>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</si>
  <si>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</si>
  <si>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</si>
  <si>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</si>
  <si>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</si>
  <si>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</si>
  <si>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</si>
  <si>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</si>
  <si>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</si>
  <si>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</si>
  <si>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</si>
  <si>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</si>
  <si>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</si>
  <si>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</si>
  <si>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</si>
  <si>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</si>
  <si>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</si>
  <si>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</si>
  <si>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</si>
  <si>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</si>
  <si>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</si>
  <si>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</si>
  <si>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</si>
  <si>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</si>
  <si>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</si>
  <si>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</si>
  <si>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</si>
  <si>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</si>
  <si>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</si>
  <si>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</si>
  <si>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</si>
  <si>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</si>
  <si>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</si>
  <si>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</si>
  <si>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</si>
  <si>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</si>
  <si>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</si>
  <si>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</si>
  <si>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</si>
  <si>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</si>
  <si>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</si>
  <si>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</si>
  <si>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</si>
  <si>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</si>
  <si>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</si>
  <si>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</si>
  <si>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</si>
  <si>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</si>
  <si>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</si>
  <si>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</si>
  <si>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</si>
  <si>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</si>
  <si>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</si>
  <si>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</si>
  <si>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</si>
  <si>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</si>
  <si>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</si>
  <si>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</si>
  <si>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</si>
  <si>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</si>
  <si>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</si>
  <si>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</si>
  <si>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</si>
  <si>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</si>
  <si>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</si>
  <si>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</si>
  <si>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</si>
  <si>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</si>
  <si>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</si>
  <si>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</si>
  <si>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</si>
  <si>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</si>
  <si>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</si>
  <si>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</si>
  <si>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</si>
  <si>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</si>
  <si>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</si>
  <si>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</si>
  <si>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</si>
  <si>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</si>
  <si>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</si>
  <si>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</si>
  <si>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</si>
  <si>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</si>
  <si>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</si>
  <si>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</si>
  <si>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</si>
  <si>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</si>
  <si>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</si>
  <si>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</si>
  <si>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</si>
  <si>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</si>
  <si>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</si>
  <si>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</si>
  <si>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</si>
  <si>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</si>
  <si>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</si>
  <si>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</si>
  <si>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</si>
  <si>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</si>
  <si>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</si>
  <si>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</si>
  <si>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</si>
  <si>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</si>
  <si>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</si>
  <si>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</si>
  <si>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</si>
  <si>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</si>
  <si>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</si>
  <si>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</si>
  <si>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</si>
  <si>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</si>
  <si>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</si>
  <si>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</si>
  <si>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</si>
  <si>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</si>
  <si>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</si>
  <si>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</si>
  <si>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</si>
  <si>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</si>
  <si>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</si>
  <si>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</si>
  <si>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</si>
  <si>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</si>
  <si>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</si>
  <si>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</si>
  <si>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</si>
  <si>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</si>
  <si>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</si>
  <si>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</si>
  <si>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</si>
  <si>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</si>
  <si>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</si>
  <si>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</si>
  <si>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</si>
  <si>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</si>
  <si>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</si>
  <si>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</si>
  <si>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</si>
  <si>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</si>
  <si>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</si>
  <si>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</si>
  <si>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</si>
  <si>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</si>
  <si>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</si>
  <si>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</si>
  <si>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</si>
  <si>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</si>
  <si>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</si>
  <si>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</si>
  <si>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</si>
  <si>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</si>
  <si>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</si>
  <si>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</si>
  <si>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</si>
  <si>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</si>
  <si>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</si>
  <si>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</si>
  <si>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</si>
  <si>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</si>
  <si>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</si>
  <si>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</si>
  <si>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</si>
  <si>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</si>
  <si>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</si>
  <si>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</si>
  <si>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</si>
  <si>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</si>
  <si>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</si>
  <si>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</si>
  <si>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</si>
  <si>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</si>
  <si>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</si>
  <si>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</si>
  <si>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</si>
  <si>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</si>
  <si>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</si>
  <si>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</si>
  <si>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</si>
  <si>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</si>
  <si>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</si>
  <si>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</si>
  <si>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</si>
  <si>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</si>
  <si>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</si>
  <si>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</si>
  <si>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</si>
  <si>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</si>
  <si>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</si>
  <si>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</si>
  <si>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</si>
  <si>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</si>
  <si>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</si>
  <si>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</si>
  <si>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</si>
  <si>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</si>
  <si>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</si>
  <si>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</si>
  <si>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</si>
  <si>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</si>
  <si>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</si>
  <si>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</si>
  <si>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</si>
  <si>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</si>
  <si>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</si>
  <si>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</si>
  <si>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</si>
  <si>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</si>
  <si>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</si>
  <si>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</si>
  <si>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</si>
  <si>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</si>
  <si>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</si>
  <si>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</si>
  <si>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</si>
  <si>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</si>
  <si>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</si>
  <si>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</si>
  <si>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</si>
  <si>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</si>
  <si>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</si>
  <si>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</si>
  <si>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</si>
  <si>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</si>
  <si>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</si>
  <si>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</si>
  <si>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</si>
  <si>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</si>
  <si>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</si>
  <si>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</si>
  <si>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</si>
  <si>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</si>
  <si>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</si>
  <si>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</si>
  <si>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</si>
  <si>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</si>
  <si>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</si>
  <si>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</si>
  <si>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</si>
  <si>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</si>
  <si>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</si>
  <si>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</si>
  <si>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</si>
  <si>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</si>
  <si>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</si>
  <si>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</si>
  <si>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</si>
  <si>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</si>
  <si>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</si>
  <si>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</si>
  <si>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</si>
  <si>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</si>
  <si>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</si>
  <si>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</si>
  <si>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</si>
  <si>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</si>
  <si>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</si>
  <si>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</si>
  <si>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</si>
  <si>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</si>
  <si>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</si>
  <si>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</si>
  <si>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</si>
  <si>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</si>
  <si>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</si>
  <si>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</si>
  <si>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</si>
  <si>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</si>
  <si>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</si>
  <si>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</si>
  <si>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</si>
  <si>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</si>
  <si>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</si>
  <si>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</si>
  <si>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</si>
  <si>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</si>
  <si>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</si>
  <si>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</si>
  <si>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</si>
  <si>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</si>
  <si>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</si>
  <si>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</si>
  <si>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</si>
  <si>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</si>
  <si>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</si>
  <si>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</si>
  <si>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</si>
  <si>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</si>
  <si>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</si>
  <si>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</si>
  <si>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</si>
  <si>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</si>
  <si>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</si>
  <si>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</si>
  <si>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</si>
  <si>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</si>
  <si>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</si>
  <si>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</si>
  <si>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</si>
  <si>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</si>
  <si>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</si>
  <si>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</si>
  <si>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</si>
  <si>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</si>
  <si>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</si>
  <si>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</si>
  <si>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</si>
  <si>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</si>
  <si>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</si>
  <si>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</si>
  <si>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</si>
  <si>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</si>
  <si>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</si>
  <si>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</si>
  <si>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</si>
  <si>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</si>
  <si>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</si>
  <si>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</si>
  <si>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</si>
  <si>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</si>
  <si>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</si>
  <si>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</si>
  <si>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</si>
  <si>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</si>
  <si>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</si>
  <si>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</si>
  <si>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</si>
  <si>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</si>
  <si>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</si>
  <si>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</si>
  <si>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</si>
  <si>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</si>
  <si>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</si>
  <si>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</si>
  <si>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</si>
  <si>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</si>
  <si>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</si>
  <si>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</si>
  <si>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</si>
  <si>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</si>
  <si>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</si>
  <si>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</si>
  <si>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</si>
  <si>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</si>
  <si>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</si>
  <si>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</si>
  <si>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</si>
  <si>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</si>
  <si>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</si>
  <si>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</si>
  <si>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</si>
  <si>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</si>
  <si>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</si>
  <si>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</si>
  <si>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</si>
  <si>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</si>
  <si>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</si>
  <si>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</si>
  <si>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</si>
  <si>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</si>
  <si>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</si>
  <si>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</si>
  <si>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</si>
  <si>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</si>
  <si>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</si>
  <si>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</si>
  <si>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</si>
  <si>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</si>
  <si>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</si>
  <si>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</si>
  <si>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</si>
  <si>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</si>
  <si>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</si>
  <si>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</si>
  <si>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</si>
  <si>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</si>
  <si>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</si>
  <si>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</si>
  <si>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</si>
  <si>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</si>
  <si>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</si>
  <si>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</si>
  <si>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</si>
  <si>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</si>
  <si>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</si>
  <si>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</si>
  <si>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</si>
  <si>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</si>
  <si>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</si>
  <si>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</si>
  <si>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</si>
  <si>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</si>
  <si>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</si>
  <si>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</si>
  <si>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</si>
  <si>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</si>
  <si>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</si>
  <si>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</si>
  <si>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</si>
  <si>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</si>
  <si>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</si>
  <si>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</si>
  <si>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</si>
  <si>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</si>
  <si>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</si>
  <si>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</si>
  <si>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</si>
  <si>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</si>
  <si>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</si>
  <si>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</si>
  <si>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</si>
  <si>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</si>
  <si>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</si>
  <si>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</si>
  <si>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</si>
  <si>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</si>
  <si>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</si>
  <si>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</si>
  <si>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</si>
  <si>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</si>
  <si>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</si>
  <si>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</si>
  <si>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</si>
  <si>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</si>
  <si>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</si>
  <si>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</si>
  <si>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</si>
  <si>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</si>
  <si>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</si>
  <si>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</si>
  <si>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</si>
  <si>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</si>
  <si>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</si>
  <si>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</si>
  <si>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</si>
  <si>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</si>
  <si>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</si>
  <si>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</si>
  <si>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</si>
  <si>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</si>
  <si>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</si>
  <si>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</si>
  <si>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</si>
  <si>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</si>
  <si>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</si>
  <si>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</si>
  <si>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</si>
  <si>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</si>
  <si>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</si>
  <si>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</si>
  <si>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</si>
  <si>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</si>
  <si>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</si>
  <si>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</si>
  <si>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</si>
  <si>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</si>
  <si>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</si>
  <si>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</si>
  <si>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</si>
  <si>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</si>
  <si>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</si>
  <si>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</si>
  <si>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</si>
  <si>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</si>
  <si>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</si>
  <si>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</si>
  <si>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</si>
  <si>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</si>
  <si>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</si>
  <si>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</si>
  <si>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</si>
  <si>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</si>
  <si>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</si>
  <si>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</si>
  <si>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</si>
  <si>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</si>
  <si>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</si>
  <si>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</si>
  <si>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</si>
  <si>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</si>
  <si>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</si>
  <si>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</si>
  <si>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</si>
  <si>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</si>
  <si>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</si>
  <si>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</si>
  <si>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</si>
  <si>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</si>
  <si>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</si>
  <si>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</si>
  <si>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</si>
  <si>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</si>
  <si>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</si>
  <si>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</si>
  <si>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</si>
  <si>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</si>
  <si>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</si>
  <si>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</si>
  <si>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</si>
  <si>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</si>
  <si>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</si>
  <si>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</si>
  <si>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</si>
  <si>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</si>
  <si>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</si>
  <si>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</si>
  <si>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</si>
  <si>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</si>
  <si>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</si>
  <si>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</si>
  <si>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</si>
  <si>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</si>
  <si>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</si>
  <si>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</si>
  <si>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</si>
  <si>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</si>
  <si>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</si>
  <si>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</si>
  <si>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</si>
  <si>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</si>
  <si>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</si>
  <si>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</si>
  <si>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</si>
  <si>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</si>
  <si>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</si>
  <si>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</si>
  <si>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</si>
  <si>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</si>
  <si>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</si>
  <si>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</si>
  <si>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</si>
  <si>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</si>
  <si>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</si>
  <si>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</si>
  <si>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</si>
  <si>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</si>
  <si>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</si>
  <si>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</si>
  <si>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</si>
  <si>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</si>
  <si>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</si>
  <si>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</si>
  <si>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</si>
  <si>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</si>
  <si>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</si>
  <si>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</si>
  <si>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</si>
  <si>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</si>
  <si>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</si>
  <si>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</si>
  <si>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</si>
  <si>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</si>
  <si>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</si>
  <si>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</si>
  <si>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</si>
  <si>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</si>
  <si>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</si>
  <si>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</si>
  <si>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</si>
  <si>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</si>
  <si>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</si>
  <si>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</si>
  <si>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</si>
  <si>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</si>
  <si>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</si>
  <si>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</si>
  <si>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</si>
  <si>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</si>
  <si>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</si>
  <si>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</si>
  <si>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</si>
  <si>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</si>
  <si>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</si>
  <si>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</si>
  <si>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</si>
  <si>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</si>
  <si>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</si>
  <si>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</si>
  <si>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</si>
  <si>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</si>
  <si>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</si>
  <si>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</si>
  <si>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</si>
  <si>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</si>
  <si>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</si>
  <si>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</si>
  <si>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</si>
  <si>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</si>
  <si>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</si>
  <si>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</si>
  <si>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</si>
  <si>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</si>
  <si>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</si>
  <si>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</si>
  <si>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</si>
  <si>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</si>
  <si>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</si>
  <si>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</si>
  <si>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Toplam 13.07</t>
  </si>
  <si>
    <t>Toplam 14.07</t>
  </si>
  <si>
    <t>Toplam 15.07</t>
  </si>
  <si>
    <t>Toplam 16.07</t>
  </si>
  <si>
    <t>Toplam 17.07</t>
  </si>
  <si>
    <t>Toplam 18.07</t>
  </si>
  <si>
    <t>Toplam 19.07</t>
  </si>
  <si>
    <t>verilen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</si>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</sst>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1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557.33253387696368</c:v>
                </c:pt>
                <c:pt idx="1">
                  <c:v>491.13978954115703</c:v>
                </c:pt>
                <c:pt idx="2">
                  <c:v>414.33429651033572</c:v>
                </c:pt>
                <c:pt idx="3">
                  <c:v>396.48229493500673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344</c:v>
                </c:pt>
                <c:pt idx="1">
                  <c:v>315.57278471353129</c:v>
                </c:pt>
                <c:pt idx="2">
                  <c:v>330.00856804302254</c:v>
                </c:pt>
                <c:pt idx="3">
                  <c:v>333.76698014629045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92.542765769942662</c:v>
                </c:pt>
                <c:pt idx="1">
                  <c:v>101.28627030619111</c:v>
                </c:pt>
                <c:pt idx="2">
                  <c:v>86.810580104548052</c:v>
                </c:pt>
                <c:pt idx="3">
                  <c:v>104.49409381180764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97</c:v>
                </c:pt>
                <c:pt idx="1">
                  <c:v>95.111699010446131</c:v>
                </c:pt>
                <c:pt idx="2">
                  <c:v>81.929788934347528</c:v>
                </c:pt>
                <c:pt idx="3">
                  <c:v>101.04244581720845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83.594664940074225</c:v>
                </c:pt>
                <c:pt idx="1">
                  <c:v>84.817354657887819</c:v>
                </c:pt>
                <c:pt idx="2">
                  <c:v>84.524966114735264</c:v>
                </c:pt>
                <c:pt idx="3">
                  <c:v>90.162911452064193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95</c:v>
                </c:pt>
                <c:pt idx="1">
                  <c:v>84.968682000874423</c:v>
                </c:pt>
                <c:pt idx="2">
                  <c:v>79.015391335683219</c:v>
                </c:pt>
                <c:pt idx="3">
                  <c:v>81.000975227608706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85.564866681604315</c:v>
                </c:pt>
                <c:pt idx="1">
                  <c:v>70.761433014629645</c:v>
                </c:pt>
                <c:pt idx="2">
                  <c:v>86.318463810930567</c:v>
                </c:pt>
                <c:pt idx="3">
                  <c:v>81.195652173913047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72</c:v>
                </c:pt>
                <c:pt idx="1">
                  <c:v>42.972089402868903</c:v>
                </c:pt>
                <c:pt idx="2">
                  <c:v>56.837106792226002</c:v>
                </c:pt>
                <c:pt idx="3">
                  <c:v>67.80879723447373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121.73143029450195</c:v>
                </c:pt>
                <c:pt idx="1">
                  <c:v>107.06052788251637</c:v>
                </c:pt>
                <c:pt idx="2">
                  <c:v>121.47036135999527</c:v>
                </c:pt>
                <c:pt idx="3">
                  <c:v>122.04229758478289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138</c:v>
                </c:pt>
                <c:pt idx="1">
                  <c:v>133.83390729972336</c:v>
                </c:pt>
                <c:pt idx="2">
                  <c:v>129.60719826248837</c:v>
                </c:pt>
                <c:pt idx="3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800.99959111353417</c:v>
                </c:pt>
                <c:pt idx="1">
                  <c:v>835.55481383437882</c:v>
                </c:pt>
                <c:pt idx="2">
                  <c:v>910.12346000912578</c:v>
                </c:pt>
                <c:pt idx="3">
                  <c:v>745.38175543179852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452</c:v>
                </c:pt>
                <c:pt idx="1">
                  <c:v>436.264800861141</c:v>
                </c:pt>
                <c:pt idx="2">
                  <c:v>500.55560218212338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24.80210304942166</c:v>
                </c:pt>
                <c:pt idx="1">
                  <c:v>21.577136911922487</c:v>
                </c:pt>
                <c:pt idx="2">
                  <c:v>20.271988767425533</c:v>
                </c:pt>
                <c:pt idx="3">
                  <c:v>22.612023798952137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29</c:v>
                </c:pt>
                <c:pt idx="1">
                  <c:v>28.377116355897201</c:v>
                </c:pt>
                <c:pt idx="2">
                  <c:v>28.682012772826166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35.2568424197162</c:v>
                </c:pt>
                <c:pt idx="1">
                  <c:v>36.559598876642639</c:v>
                </c:pt>
                <c:pt idx="2">
                  <c:v>35.079841700337639</c:v>
                </c:pt>
                <c:pt idx="3">
                  <c:v>38.135557205222334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37.237702782254551</c:v>
                </c:pt>
                <c:pt idx="2">
                  <c:v>34</c:v>
                </c:pt>
                <c:pt idx="3">
                  <c:v>36.754240236583456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34.679641017358485</c:v>
                </c:pt>
                <c:pt idx="1">
                  <c:v>35.436875249447823</c:v>
                </c:pt>
                <c:pt idx="2">
                  <c:v>34.889850930824025</c:v>
                </c:pt>
                <c:pt idx="3">
                  <c:v>34.845882361643326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36.246684815169168</c:v>
                </c:pt>
                <c:pt idx="2">
                  <c:v>32.775259394824374</c:v>
                </c:pt>
                <c:pt idx="3">
                  <c:v>35.510458123908016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F1" sqref="F1"/>
    </sheetView>
  </sheetViews>
  <sheetFormatPr defaultRowHeight="14.4" x14ac:dyDescent="0.3"/>
  <cols>
    <col min="5" max="6" width="24.33203125" bestFit="1" customWidth="1"/>
    <col min="7" max="7" width="38.21875" bestFit="1" customWidth="1"/>
  </cols>
  <sheetData>
    <row r="1" spans="1:9" x14ac:dyDescent="0.3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 x14ac:dyDescent="0.3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 x14ac:dyDescent="0.3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 x14ac:dyDescent="0.3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 x14ac:dyDescent="0.3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 x14ac:dyDescent="0.3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 x14ac:dyDescent="0.3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 x14ac:dyDescent="0.3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 x14ac:dyDescent="0.3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 x14ac:dyDescent="0.3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 x14ac:dyDescent="0.3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 x14ac:dyDescent="0.3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 x14ac:dyDescent="0.3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 x14ac:dyDescent="0.3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 x14ac:dyDescent="0.3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 x14ac:dyDescent="0.3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 x14ac:dyDescent="0.3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 x14ac:dyDescent="0.3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 x14ac:dyDescent="0.3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 x14ac:dyDescent="0.3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 x14ac:dyDescent="0.3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 x14ac:dyDescent="0.3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 x14ac:dyDescent="0.3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 x14ac:dyDescent="0.3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 x14ac:dyDescent="0.3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 x14ac:dyDescent="0.3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 x14ac:dyDescent="0.3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 x14ac:dyDescent="0.3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 x14ac:dyDescent="0.3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 x14ac:dyDescent="0.3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 x14ac:dyDescent="0.3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 x14ac:dyDescent="0.3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 x14ac:dyDescent="0.3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 x14ac:dyDescent="0.3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 x14ac:dyDescent="0.3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 x14ac:dyDescent="0.3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 x14ac:dyDescent="0.3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 x14ac:dyDescent="0.3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 x14ac:dyDescent="0.3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 x14ac:dyDescent="0.3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 x14ac:dyDescent="0.3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 x14ac:dyDescent="0.3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 x14ac:dyDescent="0.3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 x14ac:dyDescent="0.3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 x14ac:dyDescent="0.3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 x14ac:dyDescent="0.3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 x14ac:dyDescent="0.3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 x14ac:dyDescent="0.3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 x14ac:dyDescent="0.3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 x14ac:dyDescent="0.3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 x14ac:dyDescent="0.3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 x14ac:dyDescent="0.3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 x14ac:dyDescent="0.3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 x14ac:dyDescent="0.3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 x14ac:dyDescent="0.3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 x14ac:dyDescent="0.3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 x14ac:dyDescent="0.3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 x14ac:dyDescent="0.3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 x14ac:dyDescent="0.3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 x14ac:dyDescent="0.3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 x14ac:dyDescent="0.3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 x14ac:dyDescent="0.3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 x14ac:dyDescent="0.3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 x14ac:dyDescent="0.3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 x14ac:dyDescent="0.3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 x14ac:dyDescent="0.3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 x14ac:dyDescent="0.3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 x14ac:dyDescent="0.3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 x14ac:dyDescent="0.3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 x14ac:dyDescent="0.3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 x14ac:dyDescent="0.3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 x14ac:dyDescent="0.3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 x14ac:dyDescent="0.3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 x14ac:dyDescent="0.3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 x14ac:dyDescent="0.3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 x14ac:dyDescent="0.3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 x14ac:dyDescent="0.3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 x14ac:dyDescent="0.3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 x14ac:dyDescent="0.3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 x14ac:dyDescent="0.3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 x14ac:dyDescent="0.3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 x14ac:dyDescent="0.3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 x14ac:dyDescent="0.3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 x14ac:dyDescent="0.3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 x14ac:dyDescent="0.3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 x14ac:dyDescent="0.3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 x14ac:dyDescent="0.3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 x14ac:dyDescent="0.3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 x14ac:dyDescent="0.3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 x14ac:dyDescent="0.3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 x14ac:dyDescent="0.3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 x14ac:dyDescent="0.3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 x14ac:dyDescent="0.3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 x14ac:dyDescent="0.3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 x14ac:dyDescent="0.3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 x14ac:dyDescent="0.3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 x14ac:dyDescent="0.3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 x14ac:dyDescent="0.3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 x14ac:dyDescent="0.3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 x14ac:dyDescent="0.3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 x14ac:dyDescent="0.3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 x14ac:dyDescent="0.3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 x14ac:dyDescent="0.3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 x14ac:dyDescent="0.3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 x14ac:dyDescent="0.3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 x14ac:dyDescent="0.3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 x14ac:dyDescent="0.3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 x14ac:dyDescent="0.3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 x14ac:dyDescent="0.3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 x14ac:dyDescent="0.3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 x14ac:dyDescent="0.3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 x14ac:dyDescent="0.3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 x14ac:dyDescent="0.3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 x14ac:dyDescent="0.3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 x14ac:dyDescent="0.3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 x14ac:dyDescent="0.3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 x14ac:dyDescent="0.3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 x14ac:dyDescent="0.3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 x14ac:dyDescent="0.3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 x14ac:dyDescent="0.3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 x14ac:dyDescent="0.3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 x14ac:dyDescent="0.3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 x14ac:dyDescent="0.3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 x14ac:dyDescent="0.3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 x14ac:dyDescent="0.3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 x14ac:dyDescent="0.3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 x14ac:dyDescent="0.3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 x14ac:dyDescent="0.3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 x14ac:dyDescent="0.3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 x14ac:dyDescent="0.3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 x14ac:dyDescent="0.3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 x14ac:dyDescent="0.3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 x14ac:dyDescent="0.3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 x14ac:dyDescent="0.3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 x14ac:dyDescent="0.3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 x14ac:dyDescent="0.3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 x14ac:dyDescent="0.3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 x14ac:dyDescent="0.3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 x14ac:dyDescent="0.3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 x14ac:dyDescent="0.3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 x14ac:dyDescent="0.3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 x14ac:dyDescent="0.3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 x14ac:dyDescent="0.3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 x14ac:dyDescent="0.3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 x14ac:dyDescent="0.3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 x14ac:dyDescent="0.3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 x14ac:dyDescent="0.3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 x14ac:dyDescent="0.3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 x14ac:dyDescent="0.3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 x14ac:dyDescent="0.3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 x14ac:dyDescent="0.3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 x14ac:dyDescent="0.3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 x14ac:dyDescent="0.3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 x14ac:dyDescent="0.3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 x14ac:dyDescent="0.3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 x14ac:dyDescent="0.3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 x14ac:dyDescent="0.3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 x14ac:dyDescent="0.3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 x14ac:dyDescent="0.3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 x14ac:dyDescent="0.3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 x14ac:dyDescent="0.3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 x14ac:dyDescent="0.3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 x14ac:dyDescent="0.3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 x14ac:dyDescent="0.3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 x14ac:dyDescent="0.3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 x14ac:dyDescent="0.3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 x14ac:dyDescent="0.3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 x14ac:dyDescent="0.3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 x14ac:dyDescent="0.3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 x14ac:dyDescent="0.3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 x14ac:dyDescent="0.3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 x14ac:dyDescent="0.3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 x14ac:dyDescent="0.3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 x14ac:dyDescent="0.3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 x14ac:dyDescent="0.3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 x14ac:dyDescent="0.3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 x14ac:dyDescent="0.3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 x14ac:dyDescent="0.3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 x14ac:dyDescent="0.3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 x14ac:dyDescent="0.3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 x14ac:dyDescent="0.3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 x14ac:dyDescent="0.3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 x14ac:dyDescent="0.3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 x14ac:dyDescent="0.3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 x14ac:dyDescent="0.3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 x14ac:dyDescent="0.3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 x14ac:dyDescent="0.3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 x14ac:dyDescent="0.3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 x14ac:dyDescent="0.3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 x14ac:dyDescent="0.3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 x14ac:dyDescent="0.3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 x14ac:dyDescent="0.3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 x14ac:dyDescent="0.3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 x14ac:dyDescent="0.3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 x14ac:dyDescent="0.3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 x14ac:dyDescent="0.3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 x14ac:dyDescent="0.3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 x14ac:dyDescent="0.3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 x14ac:dyDescent="0.3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 x14ac:dyDescent="0.3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 x14ac:dyDescent="0.3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 x14ac:dyDescent="0.3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 x14ac:dyDescent="0.3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 x14ac:dyDescent="0.3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 x14ac:dyDescent="0.3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 x14ac:dyDescent="0.3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 x14ac:dyDescent="0.3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 x14ac:dyDescent="0.3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 x14ac:dyDescent="0.3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 x14ac:dyDescent="0.3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 x14ac:dyDescent="0.3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 x14ac:dyDescent="0.3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 x14ac:dyDescent="0.3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 x14ac:dyDescent="0.3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 x14ac:dyDescent="0.3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 x14ac:dyDescent="0.3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 x14ac:dyDescent="0.3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 x14ac:dyDescent="0.3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 x14ac:dyDescent="0.3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 x14ac:dyDescent="0.3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 x14ac:dyDescent="0.3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 x14ac:dyDescent="0.3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 x14ac:dyDescent="0.3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 x14ac:dyDescent="0.3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 x14ac:dyDescent="0.3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 x14ac:dyDescent="0.3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 x14ac:dyDescent="0.3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 x14ac:dyDescent="0.3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 x14ac:dyDescent="0.3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 x14ac:dyDescent="0.3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 x14ac:dyDescent="0.3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 x14ac:dyDescent="0.3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 x14ac:dyDescent="0.3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 x14ac:dyDescent="0.3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 x14ac:dyDescent="0.3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 x14ac:dyDescent="0.3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 x14ac:dyDescent="0.3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 x14ac:dyDescent="0.3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 x14ac:dyDescent="0.3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 x14ac:dyDescent="0.3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 x14ac:dyDescent="0.3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 x14ac:dyDescent="0.3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 x14ac:dyDescent="0.3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 x14ac:dyDescent="0.3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 x14ac:dyDescent="0.3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 x14ac:dyDescent="0.3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 x14ac:dyDescent="0.3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 x14ac:dyDescent="0.3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 x14ac:dyDescent="0.3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 x14ac:dyDescent="0.3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 x14ac:dyDescent="0.3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 x14ac:dyDescent="0.3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 x14ac:dyDescent="0.3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 x14ac:dyDescent="0.3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 x14ac:dyDescent="0.3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 x14ac:dyDescent="0.3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 x14ac:dyDescent="0.3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 x14ac:dyDescent="0.3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 x14ac:dyDescent="0.3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 x14ac:dyDescent="0.3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 x14ac:dyDescent="0.3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 x14ac:dyDescent="0.3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 x14ac:dyDescent="0.3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 x14ac:dyDescent="0.3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 x14ac:dyDescent="0.3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 x14ac:dyDescent="0.3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 x14ac:dyDescent="0.3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 x14ac:dyDescent="0.3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 x14ac:dyDescent="0.3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 x14ac:dyDescent="0.3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 x14ac:dyDescent="0.3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 x14ac:dyDescent="0.3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 x14ac:dyDescent="0.3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 x14ac:dyDescent="0.3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 x14ac:dyDescent="0.3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 x14ac:dyDescent="0.3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 x14ac:dyDescent="0.3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 x14ac:dyDescent="0.3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 x14ac:dyDescent="0.3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 x14ac:dyDescent="0.3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 x14ac:dyDescent="0.3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 x14ac:dyDescent="0.3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 x14ac:dyDescent="0.3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 x14ac:dyDescent="0.3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 x14ac:dyDescent="0.3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 x14ac:dyDescent="0.3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 x14ac:dyDescent="0.3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 x14ac:dyDescent="0.3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 x14ac:dyDescent="0.3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 x14ac:dyDescent="0.3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 x14ac:dyDescent="0.3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 x14ac:dyDescent="0.3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 x14ac:dyDescent="0.3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 x14ac:dyDescent="0.3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 x14ac:dyDescent="0.3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 x14ac:dyDescent="0.3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 x14ac:dyDescent="0.3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 x14ac:dyDescent="0.3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 x14ac:dyDescent="0.3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 x14ac:dyDescent="0.3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 x14ac:dyDescent="0.3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 x14ac:dyDescent="0.3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 x14ac:dyDescent="0.3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 x14ac:dyDescent="0.3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 x14ac:dyDescent="0.3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 x14ac:dyDescent="0.3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 x14ac:dyDescent="0.3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 x14ac:dyDescent="0.3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 x14ac:dyDescent="0.3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 x14ac:dyDescent="0.3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 x14ac:dyDescent="0.3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 x14ac:dyDescent="0.3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 x14ac:dyDescent="0.3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 x14ac:dyDescent="0.3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 x14ac:dyDescent="0.3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 x14ac:dyDescent="0.3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 x14ac:dyDescent="0.3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 x14ac:dyDescent="0.3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 x14ac:dyDescent="0.3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 x14ac:dyDescent="0.3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 x14ac:dyDescent="0.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 x14ac:dyDescent="0.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 x14ac:dyDescent="0.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 x14ac:dyDescent="0.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 x14ac:dyDescent="0.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 x14ac:dyDescent="0.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 x14ac:dyDescent="0.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 x14ac:dyDescent="0.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 x14ac:dyDescent="0.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 x14ac:dyDescent="0.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 x14ac:dyDescent="0.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 x14ac:dyDescent="0.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 x14ac:dyDescent="0.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 x14ac:dyDescent="0.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 x14ac:dyDescent="0.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 x14ac:dyDescent="0.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 x14ac:dyDescent="0.3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 x14ac:dyDescent="0.3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 x14ac:dyDescent="0.3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 x14ac:dyDescent="0.3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 x14ac:dyDescent="0.3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 x14ac:dyDescent="0.3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 x14ac:dyDescent="0.3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 x14ac:dyDescent="0.3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 x14ac:dyDescent="0.3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 x14ac:dyDescent="0.3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 x14ac:dyDescent="0.3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 x14ac:dyDescent="0.3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 x14ac:dyDescent="0.3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 x14ac:dyDescent="0.3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 x14ac:dyDescent="0.3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 x14ac:dyDescent="0.3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 x14ac:dyDescent="0.3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 x14ac:dyDescent="0.3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 x14ac:dyDescent="0.3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 x14ac:dyDescent="0.3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 x14ac:dyDescent="0.3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 x14ac:dyDescent="0.3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 x14ac:dyDescent="0.3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 x14ac:dyDescent="0.3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 x14ac:dyDescent="0.3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 x14ac:dyDescent="0.3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 x14ac:dyDescent="0.3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 x14ac:dyDescent="0.3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 x14ac:dyDescent="0.3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 x14ac:dyDescent="0.3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 x14ac:dyDescent="0.3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 x14ac:dyDescent="0.3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 x14ac:dyDescent="0.3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 x14ac:dyDescent="0.3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 x14ac:dyDescent="0.3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 x14ac:dyDescent="0.3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 x14ac:dyDescent="0.3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 x14ac:dyDescent="0.3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 x14ac:dyDescent="0.3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 x14ac:dyDescent="0.3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 x14ac:dyDescent="0.3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 x14ac:dyDescent="0.3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 x14ac:dyDescent="0.3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 x14ac:dyDescent="0.3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 x14ac:dyDescent="0.3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 x14ac:dyDescent="0.3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 x14ac:dyDescent="0.3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 x14ac:dyDescent="0.3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 x14ac:dyDescent="0.3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 x14ac:dyDescent="0.3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 x14ac:dyDescent="0.3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 x14ac:dyDescent="0.3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 x14ac:dyDescent="0.3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 x14ac:dyDescent="0.3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 x14ac:dyDescent="0.3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 x14ac:dyDescent="0.3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 x14ac:dyDescent="0.3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 x14ac:dyDescent="0.3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 x14ac:dyDescent="0.3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 x14ac:dyDescent="0.3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 x14ac:dyDescent="0.3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 x14ac:dyDescent="0.3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 x14ac:dyDescent="0.3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 x14ac:dyDescent="0.3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 x14ac:dyDescent="0.3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 x14ac:dyDescent="0.3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 x14ac:dyDescent="0.3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 x14ac:dyDescent="0.3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 x14ac:dyDescent="0.3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 x14ac:dyDescent="0.3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 x14ac:dyDescent="0.3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 x14ac:dyDescent="0.3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 x14ac:dyDescent="0.3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 x14ac:dyDescent="0.3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 x14ac:dyDescent="0.3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 x14ac:dyDescent="0.3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 x14ac:dyDescent="0.3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 x14ac:dyDescent="0.3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 x14ac:dyDescent="0.3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 x14ac:dyDescent="0.3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 x14ac:dyDescent="0.3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 x14ac:dyDescent="0.3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 x14ac:dyDescent="0.3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 x14ac:dyDescent="0.3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 x14ac:dyDescent="0.3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 x14ac:dyDescent="0.3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 x14ac:dyDescent="0.3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 x14ac:dyDescent="0.3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 x14ac:dyDescent="0.3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 x14ac:dyDescent="0.3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 x14ac:dyDescent="0.3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 x14ac:dyDescent="0.3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 x14ac:dyDescent="0.3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 x14ac:dyDescent="0.3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 x14ac:dyDescent="0.3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 x14ac:dyDescent="0.3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 x14ac:dyDescent="0.3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 x14ac:dyDescent="0.3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 x14ac:dyDescent="0.3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 x14ac:dyDescent="0.3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 x14ac:dyDescent="0.3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 x14ac:dyDescent="0.3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 x14ac:dyDescent="0.3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 x14ac:dyDescent="0.3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 x14ac:dyDescent="0.3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 x14ac:dyDescent="0.3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 x14ac:dyDescent="0.3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 x14ac:dyDescent="0.3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 x14ac:dyDescent="0.3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 x14ac:dyDescent="0.3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 x14ac:dyDescent="0.3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 x14ac:dyDescent="0.3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 x14ac:dyDescent="0.3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 x14ac:dyDescent="0.3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 x14ac:dyDescent="0.3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 x14ac:dyDescent="0.3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 x14ac:dyDescent="0.3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 x14ac:dyDescent="0.3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 x14ac:dyDescent="0.3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 x14ac:dyDescent="0.3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 x14ac:dyDescent="0.3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 x14ac:dyDescent="0.3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 x14ac:dyDescent="0.3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 x14ac:dyDescent="0.3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 x14ac:dyDescent="0.3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 x14ac:dyDescent="0.3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 x14ac:dyDescent="0.3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 x14ac:dyDescent="0.3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 x14ac:dyDescent="0.3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 x14ac:dyDescent="0.3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 x14ac:dyDescent="0.3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 x14ac:dyDescent="0.3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 x14ac:dyDescent="0.3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 x14ac:dyDescent="0.3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 x14ac:dyDescent="0.3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 x14ac:dyDescent="0.3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 x14ac:dyDescent="0.3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 x14ac:dyDescent="0.3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 x14ac:dyDescent="0.3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 x14ac:dyDescent="0.3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 x14ac:dyDescent="0.3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 x14ac:dyDescent="0.3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 x14ac:dyDescent="0.3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 x14ac:dyDescent="0.3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 x14ac:dyDescent="0.3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 x14ac:dyDescent="0.3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 x14ac:dyDescent="0.3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 x14ac:dyDescent="0.3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 x14ac:dyDescent="0.3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 x14ac:dyDescent="0.3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 x14ac:dyDescent="0.3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 x14ac:dyDescent="0.3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 x14ac:dyDescent="0.3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 x14ac:dyDescent="0.3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 x14ac:dyDescent="0.3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 x14ac:dyDescent="0.3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 x14ac:dyDescent="0.3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 x14ac:dyDescent="0.3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 x14ac:dyDescent="0.3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 x14ac:dyDescent="0.3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 x14ac:dyDescent="0.3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 x14ac:dyDescent="0.3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 x14ac:dyDescent="0.3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 x14ac:dyDescent="0.3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 x14ac:dyDescent="0.3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 x14ac:dyDescent="0.3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 x14ac:dyDescent="0.3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 x14ac:dyDescent="0.3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 x14ac:dyDescent="0.3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 x14ac:dyDescent="0.3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 x14ac:dyDescent="0.3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 x14ac:dyDescent="0.3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 x14ac:dyDescent="0.3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 x14ac:dyDescent="0.3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 x14ac:dyDescent="0.3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 x14ac:dyDescent="0.3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 x14ac:dyDescent="0.3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 x14ac:dyDescent="0.3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 x14ac:dyDescent="0.3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 x14ac:dyDescent="0.3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 x14ac:dyDescent="0.3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 x14ac:dyDescent="0.3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 x14ac:dyDescent="0.3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 x14ac:dyDescent="0.3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 x14ac:dyDescent="0.3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 x14ac:dyDescent="0.3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 x14ac:dyDescent="0.3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 x14ac:dyDescent="0.3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 x14ac:dyDescent="0.3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 x14ac:dyDescent="0.3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 x14ac:dyDescent="0.3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 x14ac:dyDescent="0.3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 x14ac:dyDescent="0.3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 x14ac:dyDescent="0.3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 x14ac:dyDescent="0.3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 x14ac:dyDescent="0.3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 x14ac:dyDescent="0.3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 x14ac:dyDescent="0.3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 x14ac:dyDescent="0.3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 x14ac:dyDescent="0.3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 x14ac:dyDescent="0.3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 x14ac:dyDescent="0.3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 x14ac:dyDescent="0.3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 x14ac:dyDescent="0.3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 x14ac:dyDescent="0.3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 x14ac:dyDescent="0.3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 x14ac:dyDescent="0.3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 x14ac:dyDescent="0.3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 x14ac:dyDescent="0.3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 x14ac:dyDescent="0.3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 x14ac:dyDescent="0.3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 x14ac:dyDescent="0.3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 x14ac:dyDescent="0.3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 x14ac:dyDescent="0.3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 x14ac:dyDescent="0.3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 x14ac:dyDescent="0.3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 x14ac:dyDescent="0.3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 x14ac:dyDescent="0.3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 x14ac:dyDescent="0.3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 x14ac:dyDescent="0.3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 x14ac:dyDescent="0.3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 x14ac:dyDescent="0.3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 x14ac:dyDescent="0.3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 x14ac:dyDescent="0.3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 x14ac:dyDescent="0.3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 x14ac:dyDescent="0.3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 x14ac:dyDescent="0.3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 x14ac:dyDescent="0.3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 x14ac:dyDescent="0.3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 x14ac:dyDescent="0.3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 x14ac:dyDescent="0.3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 x14ac:dyDescent="0.3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 x14ac:dyDescent="0.3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 x14ac:dyDescent="0.3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 x14ac:dyDescent="0.3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 x14ac:dyDescent="0.3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 x14ac:dyDescent="0.3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 x14ac:dyDescent="0.3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 x14ac:dyDescent="0.3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 x14ac:dyDescent="0.3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 x14ac:dyDescent="0.3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 x14ac:dyDescent="0.3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 x14ac:dyDescent="0.3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 x14ac:dyDescent="0.3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 x14ac:dyDescent="0.3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 x14ac:dyDescent="0.3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 x14ac:dyDescent="0.3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 x14ac:dyDescent="0.3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 x14ac:dyDescent="0.3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 x14ac:dyDescent="0.3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 x14ac:dyDescent="0.3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 x14ac:dyDescent="0.3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 x14ac:dyDescent="0.3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 x14ac:dyDescent="0.3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 x14ac:dyDescent="0.3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 x14ac:dyDescent="0.3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 x14ac:dyDescent="0.3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 x14ac:dyDescent="0.3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 x14ac:dyDescent="0.3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 x14ac:dyDescent="0.3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 x14ac:dyDescent="0.3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 x14ac:dyDescent="0.3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 x14ac:dyDescent="0.3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 x14ac:dyDescent="0.3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 x14ac:dyDescent="0.3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 x14ac:dyDescent="0.3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 x14ac:dyDescent="0.3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 x14ac:dyDescent="0.3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 x14ac:dyDescent="0.3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 x14ac:dyDescent="0.3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 x14ac:dyDescent="0.3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 x14ac:dyDescent="0.3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 x14ac:dyDescent="0.3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 x14ac:dyDescent="0.3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 x14ac:dyDescent="0.3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 x14ac:dyDescent="0.3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 x14ac:dyDescent="0.3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 x14ac:dyDescent="0.3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 x14ac:dyDescent="0.3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 x14ac:dyDescent="0.3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 x14ac:dyDescent="0.3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 x14ac:dyDescent="0.3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 x14ac:dyDescent="0.3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 x14ac:dyDescent="0.3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 x14ac:dyDescent="0.3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 x14ac:dyDescent="0.3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 x14ac:dyDescent="0.3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 x14ac:dyDescent="0.3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 x14ac:dyDescent="0.3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 x14ac:dyDescent="0.3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 x14ac:dyDescent="0.3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 x14ac:dyDescent="0.3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 x14ac:dyDescent="0.3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 x14ac:dyDescent="0.3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 x14ac:dyDescent="0.3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 x14ac:dyDescent="0.3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 x14ac:dyDescent="0.3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 x14ac:dyDescent="0.3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 x14ac:dyDescent="0.3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 x14ac:dyDescent="0.3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 x14ac:dyDescent="0.3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 x14ac:dyDescent="0.3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 x14ac:dyDescent="0.3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 x14ac:dyDescent="0.3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 x14ac:dyDescent="0.3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 x14ac:dyDescent="0.3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 x14ac:dyDescent="0.3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 x14ac:dyDescent="0.3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 x14ac:dyDescent="0.3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 x14ac:dyDescent="0.3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 x14ac:dyDescent="0.3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 x14ac:dyDescent="0.3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 x14ac:dyDescent="0.3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 x14ac:dyDescent="0.3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 x14ac:dyDescent="0.3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 x14ac:dyDescent="0.3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 x14ac:dyDescent="0.3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 x14ac:dyDescent="0.3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 x14ac:dyDescent="0.3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 x14ac:dyDescent="0.3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 x14ac:dyDescent="0.3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 x14ac:dyDescent="0.3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 x14ac:dyDescent="0.3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 x14ac:dyDescent="0.3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 x14ac:dyDescent="0.3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 x14ac:dyDescent="0.3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 x14ac:dyDescent="0.3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 x14ac:dyDescent="0.3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 x14ac:dyDescent="0.3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 x14ac:dyDescent="0.3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 x14ac:dyDescent="0.3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 x14ac:dyDescent="0.3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 x14ac:dyDescent="0.3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 x14ac:dyDescent="0.3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 x14ac:dyDescent="0.3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 x14ac:dyDescent="0.3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 x14ac:dyDescent="0.3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 x14ac:dyDescent="0.3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 x14ac:dyDescent="0.3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 x14ac:dyDescent="0.3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 x14ac:dyDescent="0.3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 x14ac:dyDescent="0.3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 x14ac:dyDescent="0.3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 x14ac:dyDescent="0.3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 x14ac:dyDescent="0.3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 x14ac:dyDescent="0.3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 x14ac:dyDescent="0.3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 x14ac:dyDescent="0.3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 x14ac:dyDescent="0.3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 x14ac:dyDescent="0.3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 x14ac:dyDescent="0.3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 x14ac:dyDescent="0.3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 x14ac:dyDescent="0.3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 x14ac:dyDescent="0.3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 x14ac:dyDescent="0.3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 x14ac:dyDescent="0.3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 x14ac:dyDescent="0.3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 x14ac:dyDescent="0.3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 x14ac:dyDescent="0.3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 x14ac:dyDescent="0.3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 x14ac:dyDescent="0.3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 x14ac:dyDescent="0.3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 x14ac:dyDescent="0.3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 x14ac:dyDescent="0.3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 x14ac:dyDescent="0.3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 x14ac:dyDescent="0.3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 x14ac:dyDescent="0.3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 x14ac:dyDescent="0.3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 x14ac:dyDescent="0.3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 x14ac:dyDescent="0.3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 x14ac:dyDescent="0.3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 x14ac:dyDescent="0.3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 x14ac:dyDescent="0.3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 x14ac:dyDescent="0.3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 x14ac:dyDescent="0.3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 x14ac:dyDescent="0.3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 x14ac:dyDescent="0.3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 x14ac:dyDescent="0.3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 x14ac:dyDescent="0.3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 x14ac:dyDescent="0.3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 x14ac:dyDescent="0.3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 x14ac:dyDescent="0.3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 x14ac:dyDescent="0.3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 x14ac:dyDescent="0.3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 x14ac:dyDescent="0.3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 x14ac:dyDescent="0.3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 x14ac:dyDescent="0.3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 x14ac:dyDescent="0.3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 x14ac:dyDescent="0.3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 x14ac:dyDescent="0.3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 x14ac:dyDescent="0.3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 x14ac:dyDescent="0.3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 x14ac:dyDescent="0.3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 x14ac:dyDescent="0.3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 x14ac:dyDescent="0.3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 x14ac:dyDescent="0.3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 x14ac:dyDescent="0.3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 x14ac:dyDescent="0.3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 x14ac:dyDescent="0.3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 x14ac:dyDescent="0.3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 x14ac:dyDescent="0.3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 x14ac:dyDescent="0.3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 x14ac:dyDescent="0.3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 x14ac:dyDescent="0.3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 x14ac:dyDescent="0.3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 x14ac:dyDescent="0.3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 x14ac:dyDescent="0.3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 x14ac:dyDescent="0.3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 x14ac:dyDescent="0.3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 x14ac:dyDescent="0.3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 x14ac:dyDescent="0.3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 x14ac:dyDescent="0.3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 x14ac:dyDescent="0.3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 x14ac:dyDescent="0.3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 x14ac:dyDescent="0.3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 x14ac:dyDescent="0.3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 x14ac:dyDescent="0.3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 x14ac:dyDescent="0.3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 x14ac:dyDescent="0.3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 x14ac:dyDescent="0.3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 x14ac:dyDescent="0.3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 x14ac:dyDescent="0.3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 x14ac:dyDescent="0.3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 x14ac:dyDescent="0.3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 x14ac:dyDescent="0.3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 x14ac:dyDescent="0.3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 x14ac:dyDescent="0.3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 x14ac:dyDescent="0.3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 x14ac:dyDescent="0.3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 x14ac:dyDescent="0.3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 x14ac:dyDescent="0.3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 x14ac:dyDescent="0.3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 x14ac:dyDescent="0.3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 x14ac:dyDescent="0.3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 x14ac:dyDescent="0.3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 x14ac:dyDescent="0.3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 x14ac:dyDescent="0.3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 x14ac:dyDescent="0.3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 x14ac:dyDescent="0.3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 x14ac:dyDescent="0.3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 x14ac:dyDescent="0.3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 x14ac:dyDescent="0.3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 x14ac:dyDescent="0.3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 x14ac:dyDescent="0.3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 x14ac:dyDescent="0.3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 x14ac:dyDescent="0.3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 x14ac:dyDescent="0.3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 x14ac:dyDescent="0.3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 x14ac:dyDescent="0.3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 x14ac:dyDescent="0.3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 x14ac:dyDescent="0.3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 x14ac:dyDescent="0.3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 x14ac:dyDescent="0.3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 x14ac:dyDescent="0.3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 x14ac:dyDescent="0.3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 x14ac:dyDescent="0.3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 x14ac:dyDescent="0.3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 x14ac:dyDescent="0.3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 x14ac:dyDescent="0.3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 x14ac:dyDescent="0.3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 x14ac:dyDescent="0.3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 x14ac:dyDescent="0.3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 x14ac:dyDescent="0.3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 x14ac:dyDescent="0.3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 x14ac:dyDescent="0.3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 x14ac:dyDescent="0.3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 x14ac:dyDescent="0.3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 x14ac:dyDescent="0.3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 x14ac:dyDescent="0.3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 x14ac:dyDescent="0.3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 x14ac:dyDescent="0.3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 x14ac:dyDescent="0.3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 x14ac:dyDescent="0.3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 x14ac:dyDescent="0.3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 x14ac:dyDescent="0.3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 x14ac:dyDescent="0.3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GI1" zoomScaleNormal="100" workbookViewId="0">
      <selection activeCell="GN12" sqref="GN12:GN15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728478.93366118392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27339509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1">
        <f>+A10/A9</f>
        <v>37.529580797343449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GT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GJ1" zoomScaleNormal="100" workbookViewId="0">
      <selection activeCell="GN12" sqref="GN12:GN15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709720.15918962308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26079205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36.745757693818241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GS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616"/>
  <sheetViews>
    <sheetView zoomScale="60" zoomScaleNormal="60" workbookViewId="0">
      <pane ySplit="1" topLeftCell="A552" activePane="bottomLeft" state="frozen"/>
      <selection activeCell="EH29" sqref="EH29"/>
      <selection pane="bottomLeft" activeCell="B581" sqref="B581:G581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60" si="194">+V496-U496-S496</f>
        <v>0</v>
      </c>
      <c r="X496" s="104">
        <f t="shared" ref="X496:X560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65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 x14ac:dyDescent="0.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8">+AF546+AE546</f>
        <v>152.42771377542269</v>
      </c>
      <c r="O546" s="7">
        <f t="shared" ref="O546:O551" si="239">+B546+C546+D546+F546+I546+K546+J546</f>
        <v>4242.25</v>
      </c>
      <c r="P546" s="7">
        <f t="shared" ref="P546:P551" si="240">+B546+C546+D546+F546+J546+Q546+R546</f>
        <v>4089.8222862245775</v>
      </c>
      <c r="Q546" s="7">
        <f t="shared" ref="Q546:Q551" si="241">+I546-AF546</f>
        <v>1850.8333333333333</v>
      </c>
      <c r="R546" s="7">
        <f t="shared" ref="R546:R551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0" si="247">+AA546-Y546</f>
        <v>152678</v>
      </c>
    </row>
    <row r="547" spans="1:33" x14ac:dyDescent="0.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 x14ac:dyDescent="0.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 x14ac:dyDescent="0.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 x14ac:dyDescent="0.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 x14ac:dyDescent="0.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>+AA551-Y551</f>
        <v>127507</v>
      </c>
    </row>
    <row r="552" spans="1:33" x14ac:dyDescent="0.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8">+AF552+AE552</f>
        <v>0</v>
      </c>
      <c r="O552" s="7">
        <f t="shared" ref="O552:O566" si="249">+B552+C552+D552+F552+I552+K552+J552</f>
        <v>0</v>
      </c>
      <c r="P552" s="7">
        <f t="shared" ref="P552:P566" si="250">+B552+C552+D552+F552+J552+Q552+R552</f>
        <v>0</v>
      </c>
      <c r="Q552" s="7">
        <f t="shared" ref="Q552:Q566" si="251">+I552-AF552</f>
        <v>0</v>
      </c>
      <c r="R552" s="7">
        <f t="shared" ref="R552:R566" si="252">+K552-AE552</f>
        <v>0</v>
      </c>
      <c r="T552" s="7"/>
      <c r="U552" s="7">
        <v>0</v>
      </c>
      <c r="V552" s="104"/>
      <c r="W552" s="7"/>
      <c r="X552" s="104"/>
      <c r="Y552" s="2"/>
      <c r="Z552" s="104"/>
      <c r="AA552" s="78"/>
      <c r="AB552" s="104"/>
      <c r="AC552" s="193"/>
      <c r="AD552" s="193"/>
      <c r="AE552" s="20"/>
      <c r="AF552" s="20"/>
      <c r="AG552" s="3"/>
    </row>
    <row r="553" spans="1:33" x14ac:dyDescent="0.3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8"/>
        <v>149.70823934256214</v>
      </c>
      <c r="O553" s="7">
        <f t="shared" si="249"/>
        <v>4140.416666666667</v>
      </c>
      <c r="P553" s="7">
        <f t="shared" si="250"/>
        <v>3990.7084273241044</v>
      </c>
      <c r="Q553" s="7">
        <f t="shared" si="251"/>
        <v>1552.2561924838856</v>
      </c>
      <c r="R553" s="7">
        <f t="shared" si="252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4"/>
        <v>124874</v>
      </c>
      <c r="X553" s="104">
        <f t="shared" si="195"/>
        <v>148002</v>
      </c>
      <c r="Y553" s="2">
        <v>1663</v>
      </c>
      <c r="Z553" s="104">
        <v>19500</v>
      </c>
      <c r="AA553" s="78">
        <v>137480</v>
      </c>
      <c r="AB553" s="104">
        <f t="shared" si="205"/>
        <v>148002</v>
      </c>
      <c r="AC553" s="193">
        <f t="shared" ref="AC553:AC559" si="253">+(Y553/AA553*0.95)</f>
        <v>1.1491489671224904E-2</v>
      </c>
      <c r="AD553" s="193">
        <f t="shared" ref="AD553:AD559" si="254">+(Z553/AB553*0.6)</f>
        <v>7.9052985770462561E-2</v>
      </c>
      <c r="AE553" s="20">
        <f t="shared" ref="AE553:AE559" si="255">+AC553*K553</f>
        <v>16.46443182644748</v>
      </c>
      <c r="AF553" s="20">
        <f t="shared" ref="AF553:AF559" si="256">+AD553*I553</f>
        <v>133.24380751611466</v>
      </c>
      <c r="AG553" s="3">
        <f t="shared" ref="AG553:AG565" si="257">+AA553-Y553</f>
        <v>135817</v>
      </c>
    </row>
    <row r="554" spans="1:33" x14ac:dyDescent="0.3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8"/>
        <v>111.10415711477526</v>
      </c>
      <c r="O554" s="7">
        <f t="shared" si="249"/>
        <v>4631.3333333333339</v>
      </c>
      <c r="P554" s="7">
        <f t="shared" si="250"/>
        <v>4520.2291762185578</v>
      </c>
      <c r="Q554" s="7">
        <f t="shared" si="251"/>
        <v>1802.0122691935389</v>
      </c>
      <c r="R554" s="7">
        <f t="shared" si="252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4"/>
        <v>157042</v>
      </c>
      <c r="X554" s="104">
        <f t="shared" si="195"/>
        <v>164947</v>
      </c>
      <c r="Y554" s="2">
        <v>8730</v>
      </c>
      <c r="Z554" s="104">
        <v>176</v>
      </c>
      <c r="AA554" s="78">
        <v>137295</v>
      </c>
      <c r="AB554" s="104">
        <f t="shared" si="205"/>
        <v>164947</v>
      </c>
      <c r="AC554" s="193">
        <f t="shared" si="253"/>
        <v>6.0406424123238274E-2</v>
      </c>
      <c r="AD554" s="193">
        <f t="shared" si="254"/>
        <v>6.4020564181221842E-4</v>
      </c>
      <c r="AE554" s="20">
        <f t="shared" si="255"/>
        <v>109.94975964164753</v>
      </c>
      <c r="AF554" s="20">
        <f t="shared" si="256"/>
        <v>1.154397473127732</v>
      </c>
      <c r="AG554" s="3">
        <f t="shared" si="257"/>
        <v>128565</v>
      </c>
    </row>
    <row r="555" spans="1:33" x14ac:dyDescent="0.3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8"/>
        <v>440.44396208881255</v>
      </c>
      <c r="O555" s="7">
        <f t="shared" si="249"/>
        <v>4707.9166666666661</v>
      </c>
      <c r="P555" s="7">
        <f t="shared" si="250"/>
        <v>4267.4727045778536</v>
      </c>
      <c r="Q555" s="7">
        <f t="shared" si="251"/>
        <v>1680.9217164620518</v>
      </c>
      <c r="R555" s="7">
        <f t="shared" si="252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4"/>
        <v>101884</v>
      </c>
      <c r="X555" s="104">
        <f t="shared" si="195"/>
        <v>124543</v>
      </c>
      <c r="Y555" s="2">
        <v>22263</v>
      </c>
      <c r="Z555" s="104">
        <v>18545</v>
      </c>
      <c r="AA555" s="78">
        <v>142991</v>
      </c>
      <c r="AB555" s="104">
        <f t="shared" si="205"/>
        <v>124543</v>
      </c>
      <c r="AC555" s="193">
        <f t="shared" si="253"/>
        <v>0.14791035799455909</v>
      </c>
      <c r="AD555" s="193">
        <f t="shared" si="254"/>
        <v>8.9342636679700993E-2</v>
      </c>
      <c r="AE555" s="20">
        <f t="shared" si="255"/>
        <v>275.53234521753114</v>
      </c>
      <c r="AF555" s="20">
        <f t="shared" si="256"/>
        <v>164.91161687128141</v>
      </c>
      <c r="AG555" s="3">
        <f t="shared" si="257"/>
        <v>120728</v>
      </c>
    </row>
    <row r="556" spans="1:33" x14ac:dyDescent="0.3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8"/>
        <v>388.8665016217094</v>
      </c>
      <c r="O556" s="7">
        <f t="shared" si="249"/>
        <v>4668.166666666667</v>
      </c>
      <c r="P556" s="7">
        <f t="shared" si="250"/>
        <v>4279.3001650449578</v>
      </c>
      <c r="Q556" s="7">
        <f t="shared" si="251"/>
        <v>1755.6192336039094</v>
      </c>
      <c r="R556" s="7">
        <f t="shared" si="252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4"/>
        <v>119682</v>
      </c>
      <c r="X556" s="104">
        <f t="shared" si="195"/>
        <v>132064</v>
      </c>
      <c r="Y556" s="2">
        <v>25995</v>
      </c>
      <c r="Z556" s="104">
        <v>8532</v>
      </c>
      <c r="AA556" s="78">
        <v>143125</v>
      </c>
      <c r="AB556" s="104">
        <f t="shared" si="205"/>
        <v>132064</v>
      </c>
      <c r="AC556" s="193">
        <f t="shared" si="253"/>
        <v>0.17254323144104802</v>
      </c>
      <c r="AD556" s="193">
        <f t="shared" si="254"/>
        <v>3.8763023988369269E-2</v>
      </c>
      <c r="AE556" s="20">
        <f t="shared" si="255"/>
        <v>318.06906855895198</v>
      </c>
      <c r="AF556" s="20">
        <f t="shared" si="256"/>
        <v>70.797433062757449</v>
      </c>
      <c r="AG556" s="3">
        <f t="shared" si="257"/>
        <v>117130</v>
      </c>
    </row>
    <row r="557" spans="1:33" x14ac:dyDescent="0.3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8"/>
        <v>532.91361996524438</v>
      </c>
      <c r="O557" s="7">
        <f t="shared" si="249"/>
        <v>4529.583333333333</v>
      </c>
      <c r="P557" s="7">
        <f t="shared" si="250"/>
        <v>3996.6697133680887</v>
      </c>
      <c r="Q557" s="7">
        <f t="shared" si="251"/>
        <v>1586.1983652346598</v>
      </c>
      <c r="R557" s="7">
        <f t="shared" si="252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4"/>
        <v>136897</v>
      </c>
      <c r="X557" s="104">
        <f t="shared" si="195"/>
        <v>175907</v>
      </c>
      <c r="Y557" s="2">
        <v>27941</v>
      </c>
      <c r="Z557" s="104">
        <v>35420</v>
      </c>
      <c r="AA557" s="78">
        <v>153490</v>
      </c>
      <c r="AB557" s="104">
        <f t="shared" si="205"/>
        <v>175907</v>
      </c>
      <c r="AC557" s="193">
        <f t="shared" si="253"/>
        <v>0.17293602189067692</v>
      </c>
      <c r="AD557" s="193">
        <f t="shared" si="254"/>
        <v>0.12081383913090439</v>
      </c>
      <c r="AE557" s="20">
        <f t="shared" si="255"/>
        <v>314.94531853323775</v>
      </c>
      <c r="AF557" s="20">
        <f t="shared" si="256"/>
        <v>217.96830143200665</v>
      </c>
      <c r="AG557" s="3">
        <f t="shared" si="257"/>
        <v>125549</v>
      </c>
    </row>
    <row r="558" spans="1:33" x14ac:dyDescent="0.3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8"/>
        <v>174.54120177421595</v>
      </c>
      <c r="O558" s="7">
        <f t="shared" si="249"/>
        <v>4054.833333333333</v>
      </c>
      <c r="P558" s="7">
        <f t="shared" si="250"/>
        <v>3880.2921315591175</v>
      </c>
      <c r="Q558" s="7">
        <f t="shared" si="251"/>
        <v>1615.5268798617112</v>
      </c>
      <c r="R558" s="7">
        <f t="shared" si="252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4"/>
        <v>139376</v>
      </c>
      <c r="X558" s="104">
        <f t="shared" si="195"/>
        <v>143468</v>
      </c>
      <c r="Y558" s="2">
        <v>14908</v>
      </c>
      <c r="Z558" s="104">
        <v>2884</v>
      </c>
      <c r="AA558" s="78">
        <v>149591</v>
      </c>
      <c r="AB558" s="104">
        <f t="shared" si="205"/>
        <v>143468</v>
      </c>
      <c r="AC558" s="193">
        <f t="shared" si="253"/>
        <v>9.467548181374548E-2</v>
      </c>
      <c r="AD558" s="193">
        <f t="shared" si="254"/>
        <v>1.2061226196782557E-2</v>
      </c>
      <c r="AE558" s="20">
        <f t="shared" si="255"/>
        <v>154.81808163592729</v>
      </c>
      <c r="AF558" s="20">
        <f t="shared" si="256"/>
        <v>19.723120138288674</v>
      </c>
      <c r="AG558" s="3">
        <f t="shared" si="257"/>
        <v>134683</v>
      </c>
    </row>
    <row r="559" spans="1:33" x14ac:dyDescent="0.3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8"/>
        <v>0.39239130434782599</v>
      </c>
      <c r="O559" s="7">
        <f t="shared" si="249"/>
        <v>3522.9166666666661</v>
      </c>
      <c r="P559" s="7">
        <f t="shared" si="250"/>
        <v>3522.5242753623183</v>
      </c>
      <c r="Q559" s="7">
        <f t="shared" si="251"/>
        <v>1459.4999999999998</v>
      </c>
      <c r="R559" s="7">
        <f t="shared" si="252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4"/>
        <v>125132</v>
      </c>
      <c r="X559" s="104">
        <f t="shared" si="195"/>
        <v>128818</v>
      </c>
      <c r="Y559" s="2">
        <v>32</v>
      </c>
      <c r="AA559" s="78">
        <v>114816</v>
      </c>
      <c r="AB559" s="104">
        <f t="shared" si="205"/>
        <v>128818</v>
      </c>
      <c r="AC559" s="193">
        <f t="shared" si="253"/>
        <v>2.6477146042363429E-4</v>
      </c>
      <c r="AD559" s="193">
        <f t="shared" si="254"/>
        <v>0</v>
      </c>
      <c r="AE559" s="20">
        <f t="shared" si="255"/>
        <v>0.39239130434782599</v>
      </c>
      <c r="AF559" s="20">
        <f t="shared" si="256"/>
        <v>0</v>
      </c>
      <c r="AG559" s="3">
        <f t="shared" si="257"/>
        <v>114784</v>
      </c>
    </row>
    <row r="560" spans="1:33" x14ac:dyDescent="0.3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8"/>
        <v>271.13501570107815</v>
      </c>
      <c r="O560" s="7">
        <f t="shared" si="249"/>
        <v>3992.333333333333</v>
      </c>
      <c r="P560" s="7">
        <f t="shared" si="250"/>
        <v>3721.1983176322551</v>
      </c>
      <c r="Q560" s="7">
        <f t="shared" si="251"/>
        <v>1550.2325656260557</v>
      </c>
      <c r="R560" s="7">
        <f t="shared" si="252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4"/>
        <v>122991</v>
      </c>
      <c r="X560" s="104">
        <f t="shared" si="195"/>
        <v>150969</v>
      </c>
      <c r="Y560" s="2">
        <v>11906</v>
      </c>
      <c r="Z560">
        <v>23753</v>
      </c>
      <c r="AA560" s="78">
        <v>162164</v>
      </c>
      <c r="AB560" s="104">
        <f t="shared" si="205"/>
        <v>150969</v>
      </c>
      <c r="AC560" s="193">
        <f t="shared" ref="AC560:AC565" si="258">+(Y560/AA560*0.95)</f>
        <v>6.9748526183369922E-2</v>
      </c>
      <c r="AD560" s="193">
        <f t="shared" ref="AD560:AD565" si="259">+(Z560/AB560*0.6)</f>
        <v>9.4402162033265111E-2</v>
      </c>
      <c r="AE560" s="20">
        <f t="shared" ref="AE560:AE565" si="260">+AC560*K560</f>
        <v>109.53424799380052</v>
      </c>
      <c r="AF560" s="20">
        <f t="shared" ref="AF560:AF565" si="261">+AD560*I560</f>
        <v>161.60076770727764</v>
      </c>
      <c r="AG560" s="3">
        <f t="shared" si="257"/>
        <v>150258</v>
      </c>
    </row>
    <row r="561" spans="1:33" x14ac:dyDescent="0.3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8"/>
        <v>367.72314394684213</v>
      </c>
      <c r="O561" s="7">
        <f t="shared" si="249"/>
        <v>3854.5</v>
      </c>
      <c r="P561" s="7">
        <f t="shared" si="250"/>
        <v>3486.7768560531576</v>
      </c>
      <c r="Q561" s="7">
        <f t="shared" si="251"/>
        <v>1524.2224253117977</v>
      </c>
      <c r="R561" s="7">
        <f t="shared" si="252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ref="W561:W565" si="262">+V561-U561-S561</f>
        <v>116526</v>
      </c>
      <c r="X561" s="104">
        <f t="shared" ref="X561:X565" si="263">+V561+Z561</f>
        <v>132618</v>
      </c>
      <c r="Y561" s="2">
        <v>23026</v>
      </c>
      <c r="Z561">
        <v>14259</v>
      </c>
      <c r="AA561" s="78">
        <v>107640</v>
      </c>
      <c r="AB561" s="104">
        <f t="shared" si="205"/>
        <v>132618</v>
      </c>
      <c r="AC561" s="193">
        <f t="shared" si="258"/>
        <v>0.20322092159048682</v>
      </c>
      <c r="AD561" s="193">
        <f t="shared" si="259"/>
        <v>6.4511604759534907E-2</v>
      </c>
      <c r="AE561" s="20">
        <f t="shared" si="260"/>
        <v>262.61223592530661</v>
      </c>
      <c r="AF561" s="20">
        <f t="shared" si="261"/>
        <v>105.11090802153554</v>
      </c>
      <c r="AG561" s="3">
        <f>+AA561-Y561</f>
        <v>84614</v>
      </c>
    </row>
    <row r="562" spans="1:33" x14ac:dyDescent="0.3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8"/>
        <v>8.587544304043977</v>
      </c>
      <c r="O562" s="7">
        <f t="shared" si="249"/>
        <v>3695.6666666666661</v>
      </c>
      <c r="P562" s="7">
        <f t="shared" si="250"/>
        <v>3687.079122362622</v>
      </c>
      <c r="Q562" s="7">
        <f t="shared" si="251"/>
        <v>1709.1666666666665</v>
      </c>
      <c r="R562" s="7">
        <f t="shared" si="252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262"/>
        <v>137733</v>
      </c>
      <c r="X562" s="104">
        <f t="shared" si="263"/>
        <v>142055</v>
      </c>
      <c r="Y562" s="2">
        <v>950</v>
      </c>
      <c r="AA562" s="78">
        <v>119816</v>
      </c>
      <c r="AB562" s="104">
        <f t="shared" si="205"/>
        <v>142055</v>
      </c>
      <c r="AC562" s="193">
        <f t="shared" si="258"/>
        <v>7.5323829872471111E-3</v>
      </c>
      <c r="AD562" s="193">
        <f t="shared" si="259"/>
        <v>0</v>
      </c>
      <c r="AE562" s="20">
        <f t="shared" si="260"/>
        <v>8.587544304043977</v>
      </c>
      <c r="AF562" s="20">
        <f t="shared" si="261"/>
        <v>0</v>
      </c>
      <c r="AG562" s="3">
        <f t="shared" si="257"/>
        <v>118866</v>
      </c>
    </row>
    <row r="563" spans="1:33" x14ac:dyDescent="0.3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8"/>
        <v>0</v>
      </c>
      <c r="O563" s="7">
        <f t="shared" si="249"/>
        <v>3932.3333333333335</v>
      </c>
      <c r="P563" s="7">
        <f t="shared" si="250"/>
        <v>3932.3333333333335</v>
      </c>
      <c r="Q563" s="7">
        <f t="shared" si="251"/>
        <v>1655.9166666666667</v>
      </c>
      <c r="R563" s="7">
        <f t="shared" si="252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262"/>
        <v>139145</v>
      </c>
      <c r="X563" s="104">
        <f t="shared" si="263"/>
        <v>143815</v>
      </c>
      <c r="Y563" s="2"/>
      <c r="Z563" s="78"/>
      <c r="AA563" s="78">
        <v>145486</v>
      </c>
      <c r="AB563" s="104">
        <f t="shared" si="205"/>
        <v>143815</v>
      </c>
      <c r="AC563" s="193">
        <f t="shared" si="258"/>
        <v>0</v>
      </c>
      <c r="AD563" s="193">
        <f t="shared" si="259"/>
        <v>0</v>
      </c>
      <c r="AE563" s="20">
        <f t="shared" si="260"/>
        <v>0</v>
      </c>
      <c r="AF563" s="20">
        <f t="shared" si="261"/>
        <v>0</v>
      </c>
      <c r="AG563" s="3">
        <f t="shared" si="257"/>
        <v>145486</v>
      </c>
    </row>
    <row r="564" spans="1:33" x14ac:dyDescent="0.3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8"/>
        <v>122.79144719101123</v>
      </c>
      <c r="O564" s="7">
        <f t="shared" si="249"/>
        <v>3982.3333333333335</v>
      </c>
      <c r="P564" s="7">
        <f t="shared" si="250"/>
        <v>3859.5418861423223</v>
      </c>
      <c r="Q564" s="7">
        <f t="shared" si="251"/>
        <v>1527.1252194756555</v>
      </c>
      <c r="R564" s="7">
        <f t="shared" si="252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262"/>
        <v>122538</v>
      </c>
      <c r="X564" s="104">
        <f t="shared" si="263"/>
        <v>144625</v>
      </c>
      <c r="Y564" s="2"/>
      <c r="Z564">
        <v>17939</v>
      </c>
      <c r="AA564" s="78">
        <v>143490</v>
      </c>
      <c r="AB564" s="104">
        <f t="shared" si="205"/>
        <v>144625</v>
      </c>
      <c r="AC564" s="193">
        <f t="shared" si="258"/>
        <v>0</v>
      </c>
      <c r="AD564" s="193">
        <f t="shared" si="259"/>
        <v>7.4422817631806387E-2</v>
      </c>
      <c r="AE564" s="20">
        <f t="shared" si="260"/>
        <v>0</v>
      </c>
      <c r="AF564" s="20">
        <f t="shared" si="261"/>
        <v>122.79144719101123</v>
      </c>
      <c r="AG564" s="3">
        <f t="shared" si="257"/>
        <v>143490</v>
      </c>
    </row>
    <row r="565" spans="1:33" x14ac:dyDescent="0.3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8"/>
        <v>0</v>
      </c>
      <c r="O565" s="7">
        <f t="shared" si="249"/>
        <v>3536.833333333333</v>
      </c>
      <c r="P565" s="7">
        <f t="shared" si="250"/>
        <v>3536.833333333333</v>
      </c>
      <c r="Q565" s="7">
        <f t="shared" si="251"/>
        <v>1521.3333333333333</v>
      </c>
      <c r="R565" s="7">
        <f t="shared" si="252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262"/>
        <v>129604</v>
      </c>
      <c r="X565" s="104">
        <f t="shared" si="263"/>
        <v>131045</v>
      </c>
      <c r="Z565" s="78"/>
      <c r="AA565" s="78">
        <v>125126</v>
      </c>
      <c r="AB565" s="104">
        <f t="shared" si="205"/>
        <v>131045</v>
      </c>
      <c r="AC565" s="193">
        <f t="shared" si="258"/>
        <v>0</v>
      </c>
      <c r="AD565" s="193">
        <f t="shared" si="259"/>
        <v>0</v>
      </c>
      <c r="AE565" s="20">
        <f t="shared" si="260"/>
        <v>0</v>
      </c>
      <c r="AF565" s="20">
        <f t="shared" si="261"/>
        <v>0</v>
      </c>
      <c r="AG565" s="3">
        <f t="shared" si="257"/>
        <v>125126</v>
      </c>
    </row>
    <row r="566" spans="1:33" x14ac:dyDescent="0.3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8"/>
        <v>0</v>
      </c>
      <c r="O566" s="7">
        <f t="shared" si="249"/>
        <v>0</v>
      </c>
      <c r="P566" s="7">
        <f t="shared" si="250"/>
        <v>0</v>
      </c>
      <c r="Q566" s="7">
        <f t="shared" si="251"/>
        <v>0</v>
      </c>
      <c r="R566" s="7">
        <f t="shared" si="252"/>
        <v>0</v>
      </c>
      <c r="T566" s="7"/>
      <c r="U566" s="191"/>
      <c r="V566" s="104"/>
      <c r="W566"/>
      <c r="X566"/>
      <c r="Z566" s="78"/>
    </row>
    <row r="567" spans="1:33" x14ac:dyDescent="0.3">
      <c r="A567"/>
      <c r="B567" s="2"/>
      <c r="C567" s="2"/>
      <c r="D567" s="2"/>
      <c r="E567" s="2"/>
      <c r="F567" s="2"/>
      <c r="G567" s="2"/>
      <c r="H567" s="2"/>
      <c r="I567"/>
      <c r="J567"/>
      <c r="K567"/>
      <c r="L567"/>
      <c r="M567"/>
      <c r="N567"/>
      <c r="O567"/>
      <c r="P567"/>
      <c r="Q567" s="223"/>
      <c r="R567" s="191"/>
      <c r="S567" s="191"/>
      <c r="T567" s="191"/>
      <c r="U567" s="191"/>
      <c r="V567"/>
      <c r="W567"/>
      <c r="X567"/>
      <c r="Z567" s="78"/>
    </row>
    <row r="568" spans="1:33" x14ac:dyDescent="0.3">
      <c r="A568"/>
      <c r="B568" s="2"/>
      <c r="C568" s="2"/>
      <c r="D568" s="2"/>
      <c r="E568" s="2"/>
      <c r="F568" s="2"/>
      <c r="G568" s="2"/>
      <c r="H568" s="2"/>
      <c r="I568"/>
      <c r="J568"/>
      <c r="K568"/>
      <c r="L568"/>
      <c r="M568"/>
      <c r="N568"/>
      <c r="O568"/>
      <c r="P568"/>
      <c r="Q568" s="223"/>
      <c r="R568" s="191"/>
      <c r="S568" s="191"/>
      <c r="T568" s="191"/>
      <c r="U568" s="191"/>
      <c r="V568"/>
      <c r="W568"/>
      <c r="X568"/>
    </row>
    <row r="569" spans="1:33" x14ac:dyDescent="0.3">
      <c r="A569"/>
      <c r="B569" s="2"/>
      <c r="C569" s="2"/>
      <c r="D569" s="2"/>
      <c r="E569" s="2"/>
      <c r="F569" s="2"/>
      <c r="G569" s="2"/>
      <c r="H569" s="2"/>
      <c r="I569"/>
      <c r="J569"/>
      <c r="K569"/>
      <c r="L569"/>
      <c r="M569"/>
      <c r="N569"/>
      <c r="O569"/>
      <c r="P569"/>
      <c r="Q569" s="223"/>
      <c r="R569" s="191"/>
      <c r="S569" s="191"/>
      <c r="T569" s="191"/>
      <c r="U569" s="191"/>
      <c r="V569"/>
      <c r="W569"/>
      <c r="X569"/>
    </row>
    <row r="570" spans="1:33" x14ac:dyDescent="0.3">
      <c r="A570"/>
      <c r="B570" s="2"/>
      <c r="C570" s="2"/>
      <c r="D570" s="2"/>
      <c r="E570" s="2"/>
      <c r="F570" s="2"/>
      <c r="G570" s="2"/>
      <c r="H570" s="2"/>
      <c r="I570"/>
      <c r="J570"/>
      <c r="K570"/>
      <c r="L570"/>
      <c r="M570"/>
      <c r="N570"/>
      <c r="O570"/>
      <c r="P570"/>
      <c r="Q570" s="223"/>
      <c r="R570" s="191"/>
      <c r="S570" s="191"/>
      <c r="T570" s="191"/>
      <c r="U570" s="191"/>
      <c r="V570"/>
      <c r="W570"/>
      <c r="X570"/>
    </row>
    <row r="571" spans="1:33" x14ac:dyDescent="0.3">
      <c r="A571"/>
      <c r="B571" s="2">
        <f>+B583-B591</f>
        <v>45</v>
      </c>
      <c r="C571" s="2">
        <f t="shared" ref="C571:H571" si="264">+C583-C591</f>
        <v>50.5</v>
      </c>
      <c r="D571" s="2">
        <f t="shared" si="264"/>
        <v>-7.5</v>
      </c>
      <c r="E571" s="2">
        <f t="shared" si="264"/>
        <v>54.5</v>
      </c>
      <c r="F571" s="2">
        <f t="shared" si="264"/>
        <v>58.75</v>
      </c>
      <c r="G571" s="2">
        <f t="shared" si="264"/>
        <v>66.416666666666671</v>
      </c>
      <c r="H571" s="2">
        <f t="shared" si="264"/>
        <v>0</v>
      </c>
      <c r="I571"/>
      <c r="J571"/>
      <c r="K571"/>
      <c r="L571"/>
      <c r="M571"/>
      <c r="N571"/>
      <c r="O571"/>
      <c r="P571"/>
      <c r="Q571" s="223"/>
      <c r="R571" s="191"/>
      <c r="S571" s="191"/>
      <c r="T571" s="191"/>
      <c r="U571" s="191"/>
      <c r="V571"/>
      <c r="W571"/>
      <c r="X571"/>
    </row>
    <row r="572" spans="1:33" x14ac:dyDescent="0.3">
      <c r="A572" s="225" t="s">
        <v>1493</v>
      </c>
      <c r="B572" s="225" t="s">
        <v>2579</v>
      </c>
      <c r="C572" s="225" t="s">
        <v>2580</v>
      </c>
      <c r="D572" s="225" t="s">
        <v>2581</v>
      </c>
      <c r="E572" s="225" t="s">
        <v>2582</v>
      </c>
      <c r="F572" s="225" t="s">
        <v>2583</v>
      </c>
      <c r="G572" s="225" t="s">
        <v>2584</v>
      </c>
      <c r="H572" s="225" t="s">
        <v>2585</v>
      </c>
      <c r="I572"/>
      <c r="J572"/>
      <c r="K572"/>
      <c r="L572"/>
      <c r="M572"/>
      <c r="N572"/>
      <c r="O572"/>
      <c r="P572"/>
      <c r="Q572" s="223"/>
      <c r="R572" s="191"/>
      <c r="S572" s="191"/>
      <c r="T572" s="191"/>
      <c r="U572" s="191"/>
      <c r="V572" s="164"/>
      <c r="W572"/>
      <c r="X572"/>
      <c r="Y572"/>
      <c r="Z572"/>
    </row>
    <row r="573" spans="1:33" x14ac:dyDescent="0.3">
      <c r="A573" s="48" t="s">
        <v>58</v>
      </c>
      <c r="B573" s="3">
        <v>67.5</v>
      </c>
      <c r="C573" s="3">
        <v>79.916666666666686</v>
      </c>
      <c r="D573" s="3">
        <v>67</v>
      </c>
      <c r="E573" s="3">
        <v>134.66666666666666</v>
      </c>
      <c r="F573" s="3">
        <v>118.5</v>
      </c>
      <c r="G573" s="3">
        <v>59.333333333333314</v>
      </c>
      <c r="H573" s="3">
        <v>0</v>
      </c>
      <c r="I573"/>
      <c r="J573"/>
      <c r="K573"/>
      <c r="L573"/>
      <c r="M573"/>
      <c r="N573"/>
      <c r="O573"/>
      <c r="P573"/>
      <c r="Q573" s="223"/>
      <c r="R573" s="191"/>
      <c r="S573" s="191"/>
      <c r="T573" s="191"/>
      <c r="U573" s="191"/>
      <c r="V573"/>
      <c r="W573"/>
      <c r="X573"/>
      <c r="Y573"/>
      <c r="Z573"/>
    </row>
    <row r="574" spans="1:33" ht="16.8" x14ac:dyDescent="0.3">
      <c r="A574" s="48" t="s">
        <v>59</v>
      </c>
      <c r="B574" s="3">
        <v>182.08333333333331</v>
      </c>
      <c r="C574" s="3">
        <v>417.66666666666669</v>
      </c>
      <c r="D574" s="3">
        <v>322.16666666666663</v>
      </c>
      <c r="E574" s="3">
        <v>271.25000000000006</v>
      </c>
      <c r="F574" s="3">
        <v>370.41666666666669</v>
      </c>
      <c r="G574" s="3">
        <v>350.41666666666669</v>
      </c>
      <c r="H574" s="3">
        <v>0</v>
      </c>
      <c r="I574"/>
      <c r="J574"/>
      <c r="K574"/>
      <c r="L574"/>
      <c r="M574"/>
      <c r="N574"/>
      <c r="O574"/>
      <c r="P574"/>
      <c r="Q574" s="223"/>
      <c r="R574" s="191"/>
      <c r="S574" s="191"/>
      <c r="T574" s="191"/>
      <c r="U574" s="191"/>
      <c r="V574" s="165"/>
      <c r="W574" s="165"/>
      <c r="X574" s="165"/>
      <c r="Y574" s="165"/>
      <c r="Z574" s="165"/>
    </row>
    <row r="575" spans="1:33" ht="16.8" x14ac:dyDescent="0.3">
      <c r="A575" s="48" t="s">
        <v>60</v>
      </c>
      <c r="B575" s="3">
        <v>85.5</v>
      </c>
      <c r="C575" s="3">
        <v>79.833333333333329</v>
      </c>
      <c r="D575" s="3">
        <v>82.5</v>
      </c>
      <c r="E575" s="3">
        <v>90</v>
      </c>
      <c r="F575" s="3">
        <v>94.333333333333329</v>
      </c>
      <c r="G575" s="3">
        <v>83.5</v>
      </c>
      <c r="H575" s="3">
        <v>0</v>
      </c>
      <c r="I575"/>
      <c r="J575"/>
      <c r="K575"/>
      <c r="L575"/>
      <c r="M575"/>
      <c r="N575"/>
      <c r="O575"/>
      <c r="P575"/>
      <c r="Q575" s="223"/>
      <c r="R575" s="164"/>
      <c r="S575"/>
      <c r="T575"/>
      <c r="U575"/>
      <c r="V575"/>
      <c r="W575" s="165"/>
      <c r="X575" s="165"/>
      <c r="Y575" s="165"/>
      <c r="Z575" s="81"/>
    </row>
    <row r="576" spans="1:33" ht="16.8" x14ac:dyDescent="0.3">
      <c r="A576" s="48" t="s">
        <v>61</v>
      </c>
      <c r="B576" s="3">
        <v>373.08333333333331</v>
      </c>
      <c r="C576" s="3">
        <v>338.08333333333331</v>
      </c>
      <c r="D576" s="3">
        <v>50.75</v>
      </c>
      <c r="E576" s="3">
        <v>397.16666666666663</v>
      </c>
      <c r="F576" s="3">
        <v>354.83333333333331</v>
      </c>
      <c r="G576" s="3">
        <v>232.33333333333331</v>
      </c>
      <c r="H576" s="3">
        <v>0</v>
      </c>
      <c r="I576"/>
      <c r="J576"/>
      <c r="K576"/>
      <c r="L576"/>
      <c r="M576"/>
      <c r="N576"/>
      <c r="O576"/>
      <c r="P576"/>
      <c r="Q576" s="223"/>
      <c r="R576"/>
      <c r="S576"/>
      <c r="T576"/>
      <c r="U576"/>
      <c r="V576"/>
      <c r="W576" s="165"/>
      <c r="X576" s="165"/>
      <c r="Y576" s="165"/>
      <c r="Z576" s="81"/>
    </row>
    <row r="577" spans="1:26" ht="16.8" x14ac:dyDescent="0.3">
      <c r="A577" s="48" t="s">
        <v>62</v>
      </c>
      <c r="B577" s="3">
        <v>255.5</v>
      </c>
      <c r="C577" s="3">
        <v>244.75</v>
      </c>
      <c r="D577" s="3">
        <v>277.25</v>
      </c>
      <c r="E577" s="3">
        <v>240.75</v>
      </c>
      <c r="F577" s="3">
        <v>245.16666666666666</v>
      </c>
      <c r="G577" s="3">
        <v>217.5</v>
      </c>
      <c r="H577" s="3">
        <v>0</v>
      </c>
      <c r="I577"/>
      <c r="J577"/>
      <c r="K577"/>
      <c r="L577"/>
      <c r="M577"/>
      <c r="N577"/>
      <c r="O577"/>
      <c r="P577"/>
      <c r="Q577" s="223"/>
      <c r="R577" s="165"/>
      <c r="S577" s="165"/>
      <c r="T577" s="165"/>
      <c r="U577" s="165"/>
      <c r="V577" s="165"/>
      <c r="W577" s="165"/>
      <c r="X577" s="165"/>
      <c r="Y577" s="165"/>
      <c r="Z577" s="81"/>
    </row>
    <row r="578" spans="1:26" ht="16.8" x14ac:dyDescent="0.3">
      <c r="A578" s="48" t="s">
        <v>63</v>
      </c>
      <c r="B578" s="3">
        <v>76.083333333333343</v>
      </c>
      <c r="C578" s="3">
        <v>63.833333333333336</v>
      </c>
      <c r="D578" s="3">
        <v>0</v>
      </c>
      <c r="E578" s="3">
        <v>58</v>
      </c>
      <c r="F578" s="3">
        <v>37.5</v>
      </c>
      <c r="G578" s="3">
        <v>0</v>
      </c>
      <c r="H578" s="3">
        <v>0</v>
      </c>
      <c r="I578"/>
      <c r="J578"/>
      <c r="K578"/>
      <c r="L578"/>
      <c r="M578"/>
      <c r="N578"/>
      <c r="O578"/>
      <c r="P578"/>
      <c r="Q578" s="223"/>
      <c r="R578" s="166"/>
      <c r="S578" s="165"/>
      <c r="T578" s="165"/>
      <c r="U578" s="165"/>
      <c r="V578" s="81"/>
      <c r="W578" s="165"/>
      <c r="X578" s="165"/>
      <c r="Y578" s="165"/>
      <c r="Z578" s="81"/>
    </row>
    <row r="579" spans="1:26" ht="16.8" x14ac:dyDescent="0.3">
      <c r="A579" s="48" t="s">
        <v>64</v>
      </c>
      <c r="B579" s="3">
        <v>47</v>
      </c>
      <c r="C579" s="3">
        <v>46.5</v>
      </c>
      <c r="D579" s="3">
        <v>30</v>
      </c>
      <c r="E579" s="3">
        <v>47</v>
      </c>
      <c r="F579" s="3">
        <v>47</v>
      </c>
      <c r="G579" s="3">
        <v>30</v>
      </c>
      <c r="H579" s="3">
        <v>0</v>
      </c>
      <c r="I579"/>
      <c r="J579"/>
      <c r="K579"/>
      <c r="L579"/>
      <c r="M579"/>
      <c r="N579"/>
      <c r="O579"/>
      <c r="P579"/>
      <c r="Q579" s="223"/>
      <c r="R579" s="166"/>
      <c r="S579" s="165"/>
      <c r="T579" s="165"/>
      <c r="U579" s="165"/>
      <c r="V579" s="81"/>
      <c r="W579" s="165"/>
      <c r="X579" s="165"/>
      <c r="Y579" s="165"/>
      <c r="Z579" s="81"/>
    </row>
    <row r="580" spans="1:26" ht="16.8" x14ac:dyDescent="0.3">
      <c r="A580" s="48" t="s">
        <v>65</v>
      </c>
      <c r="B580" s="3">
        <v>1711.8333333333333</v>
      </c>
      <c r="C580" s="3">
        <v>1629.3333333333333</v>
      </c>
      <c r="D580" s="3">
        <v>1709.1666666666665</v>
      </c>
      <c r="E580" s="3">
        <v>1655.9166666666667</v>
      </c>
      <c r="F580" s="3">
        <v>1649.9166666666667</v>
      </c>
      <c r="G580" s="3">
        <v>1521.3333333333333</v>
      </c>
      <c r="H580" s="3">
        <v>0</v>
      </c>
      <c r="I580"/>
      <c r="J580"/>
      <c r="K580"/>
      <c r="L580"/>
      <c r="M580"/>
      <c r="N580"/>
      <c r="O580"/>
      <c r="P580"/>
      <c r="Q580" s="223"/>
      <c r="R580" s="166"/>
      <c r="S580" s="165"/>
      <c r="T580" s="165"/>
      <c r="U580" s="165"/>
      <c r="V580" s="81"/>
      <c r="W580" s="165"/>
      <c r="X580" s="165"/>
      <c r="Y580" s="165"/>
      <c r="Z580" s="81"/>
    </row>
    <row r="581" spans="1:26" ht="16.8" x14ac:dyDescent="0.3">
      <c r="A581" s="48" t="s">
        <v>66</v>
      </c>
      <c r="B581" s="3">
        <v>119.5</v>
      </c>
      <c r="C581" s="3">
        <v>110.75</v>
      </c>
      <c r="D581" s="3">
        <v>97.5</v>
      </c>
      <c r="E581" s="3">
        <v>132.33333333333331</v>
      </c>
      <c r="F581" s="3">
        <v>127</v>
      </c>
      <c r="G581" s="3">
        <v>112</v>
      </c>
      <c r="H581" s="3">
        <v>0</v>
      </c>
      <c r="I581"/>
      <c r="J581" s="114"/>
      <c r="K581"/>
      <c r="L581"/>
      <c r="M581"/>
      <c r="N581"/>
      <c r="O581"/>
      <c r="P581"/>
      <c r="Q581" s="223"/>
      <c r="R581" s="166"/>
      <c r="S581" s="165"/>
      <c r="T581" s="165"/>
      <c r="U581" s="165"/>
      <c r="V581" s="81"/>
      <c r="W581" s="165"/>
      <c r="X581" s="165"/>
      <c r="Y581" s="165"/>
      <c r="Z581" s="81"/>
    </row>
    <row r="582" spans="1:26" ht="16.8" x14ac:dyDescent="0.3">
      <c r="A582" s="48" t="s">
        <v>67</v>
      </c>
      <c r="B582" s="3">
        <v>1570.4166666666667</v>
      </c>
      <c r="C582" s="3">
        <v>1292.25</v>
      </c>
      <c r="D582" s="3">
        <v>1140.0833333333333</v>
      </c>
      <c r="E582" s="3">
        <v>1407.4166666666665</v>
      </c>
      <c r="F582" s="3">
        <v>1377</v>
      </c>
      <c r="G582" s="3">
        <v>1192.75</v>
      </c>
      <c r="H582" s="3">
        <v>0</v>
      </c>
      <c r="I582"/>
      <c r="J582"/>
      <c r="K582"/>
      <c r="L582"/>
      <c r="M582"/>
      <c r="N582"/>
      <c r="O582"/>
      <c r="P582"/>
      <c r="Q582" s="223"/>
      <c r="R582" s="166"/>
      <c r="S582" s="165"/>
      <c r="T582" s="165"/>
      <c r="U582" s="165"/>
      <c r="V582" s="81"/>
      <c r="W582" s="165"/>
      <c r="X582" s="165"/>
      <c r="Y582" s="165"/>
      <c r="Z582" s="81"/>
    </row>
    <row r="583" spans="1:26" ht="16.8" x14ac:dyDescent="0.3">
      <c r="A583" s="48" t="s">
        <v>68</v>
      </c>
      <c r="B583" s="3">
        <v>53.5</v>
      </c>
      <c r="C583" s="3">
        <v>59</v>
      </c>
      <c r="D583" s="3">
        <v>15</v>
      </c>
      <c r="E583" s="3">
        <v>63</v>
      </c>
      <c r="F583" s="3">
        <v>67.25</v>
      </c>
      <c r="G583" s="3">
        <v>66.416666666666671</v>
      </c>
      <c r="H583" s="3">
        <v>0</v>
      </c>
      <c r="I583"/>
      <c r="J583"/>
      <c r="K583"/>
      <c r="L583"/>
      <c r="M583"/>
      <c r="N583"/>
      <c r="O583"/>
      <c r="P583"/>
      <c r="Q583" s="223"/>
      <c r="R583" s="166"/>
      <c r="S583" s="165"/>
      <c r="T583" s="165"/>
      <c r="U583" s="165"/>
      <c r="V583" s="81"/>
      <c r="W583"/>
      <c r="X583"/>
      <c r="Y583"/>
      <c r="Z583"/>
    </row>
    <row r="584" spans="1:26" ht="16.8" x14ac:dyDescent="0.3">
      <c r="A584" s="48" t="s">
        <v>1941</v>
      </c>
      <c r="B584" s="3">
        <v>286.83333333333331</v>
      </c>
      <c r="C584" s="3">
        <v>261.66666666666663</v>
      </c>
      <c r="D584" s="3">
        <v>254.16666666666666</v>
      </c>
      <c r="E584" s="3">
        <v>282</v>
      </c>
      <c r="F584" s="3">
        <v>268.33333333333337</v>
      </c>
      <c r="G584" s="3">
        <v>224.75</v>
      </c>
      <c r="H584" s="3">
        <v>0</v>
      </c>
      <c r="I584"/>
      <c r="J584"/>
      <c r="K584"/>
      <c r="L584"/>
      <c r="M584"/>
      <c r="N584"/>
      <c r="O584"/>
      <c r="P584"/>
      <c r="Q584"/>
      <c r="R584" s="165"/>
      <c r="S584" s="165"/>
      <c r="T584" s="165"/>
      <c r="U584" s="165"/>
      <c r="V584" s="81"/>
      <c r="W584"/>
      <c r="X584"/>
      <c r="Y584"/>
      <c r="Z584"/>
    </row>
    <row r="585" spans="1:26" x14ac:dyDescent="0.3">
      <c r="A585"/>
      <c r="B585"/>
      <c r="C585"/>
      <c r="D585"/>
      <c r="E585"/>
      <c r="F585"/>
      <c r="G585"/>
      <c r="H585"/>
      <c r="I585"/>
      <c r="R585"/>
      <c r="S585"/>
      <c r="T585"/>
      <c r="U585"/>
      <c r="V585"/>
      <c r="W585"/>
      <c r="X585"/>
      <c r="Y585"/>
      <c r="Z585"/>
    </row>
    <row r="586" spans="1:26" x14ac:dyDescent="0.3">
      <c r="A586" s="225" t="s">
        <v>2586</v>
      </c>
      <c r="B586" s="226">
        <v>46216</v>
      </c>
      <c r="C586" s="226">
        <v>46217</v>
      </c>
      <c r="D586" s="226">
        <v>46218</v>
      </c>
      <c r="E586" s="226">
        <v>46219</v>
      </c>
      <c r="F586" s="226">
        <v>46220</v>
      </c>
      <c r="G586" s="226">
        <v>46221</v>
      </c>
      <c r="H586"/>
      <c r="I586"/>
      <c r="R586" s="164"/>
      <c r="S586"/>
      <c r="T586"/>
      <c r="U586"/>
      <c r="V586"/>
      <c r="W586"/>
      <c r="X586"/>
      <c r="Y586"/>
      <c r="Z586"/>
    </row>
    <row r="587" spans="1:26" x14ac:dyDescent="0.3">
      <c r="A587" s="48" t="s">
        <v>58</v>
      </c>
      <c r="B587" s="3">
        <v>135</v>
      </c>
      <c r="C587" s="3">
        <v>105</v>
      </c>
      <c r="D587" s="3">
        <v>120</v>
      </c>
      <c r="E587" s="3">
        <v>75</v>
      </c>
      <c r="F587" s="3">
        <v>90</v>
      </c>
      <c r="G587" s="3">
        <v>114.5</v>
      </c>
      <c r="H587"/>
      <c r="I587"/>
      <c r="R587" s="163"/>
      <c r="S587"/>
      <c r="T587"/>
      <c r="U587"/>
      <c r="V587"/>
    </row>
    <row r="588" spans="1:26" x14ac:dyDescent="0.3">
      <c r="A588" s="48" t="s">
        <v>59</v>
      </c>
      <c r="B588" s="3">
        <v>117.5</v>
      </c>
      <c r="C588" s="3"/>
      <c r="D588" s="3">
        <v>7.5</v>
      </c>
      <c r="E588" s="3">
        <v>69</v>
      </c>
      <c r="F588" s="3">
        <v>7.5</v>
      </c>
      <c r="G588" s="3">
        <v>7.5</v>
      </c>
      <c r="H588"/>
      <c r="I588"/>
      <c r="R588" s="163"/>
      <c r="S588"/>
      <c r="T588"/>
      <c r="U588"/>
      <c r="V588"/>
    </row>
    <row r="589" spans="1:26" x14ac:dyDescent="0.3">
      <c r="A589" s="48" t="s">
        <v>61</v>
      </c>
      <c r="B589" s="3"/>
      <c r="C589" s="3"/>
      <c r="D589" s="3">
        <v>135</v>
      </c>
      <c r="E589" s="3"/>
      <c r="F589" s="3"/>
      <c r="G589" s="3"/>
      <c r="H589"/>
      <c r="I589"/>
    </row>
    <row r="590" spans="1:26" x14ac:dyDescent="0.3">
      <c r="A590" s="48" t="s">
        <v>67</v>
      </c>
      <c r="B590" s="3">
        <v>7.5</v>
      </c>
      <c r="C590" s="3">
        <v>7.5</v>
      </c>
      <c r="D590" s="3"/>
      <c r="E590" s="3"/>
      <c r="F590" s="3"/>
      <c r="G590" s="3"/>
      <c r="H590"/>
      <c r="I590"/>
    </row>
    <row r="591" spans="1:26" x14ac:dyDescent="0.3">
      <c r="A591" s="48" t="s">
        <v>68</v>
      </c>
      <c r="B591" s="3">
        <v>8.5</v>
      </c>
      <c r="C591" s="3">
        <v>8.5</v>
      </c>
      <c r="D591" s="3">
        <v>22.5</v>
      </c>
      <c r="E591" s="3">
        <v>8.5</v>
      </c>
      <c r="F591" s="3">
        <v>8.5</v>
      </c>
      <c r="G591" s="3"/>
      <c r="H591"/>
      <c r="I591"/>
    </row>
    <row r="592" spans="1:26" x14ac:dyDescent="0.3">
      <c r="A592"/>
      <c r="B592"/>
      <c r="C592"/>
      <c r="D592"/>
      <c r="E592"/>
      <c r="F592"/>
      <c r="G592"/>
      <c r="H592"/>
      <c r="I592"/>
    </row>
    <row r="593" spans="1:9" x14ac:dyDescent="0.3">
      <c r="A593" s="225" t="s">
        <v>2587</v>
      </c>
      <c r="B593" s="226">
        <v>46216</v>
      </c>
      <c r="C593" s="226">
        <v>46217</v>
      </c>
      <c r="D593" s="226">
        <v>46218</v>
      </c>
      <c r="E593" s="226">
        <v>46219</v>
      </c>
      <c r="F593" s="226">
        <v>46220</v>
      </c>
      <c r="G593" s="226">
        <v>46221</v>
      </c>
      <c r="H593"/>
      <c r="I593"/>
    </row>
    <row r="594" spans="1:9" x14ac:dyDescent="0.3">
      <c r="A594" s="48" t="s">
        <v>2574</v>
      </c>
      <c r="B594" s="3"/>
      <c r="C594" s="3"/>
      <c r="D594" s="3">
        <v>45</v>
      </c>
      <c r="E594" s="3"/>
      <c r="F594" s="3"/>
      <c r="G594" s="3"/>
      <c r="H594"/>
      <c r="I594"/>
    </row>
    <row r="595" spans="1:9" x14ac:dyDescent="0.3">
      <c r="A595" s="48" t="s">
        <v>2575</v>
      </c>
      <c r="B595" s="3">
        <v>7.5</v>
      </c>
      <c r="C595" s="3"/>
      <c r="D595" s="3">
        <v>7.5</v>
      </c>
      <c r="E595" s="3">
        <v>7.5</v>
      </c>
      <c r="F595" s="3">
        <v>7.5</v>
      </c>
      <c r="G595" s="3">
        <v>7.5</v>
      </c>
      <c r="H595"/>
      <c r="I595"/>
    </row>
    <row r="596" spans="1:9" x14ac:dyDescent="0.3">
      <c r="A596" s="48" t="s">
        <v>2576</v>
      </c>
      <c r="B596" s="3">
        <v>15</v>
      </c>
      <c r="C596" s="3"/>
      <c r="D596" s="3">
        <v>157.5</v>
      </c>
      <c r="E596" s="3"/>
      <c r="F596" s="3"/>
      <c r="G596" s="3"/>
      <c r="H596"/>
      <c r="I596"/>
    </row>
    <row r="597" spans="1:9" x14ac:dyDescent="0.3">
      <c r="A597" s="48" t="s">
        <v>2577</v>
      </c>
      <c r="B597" s="3">
        <v>230</v>
      </c>
      <c r="C597" s="3"/>
      <c r="D597" s="3">
        <v>30</v>
      </c>
      <c r="E597" s="3">
        <v>106.5</v>
      </c>
      <c r="F597" s="3"/>
      <c r="G597" s="3"/>
      <c r="H597"/>
      <c r="I597"/>
    </row>
    <row r="598" spans="1:9" x14ac:dyDescent="0.3">
      <c r="A598" s="48" t="s">
        <v>2578</v>
      </c>
      <c r="B598" s="3"/>
      <c r="C598" s="3">
        <v>105</v>
      </c>
      <c r="D598" s="3">
        <v>45</v>
      </c>
      <c r="E598" s="3">
        <v>30</v>
      </c>
      <c r="F598" s="3">
        <v>90</v>
      </c>
      <c r="G598" s="3">
        <v>114.5</v>
      </c>
      <c r="H598"/>
      <c r="I598"/>
    </row>
    <row r="599" spans="1:9" x14ac:dyDescent="0.3">
      <c r="A599"/>
      <c r="B599"/>
      <c r="C599"/>
      <c r="D599"/>
      <c r="E599"/>
      <c r="F599"/>
      <c r="G599"/>
      <c r="H599"/>
      <c r="I599"/>
    </row>
    <row r="600" spans="1:9" x14ac:dyDescent="0.3">
      <c r="A600"/>
      <c r="B600"/>
      <c r="C600"/>
      <c r="D600"/>
      <c r="E600"/>
      <c r="F600"/>
      <c r="G600"/>
      <c r="H600"/>
      <c r="I600"/>
    </row>
    <row r="601" spans="1:9" x14ac:dyDescent="0.3">
      <c r="A601"/>
      <c r="B601"/>
      <c r="C601"/>
      <c r="D601"/>
      <c r="E601"/>
      <c r="F601"/>
      <c r="G601"/>
      <c r="H601"/>
      <c r="I601"/>
    </row>
    <row r="602" spans="1:9" x14ac:dyDescent="0.3">
      <c r="A602"/>
      <c r="B602"/>
      <c r="C602"/>
      <c r="D602"/>
      <c r="E602"/>
      <c r="F602"/>
      <c r="G602"/>
      <c r="H602"/>
      <c r="I602"/>
    </row>
    <row r="603" spans="1:9" x14ac:dyDescent="0.3">
      <c r="A603"/>
      <c r="B603"/>
      <c r="C603"/>
      <c r="D603"/>
      <c r="E603"/>
      <c r="F603"/>
      <c r="G603"/>
      <c r="H603"/>
      <c r="I603"/>
    </row>
    <row r="604" spans="1:9" x14ac:dyDescent="0.3">
      <c r="A604"/>
      <c r="B604"/>
      <c r="C604"/>
      <c r="D604"/>
      <c r="E604"/>
      <c r="F604"/>
      <c r="G604"/>
      <c r="H604"/>
      <c r="I604"/>
    </row>
    <row r="605" spans="1:9" x14ac:dyDescent="0.3">
      <c r="A605"/>
      <c r="B605"/>
      <c r="C605"/>
      <c r="D605"/>
      <c r="E605"/>
      <c r="F605"/>
      <c r="G605"/>
      <c r="H605"/>
      <c r="I605"/>
    </row>
    <row r="606" spans="1:9" x14ac:dyDescent="0.3">
      <c r="A606"/>
      <c r="B606"/>
      <c r="C606"/>
      <c r="D606"/>
      <c r="E606"/>
      <c r="F606"/>
      <c r="G606"/>
      <c r="H606"/>
      <c r="I606"/>
    </row>
    <row r="607" spans="1:9" x14ac:dyDescent="0.3">
      <c r="A607"/>
      <c r="B607"/>
      <c r="C607"/>
      <c r="D607"/>
      <c r="E607"/>
      <c r="F607"/>
      <c r="G607"/>
      <c r="H607"/>
      <c r="I607"/>
    </row>
    <row r="608" spans="1:9" x14ac:dyDescent="0.3">
      <c r="A608"/>
      <c r="B608"/>
      <c r="C608"/>
      <c r="D608"/>
      <c r="E608"/>
      <c r="F608"/>
      <c r="G608"/>
      <c r="H608"/>
      <c r="I608"/>
    </row>
    <row r="609" spans="1:9" x14ac:dyDescent="0.3">
      <c r="A609"/>
      <c r="B609"/>
      <c r="C609"/>
      <c r="D609"/>
      <c r="E609"/>
      <c r="F609"/>
      <c r="G609"/>
      <c r="H609"/>
      <c r="I609"/>
    </row>
    <row r="610" spans="1:9" x14ac:dyDescent="0.3">
      <c r="A610"/>
      <c r="B610"/>
      <c r="C610"/>
      <c r="D610"/>
      <c r="E610"/>
      <c r="F610"/>
      <c r="G610"/>
      <c r="H610"/>
      <c r="I610"/>
    </row>
    <row r="611" spans="1:9" x14ac:dyDescent="0.3">
      <c r="A611"/>
      <c r="B611"/>
      <c r="C611"/>
      <c r="D611"/>
      <c r="E611"/>
      <c r="F611"/>
      <c r="G611"/>
      <c r="H611"/>
      <c r="I611"/>
    </row>
    <row r="612" spans="1:9" x14ac:dyDescent="0.3">
      <c r="A612"/>
      <c r="B612"/>
      <c r="C612"/>
      <c r="D612"/>
      <c r="E612"/>
      <c r="F612"/>
      <c r="G612"/>
      <c r="H612"/>
      <c r="I612"/>
    </row>
    <row r="613" spans="1:9" x14ac:dyDescent="0.3">
      <c r="A613"/>
      <c r="B613"/>
      <c r="C613"/>
      <c r="D613"/>
      <c r="E613"/>
      <c r="F613"/>
      <c r="G613"/>
      <c r="H613"/>
      <c r="I613"/>
    </row>
    <row r="614" spans="1:9" x14ac:dyDescent="0.3">
      <c r="A614"/>
      <c r="B614"/>
      <c r="C614"/>
      <c r="D614"/>
      <c r="E614"/>
      <c r="F614"/>
      <c r="G614"/>
      <c r="H614"/>
      <c r="I614"/>
    </row>
    <row r="615" spans="1:9" x14ac:dyDescent="0.3">
      <c r="A615"/>
      <c r="B615"/>
      <c r="C615"/>
      <c r="D615"/>
      <c r="E615"/>
      <c r="F615"/>
      <c r="G615"/>
      <c r="H615"/>
      <c r="I615"/>
    </row>
    <row r="616" spans="1:9" x14ac:dyDescent="0.3">
      <c r="A616"/>
      <c r="B616"/>
      <c r="C616"/>
      <c r="D616"/>
      <c r="E616"/>
      <c r="F616"/>
      <c r="G616"/>
      <c r="H616"/>
      <c r="I61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 x14ac:dyDescent="0.3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4" activePane="bottomLeft" state="frozen"/>
      <selection pane="bottomLeft" activeCell="AC33" sqref="AC33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 x14ac:dyDescent="0.3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 x14ac:dyDescent="0.3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 x14ac:dyDescent="0.3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tabSelected="1"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7" t="s">
        <v>59</v>
      </c>
      <c r="C1" s="227"/>
      <c r="D1" s="227"/>
      <c r="F1" s="227" t="s">
        <v>67</v>
      </c>
      <c r="G1" s="227"/>
      <c r="H1" s="227"/>
      <c r="J1" s="227" t="s">
        <v>65</v>
      </c>
      <c r="K1" s="227"/>
      <c r="L1" s="227"/>
      <c r="N1" s="227" t="s">
        <v>454</v>
      </c>
      <c r="O1" s="227"/>
      <c r="P1" s="227"/>
      <c r="R1" s="227" t="s">
        <v>62</v>
      </c>
      <c r="S1" s="227"/>
      <c r="T1" s="227"/>
      <c r="V1" s="227" t="s">
        <v>58</v>
      </c>
      <c r="W1" s="227"/>
      <c r="X1" s="227"/>
      <c r="Z1" s="227" t="s">
        <v>2358</v>
      </c>
      <c r="AA1" s="227"/>
      <c r="AB1" s="227"/>
      <c r="AD1" s="227" t="s">
        <v>428</v>
      </c>
      <c r="AE1" s="227"/>
      <c r="AF1" s="227"/>
      <c r="AH1" s="227" t="s">
        <v>2359</v>
      </c>
      <c r="AI1" s="227"/>
      <c r="AJ1" s="227"/>
    </row>
    <row r="2" spans="1:36" x14ac:dyDescent="0.3">
      <c r="A2" t="s">
        <v>30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26. Hafta</v>
      </c>
      <c r="C3" s="2">
        <f>+VLOOKUP(B3,'Haftalık Genel'!A:AA,2,0)</f>
        <v>557.33253387696368</v>
      </c>
      <c r="D3" s="2">
        <f>+VLOOKUP(B3,'Haftalık Genel'!A:C,3,0)</f>
        <v>344</v>
      </c>
      <c r="F3" t="str">
        <f t="shared" ref="F3:F4" si="1">+LEFT(F4,2)-1&amp;". Hafta"</f>
        <v>26. Hafta</v>
      </c>
      <c r="G3" s="2">
        <f>+VLOOKUP(F3,'Haftalık Genel'!D:F,2,0)</f>
        <v>92.542765769942662</v>
      </c>
      <c r="H3" s="2">
        <f>+VLOOKUP(F3,'Haftalık Genel'!D:F,3,0)</f>
        <v>97</v>
      </c>
      <c r="J3" t="str">
        <f t="shared" ref="J3:J4" si="2">+LEFT(J4,2)-1&amp;". Hafta"</f>
        <v>26. Hafta</v>
      </c>
      <c r="K3" s="2">
        <f>+VLOOKUP(J3,'Haftalık Genel'!G:I,2,0)</f>
        <v>83.594664940074225</v>
      </c>
      <c r="L3" s="2">
        <f>+VLOOKUP(J3,'Haftalık Genel'!G:I,3,0)</f>
        <v>95</v>
      </c>
      <c r="N3" t="str">
        <f t="shared" ref="N3:N4" si="3">+LEFT(N4,2)-1&amp;". Hafta"</f>
        <v>26. Hafta</v>
      </c>
      <c r="O3" s="2">
        <f>+VLOOKUP(N3,'Haftalık Genel'!J:L,2,0)</f>
        <v>85.564866681604315</v>
      </c>
      <c r="P3" s="2">
        <f>+VLOOKUP(N3,'Haftalık Genel'!J:L,3,0)</f>
        <v>72</v>
      </c>
      <c r="R3" t="str">
        <f t="shared" ref="R3:R4" si="4">+LEFT(R4,2)-1&amp;". Hafta"</f>
        <v>26. Hafta</v>
      </c>
      <c r="S3" s="2">
        <f>+VLOOKUP(R3,'Haftalık Genel'!M:O,2,0)</f>
        <v>121.73143029450195</v>
      </c>
      <c r="T3" s="2">
        <f>+VLOOKUP(R3,'Haftalık Genel'!M:O,3,0)</f>
        <v>138</v>
      </c>
      <c r="V3" t="str">
        <f t="shared" ref="V3:V4" si="5">+LEFT(V4,2)-1&amp;". Hafta"</f>
        <v>26. Hafta</v>
      </c>
      <c r="W3" s="2">
        <f>+VLOOKUP(V3,'Haftalık Genel'!P:R,2,0)</f>
        <v>800.99959111353417</v>
      </c>
      <c r="X3" s="2">
        <f>+VLOOKUP(V3,'Haftalık Genel'!P:R,3,0)</f>
        <v>452</v>
      </c>
      <c r="Z3" t="str">
        <f t="shared" ref="Z3:Z4" si="6">+LEFT(Z4,2)-1&amp;". Hafta"</f>
        <v>26. Hafta</v>
      </c>
      <c r="AA3" s="2">
        <f>+VLOOKUP(Z3,'Haftalık Genel'!S:U,2,0)</f>
        <v>24.80210304942166</v>
      </c>
      <c r="AB3" s="2">
        <f>+VLOOKUP(Z3,'Haftalık Genel'!S:U,3,0)</f>
        <v>29</v>
      </c>
      <c r="AD3" t="str">
        <f t="shared" ref="AD3:AD4" si="7">+LEFT(AD4,2)-1&amp;". Hafta"</f>
        <v>26. Hafta</v>
      </c>
      <c r="AE3" s="2">
        <f>+VLOOKUP(AD3,'Haftalık Genel'!V:X,2,0)</f>
        <v>35.2568424197162</v>
      </c>
      <c r="AF3" s="2">
        <f>+VLOOKUP(AD3,'Haftalık Genel'!V:X,3,0)</f>
        <v>39</v>
      </c>
      <c r="AH3" t="str">
        <f t="shared" ref="AH3:AH4" si="8">+LEFT(AH4,2)-1&amp;". Hafta"</f>
        <v>26. Hafta</v>
      </c>
      <c r="AI3" s="2">
        <f>+VLOOKUP(AH3,'Haftalık Genel'!Y:AA,2,0)</f>
        <v>34.679641017358485</v>
      </c>
      <c r="AJ3" s="2">
        <f>+VLOOKUP(AH3,'Haftalık Genel'!Y:AA,3,0)</f>
        <v>39</v>
      </c>
    </row>
    <row r="4" spans="1:36" x14ac:dyDescent="0.3">
      <c r="B4" t="str">
        <f t="shared" si="0"/>
        <v>27. Hafta</v>
      </c>
      <c r="C4" s="2">
        <f>+VLOOKUP(B4,'Haftalık Genel'!A:AA,2,0)</f>
        <v>491.13978954115703</v>
      </c>
      <c r="D4" s="2">
        <f>+VLOOKUP(B4,'Haftalık Genel'!A:C,3,0)</f>
        <v>315.57278471353129</v>
      </c>
      <c r="F4" t="str">
        <f t="shared" si="1"/>
        <v>27. Hafta</v>
      </c>
      <c r="G4" s="2">
        <f>+VLOOKUP(F4,'Haftalık Genel'!D:F,2,0)</f>
        <v>101.28627030619111</v>
      </c>
      <c r="H4" s="2">
        <f>+VLOOKUP(F4,'Haftalık Genel'!D:F,3,0)</f>
        <v>95.111699010446131</v>
      </c>
      <c r="J4" t="str">
        <f t="shared" si="2"/>
        <v>27. Hafta</v>
      </c>
      <c r="K4" s="2">
        <f>+VLOOKUP(J4,'Haftalık Genel'!G:I,2,0)</f>
        <v>84.817354657887819</v>
      </c>
      <c r="L4" s="2">
        <f>+VLOOKUP(J4,'Haftalık Genel'!G:I,3,0)</f>
        <v>84.968682000874423</v>
      </c>
      <c r="N4" t="str">
        <f t="shared" si="3"/>
        <v>27. Hafta</v>
      </c>
      <c r="O4" s="2">
        <f>+VLOOKUP(N4,'Haftalık Genel'!J:L,2,0)</f>
        <v>70.761433014629645</v>
      </c>
      <c r="P4" s="2">
        <f>+VLOOKUP(N4,'Haftalık Genel'!J:L,3,0)</f>
        <v>42.972089402868903</v>
      </c>
      <c r="R4" t="str">
        <f t="shared" si="4"/>
        <v>27. Hafta</v>
      </c>
      <c r="S4" s="2">
        <f>+VLOOKUP(R4,'Haftalık Genel'!M:O,2,0)</f>
        <v>107.06052788251637</v>
      </c>
      <c r="T4" s="2">
        <f>+VLOOKUP(R4,'Haftalık Genel'!M:O,3,0)</f>
        <v>133.83390729972336</v>
      </c>
      <c r="V4" t="str">
        <f t="shared" si="5"/>
        <v>27. Hafta</v>
      </c>
      <c r="W4" s="2">
        <f>+VLOOKUP(V4,'Haftalık Genel'!P:R,2,0)</f>
        <v>835.55481383437882</v>
      </c>
      <c r="X4" s="2">
        <f>+VLOOKUP(V4,'Haftalık Genel'!P:R,3,0)</f>
        <v>436.264800861141</v>
      </c>
      <c r="Z4" t="str">
        <f t="shared" si="6"/>
        <v>27. Hafta</v>
      </c>
      <c r="AA4" s="2">
        <f>+VLOOKUP(Z4,'Haftalık Genel'!S:U,2,0)</f>
        <v>21.577136911922487</v>
      </c>
      <c r="AB4" s="2">
        <f>+VLOOKUP(Z4,'Haftalık Genel'!S:U,3,0)</f>
        <v>28.377116355897201</v>
      </c>
      <c r="AD4" t="str">
        <f t="shared" si="7"/>
        <v>27. Hafta</v>
      </c>
      <c r="AE4" s="2">
        <f>+VLOOKUP(AD4,'Haftalık Genel'!V:X,2,0)</f>
        <v>36.559598876642639</v>
      </c>
      <c r="AF4" s="2">
        <f>+VLOOKUP(AD4,'Haftalık Genel'!V:X,3,0)</f>
        <v>37.237702782254551</v>
      </c>
      <c r="AH4" t="str">
        <f t="shared" si="8"/>
        <v>27. Hafta</v>
      </c>
      <c r="AI4" s="2">
        <f>+VLOOKUP(AH4,'Haftalık Genel'!Y:AA,2,0)</f>
        <v>35.436875249447823</v>
      </c>
      <c r="AJ4" s="2">
        <f>+VLOOKUP(AH4,'Haftalık Genel'!Y:AA,3,0)</f>
        <v>36.246684815169168</v>
      </c>
    </row>
    <row r="5" spans="1:36" x14ac:dyDescent="0.3">
      <c r="B5" t="str">
        <f>+LEFT(B6,2)-1&amp;". Hafta"</f>
        <v>28. Hafta</v>
      </c>
      <c r="C5" s="2">
        <f>+VLOOKUP(B5,'Haftalık Genel'!A:AA,2,0)</f>
        <v>414.33429651033572</v>
      </c>
      <c r="D5" s="2">
        <f>+VLOOKUP(B5,'Haftalık Genel'!A:C,3,0)</f>
        <v>330.00856804302254</v>
      </c>
      <c r="F5" t="str">
        <f>+LEFT(F6,2)-1&amp;". Hafta"</f>
        <v>28. Hafta</v>
      </c>
      <c r="G5" s="2">
        <f>+VLOOKUP(F5,'Haftalık Genel'!D:F,2,0)</f>
        <v>86.810580104548052</v>
      </c>
      <c r="H5" s="2">
        <f>+VLOOKUP(F5,'Haftalık Genel'!D:F,3,0)</f>
        <v>81.929788934347528</v>
      </c>
      <c r="J5" t="str">
        <f>+LEFT(J6,2)-1&amp;". Hafta"</f>
        <v>28. Hafta</v>
      </c>
      <c r="K5" s="2">
        <f>+VLOOKUP(J5,'Haftalık Genel'!G:I,2,0)</f>
        <v>84.524966114735264</v>
      </c>
      <c r="L5" s="2">
        <f>+VLOOKUP(J5,'Haftalık Genel'!G:I,3,0)</f>
        <v>79.015391335683219</v>
      </c>
      <c r="N5" t="str">
        <f>+LEFT(N6,2)-1&amp;". Hafta"</f>
        <v>28. Hafta</v>
      </c>
      <c r="O5" s="2">
        <f>+VLOOKUP(N5,'Haftalık Genel'!J:L,2,0)</f>
        <v>86.318463810930567</v>
      </c>
      <c r="P5" s="2">
        <f>+VLOOKUP(N5,'Haftalık Genel'!J:L,3,0)</f>
        <v>56.837106792226002</v>
      </c>
      <c r="R5" t="str">
        <f>+LEFT(R6,2)-1&amp;". Hafta"</f>
        <v>28. Hafta</v>
      </c>
      <c r="S5" s="2">
        <f>+VLOOKUP(R5,'Haftalık Genel'!M:O,2,0)</f>
        <v>121.47036135999527</v>
      </c>
      <c r="T5" s="2">
        <f>+VLOOKUP(R5,'Haftalık Genel'!M:O,3,0)</f>
        <v>129.60719826248837</v>
      </c>
      <c r="V5" t="str">
        <f>+LEFT(V6,2)-1&amp;". Hafta"</f>
        <v>28. Hafta</v>
      </c>
      <c r="W5" s="2">
        <f>+VLOOKUP(V5,'Haftalık Genel'!P:R,2,0)</f>
        <v>910.12346000912578</v>
      </c>
      <c r="X5" s="2">
        <f>+VLOOKUP(V5,'Haftalık Genel'!P:R,3,0)</f>
        <v>500.55560218212338</v>
      </c>
      <c r="Z5" t="str">
        <f>+LEFT(Z6,2)-1&amp;". Hafta"</f>
        <v>28. Hafta</v>
      </c>
      <c r="AA5" s="2">
        <f>+VLOOKUP(Z5,'Haftalık Genel'!S:U,2,0)</f>
        <v>20.271988767425533</v>
      </c>
      <c r="AB5" s="2">
        <f>+VLOOKUP(Z5,'Haftalık Genel'!S:U,3,0)</f>
        <v>28.682012772826166</v>
      </c>
      <c r="AD5" t="str">
        <f>+LEFT(AD6,2)-1&amp;". Hafta"</f>
        <v>28. Hafta</v>
      </c>
      <c r="AE5" s="2">
        <f>+VLOOKUP(AD5,'Haftalık Genel'!V:X,2,0)</f>
        <v>35.079841700337639</v>
      </c>
      <c r="AF5" s="2">
        <f>+VLOOKUP(AD5,'Haftalık Genel'!V:X,3,0)</f>
        <v>34</v>
      </c>
      <c r="AH5" t="str">
        <f>+LEFT(AH6,2)-1&amp;". Hafta"</f>
        <v>28. Hafta</v>
      </c>
      <c r="AI5" s="2">
        <f>+VLOOKUP(AH5,'Haftalık Genel'!Y:AA,2,0)</f>
        <v>34.889850930824025</v>
      </c>
      <c r="AJ5" s="2">
        <f>+VLOOKUP(AH5,'Haftalık Genel'!Y:AA,3,0)</f>
        <v>32.775259394824374</v>
      </c>
    </row>
    <row r="6" spans="1:36" x14ac:dyDescent="0.3">
      <c r="B6" t="str">
        <f>+$A$2</f>
        <v>29. Hafta</v>
      </c>
      <c r="C6" s="2">
        <f>+VLOOKUP(B6,'Haftalık Genel'!A:AA,2,0)</f>
        <v>396.48229493500673</v>
      </c>
      <c r="D6" s="2">
        <f>+VLOOKUP(B6,'Haftalık Genel'!A:C,3,0)</f>
        <v>333.76698014629045</v>
      </c>
      <c r="F6" t="str">
        <f>+$A$2</f>
        <v>29. Hafta</v>
      </c>
      <c r="G6" s="2">
        <f>+VLOOKUP(F6,'Haftalık Genel'!D:F,2,0)</f>
        <v>104.49409381180764</v>
      </c>
      <c r="H6" s="2">
        <f>+VLOOKUP(F6,'Haftalık Genel'!D:F,3,0)</f>
        <v>101.04244581720845</v>
      </c>
      <c r="J6" t="str">
        <f>+$A$2</f>
        <v>29. Hafta</v>
      </c>
      <c r="K6" s="2">
        <f>+VLOOKUP(J6,'Haftalık Genel'!G:I,2,0)</f>
        <v>90.162911452064193</v>
      </c>
      <c r="L6" s="2">
        <f>+VLOOKUP(J6,'Haftalık Genel'!G:I,3,0)</f>
        <v>81.000975227608706</v>
      </c>
      <c r="N6" t="str">
        <f>+$A$2</f>
        <v>29. Hafta</v>
      </c>
      <c r="O6" s="2">
        <f>+VLOOKUP(N6,'Haftalık Genel'!J:L,2,0)</f>
        <v>81.195652173913047</v>
      </c>
      <c r="P6" s="2">
        <f>+VLOOKUP(N6,'Haftalık Genel'!J:L,3,0)</f>
        <v>67.80879723447373</v>
      </c>
      <c r="R6" t="str">
        <f>+$A$2</f>
        <v>29. Hafta</v>
      </c>
      <c r="S6" s="2">
        <f>+VLOOKUP(R6,'Haftalık Genel'!M:O,2,0)</f>
        <v>122.04229758478289</v>
      </c>
      <c r="T6" s="2">
        <f>+VLOOKUP(R6,'Haftalık Genel'!M:O,3,0)</f>
        <v>116</v>
      </c>
      <c r="V6" t="str">
        <f>+$A$2</f>
        <v>29. Hafta</v>
      </c>
      <c r="W6" s="2">
        <f>+VLOOKUP(V6,'Haftalık Genel'!P:R,2,0)</f>
        <v>745.38175543179852</v>
      </c>
      <c r="X6" s="2">
        <f>+VLOOKUP(V6,'Haftalık Genel'!P:R,3,0)</f>
        <v>0</v>
      </c>
      <c r="Z6" t="str">
        <f>+$A$2</f>
        <v>29. Hafta</v>
      </c>
      <c r="AA6" s="2">
        <f>+VLOOKUP(Z6,'Haftalık Genel'!S:U,2,0)</f>
        <v>22.612023798952137</v>
      </c>
      <c r="AB6" s="2">
        <f>+VLOOKUP(Z6,'Haftalık Genel'!S:U,3,0)</f>
        <v>0</v>
      </c>
      <c r="AD6" t="str">
        <f>+$A$2</f>
        <v>29. Hafta</v>
      </c>
      <c r="AE6" s="2">
        <f>+VLOOKUP(AD6,'Haftalık Genel'!V:X,2,0)</f>
        <v>38.135557205222334</v>
      </c>
      <c r="AF6" s="2">
        <f>+VLOOKUP(AD6,'Haftalık Genel'!V:X,3,0)</f>
        <v>36.754240236583456</v>
      </c>
      <c r="AH6" t="str">
        <f>+$A$2</f>
        <v>29. Hafta</v>
      </c>
      <c r="AI6" s="2">
        <f>+VLOOKUP(AH6,'Haftalık Genel'!Y:AA,2,0)</f>
        <v>34.845882361643326</v>
      </c>
      <c r="AJ6" s="2">
        <f>+VLOOKUP(AH6,'Haftalık Genel'!Y:AA,3,0)</f>
        <v>35.510458123908016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GJ1" workbookViewId="0">
      <selection activeCell="GN12" sqref="GN12:GN15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77251.29166666673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3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26850047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347.56761240777502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GT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 t="str">
        <f t="shared" ref="GU11:IZ11" si="19">+IFERROR(GU10/GU9,"")</f>
        <v/>
      </c>
      <c r="GV11" s="2" t="str">
        <f t="shared" si="19"/>
        <v/>
      </c>
      <c r="GW11" s="2" t="str">
        <f t="shared" si="19"/>
        <v/>
      </c>
      <c r="GX11" s="2" t="str">
        <f t="shared" si="19"/>
        <v/>
      </c>
      <c r="GY11" s="2" t="str">
        <f t="shared" si="19"/>
        <v/>
      </c>
      <c r="GZ11" s="2" t="str">
        <f t="shared" si="19"/>
        <v/>
      </c>
      <c r="HA11" s="2" t="str">
        <f t="shared" si="19"/>
        <v/>
      </c>
      <c r="HB11" s="2" t="str">
        <f t="shared" si="19"/>
        <v/>
      </c>
      <c r="HC11" s="2" t="str">
        <f t="shared" si="19"/>
        <v/>
      </c>
      <c r="HD11" s="2" t="str">
        <f t="shared" si="19"/>
        <v/>
      </c>
      <c r="HE11" s="2" t="str">
        <f t="shared" si="19"/>
        <v/>
      </c>
      <c r="HF11" s="2" t="str">
        <f t="shared" si="19"/>
        <v/>
      </c>
      <c r="HG11" s="2" t="str">
        <f t="shared" si="19"/>
        <v/>
      </c>
      <c r="HH11" s="2" t="str">
        <f t="shared" si="19"/>
        <v/>
      </c>
      <c r="HI11" s="2" t="str">
        <f t="shared" si="19"/>
        <v/>
      </c>
      <c r="HJ11" s="2" t="str">
        <f t="shared" si="19"/>
        <v/>
      </c>
      <c r="HK11" s="2" t="str">
        <f t="shared" si="19"/>
        <v/>
      </c>
      <c r="HL11" s="2" t="str">
        <f t="shared" si="19"/>
        <v/>
      </c>
      <c r="HM11" s="2" t="str">
        <f t="shared" si="19"/>
        <v/>
      </c>
      <c r="HN11" s="2" t="str">
        <f t="shared" si="19"/>
        <v/>
      </c>
      <c r="HO11" s="2" t="str">
        <f t="shared" si="19"/>
        <v/>
      </c>
      <c r="HP11" s="2" t="str">
        <f t="shared" si="19"/>
        <v/>
      </c>
      <c r="HQ11" s="2" t="str">
        <f t="shared" si="19"/>
        <v/>
      </c>
      <c r="HR11" s="2" t="str">
        <f t="shared" si="19"/>
        <v/>
      </c>
      <c r="HS11" s="2" t="str">
        <f t="shared" si="19"/>
        <v/>
      </c>
      <c r="HT11" s="2" t="str">
        <f t="shared" si="19"/>
        <v/>
      </c>
      <c r="HU11" s="2" t="str">
        <f t="shared" si="19"/>
        <v/>
      </c>
      <c r="HV11" s="2" t="str">
        <f t="shared" si="19"/>
        <v/>
      </c>
      <c r="HW11" s="2" t="str">
        <f t="shared" si="19"/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190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</row>
    <row r="18" spans="17:190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</row>
    <row r="19" spans="17:190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90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90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90" x14ac:dyDescent="0.3">
      <c r="Q22" s="2"/>
      <c r="R22" s="2"/>
      <c r="AF22" s="2"/>
      <c r="BE22"/>
      <c r="BF22"/>
      <c r="BG22"/>
      <c r="BH22"/>
      <c r="BI22"/>
      <c r="BJ22"/>
    </row>
    <row r="23" spans="17:190" x14ac:dyDescent="0.3">
      <c r="Q23" s="2"/>
      <c r="R23" s="2"/>
      <c r="AF23" s="2"/>
      <c r="BE23"/>
      <c r="BF23"/>
      <c r="BG23"/>
      <c r="BH23"/>
      <c r="BI23"/>
      <c r="BJ23"/>
    </row>
    <row r="24" spans="17:190" x14ac:dyDescent="0.3">
      <c r="AF24" s="2"/>
      <c r="BE24"/>
      <c r="BF24"/>
      <c r="BG24"/>
      <c r="BH24"/>
      <c r="BI24"/>
      <c r="BJ24"/>
    </row>
    <row r="25" spans="17:190" x14ac:dyDescent="0.3">
      <c r="AF25" s="2"/>
      <c r="BE25"/>
      <c r="BF25"/>
      <c r="BG25"/>
      <c r="BH25"/>
      <c r="BI25"/>
      <c r="BJ25"/>
    </row>
    <row r="26" spans="17:190" x14ac:dyDescent="0.3">
      <c r="BE26"/>
      <c r="BF26"/>
      <c r="BG26"/>
      <c r="BH26"/>
      <c r="BI26"/>
      <c r="BJ26"/>
    </row>
    <row r="27" spans="17:190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 x14ac:dyDescent="0.3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GG1" workbookViewId="0">
      <selection activeCell="GN12" sqref="GN12:GN16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212491.56469231998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22486384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105.82247833018437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GT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GJ1" workbookViewId="0">
      <selection activeCell="GN12" sqref="GN12:GN16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307411.05330270983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24721468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80.418279480850671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GS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 x14ac:dyDescent="0.3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 x14ac:dyDescent="0.3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 x14ac:dyDescent="0.3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 x14ac:dyDescent="0.3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 x14ac:dyDescent="0.3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1945</v>
      </c>
      <c r="B21" s="1">
        <v>46005</v>
      </c>
      <c r="E21" t="s">
        <v>452</v>
      </c>
    </row>
    <row r="22" spans="1:5" x14ac:dyDescent="0.3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GH1" workbookViewId="0">
      <selection activeCell="GN12" sqref="GN12:GN16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24207.916666666661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1754509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72.476662248919965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GT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GE1" zoomScaleNormal="100" workbookViewId="0">
      <selection activeCell="GN12" sqref="GN12:GN15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46922.66666666665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6403536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136.46999318026829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GT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GG1" workbookViewId="0">
      <selection activeCell="GT9" sqref="GT9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27546.499999999993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15950918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579.05425371644321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M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8"/>
      <c r="DN12" s="228"/>
      <c r="DO12" s="20"/>
      <c r="DV12" s="20"/>
      <c r="EC12" s="20"/>
      <c r="EF12" s="228"/>
      <c r="EG12" s="228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8"/>
      <c r="DT13" s="228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GG1" workbookViewId="0">
      <selection activeCell="GT9" sqref="GT9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62384.749999999993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1576334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25.267938077815494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L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0"/>
      <c r="EF12" s="230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9"/>
      <c r="DT13" s="229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2026-07-20T17:03:38Z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