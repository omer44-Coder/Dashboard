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195" documentId="13_ncr:1_{5C53DD68-2375-405F-8904-01DDF28FFD40}" xr6:coauthVersionLast="47" xr6:coauthVersionMax="47" xr10:uidLastSave="{61616772-F0A0-40A7-BDF8-36583B0CA1F9}"/>
  <bookViews>
    <workbookView xWindow="-108" yWindow="-108" windowWidth="23256" windowHeight="12456" firstSheet="1" activeTab="1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53" i="8" l="1"/>
  <c r="AB553" i="8" s="1"/>
  <c r="AD553" i="8" s="1"/>
  <c r="AF553" i="8" s="1"/>
  <c r="X554" i="8"/>
  <c r="AB554" i="8" s="1"/>
  <c r="AD554" i="8" s="1"/>
  <c r="AF554" i="8" s="1"/>
  <c r="X555" i="8"/>
  <c r="X556" i="8"/>
  <c r="X557" i="8"/>
  <c r="X558" i="8"/>
  <c r="X559" i="8"/>
  <c r="W553" i="8"/>
  <c r="W554" i="8"/>
  <c r="W555" i="8"/>
  <c r="W556" i="8"/>
  <c r="W557" i="8"/>
  <c r="W558" i="8"/>
  <c r="W559" i="8"/>
  <c r="R552" i="8"/>
  <c r="AC553" i="8"/>
  <c r="AE553" i="8"/>
  <c r="R553" i="8" s="1"/>
  <c r="AC554" i="8"/>
  <c r="AE554" i="8" s="1"/>
  <c r="R554" i="8" s="1"/>
  <c r="AC555" i="8"/>
  <c r="AE555" i="8"/>
  <c r="R555" i="8" s="1"/>
  <c r="AC556" i="8"/>
  <c r="AE556" i="8" s="1"/>
  <c r="R556" i="8" s="1"/>
  <c r="AD556" i="8"/>
  <c r="AF556" i="8" s="1"/>
  <c r="AC557" i="8"/>
  <c r="AE557" i="8"/>
  <c r="R557" i="8" s="1"/>
  <c r="AC558" i="8"/>
  <c r="AE558" i="8" s="1"/>
  <c r="R558" i="8" s="1"/>
  <c r="AC559" i="8"/>
  <c r="AE559" i="8"/>
  <c r="R559" i="8" s="1"/>
  <c r="AB555" i="8"/>
  <c r="AD555" i="8" s="1"/>
  <c r="AF555" i="8" s="1"/>
  <c r="AB556" i="8"/>
  <c r="AB557" i="8"/>
  <c r="AD557" i="8" s="1"/>
  <c r="AF557" i="8" s="1"/>
  <c r="AB558" i="8"/>
  <c r="AD558" i="8" s="1"/>
  <c r="AF558" i="8" s="1"/>
  <c r="AB559" i="8"/>
  <c r="AD559" i="8" s="1"/>
  <c r="AF559" i="8" s="1"/>
  <c r="O552" i="8"/>
  <c r="O553" i="8"/>
  <c r="O554" i="8"/>
  <c r="O555" i="8"/>
  <c r="O556" i="8"/>
  <c r="O557" i="8"/>
  <c r="O558" i="8"/>
  <c r="O559" i="8"/>
  <c r="AG553" i="8"/>
  <c r="AG554" i="8"/>
  <c r="AG555" i="8"/>
  <c r="AG556" i="8"/>
  <c r="AG557" i="8"/>
  <c r="AG558" i="8"/>
  <c r="AG559" i="8"/>
  <c r="AG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Q559" i="8"/>
  <c r="P559" i="8" s="1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M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N546" i="8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<sst xmlns="http://schemas.openxmlformats.org/spreadsheetml/2006/main" count="14264" uniqueCount="2589">
  <si>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</si>
  <si>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</si>
  <si>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</si>
  <si>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</si>
  <si>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</si>
  <si>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</si>
  <si>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</si>
  <si>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</si>
  <si>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</si>
  <si>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</si>
  <si>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</si>
  <si>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</si>
  <si>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</si>
  <si>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</si>
  <si>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</si>
  <si>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</si>
  <si>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</si>
  <si>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</si>
  <si>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</si>
  <si>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</si>
  <si>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</si>
  <si>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</si>
  <si>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</si>
  <si>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</si>
  <si>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</si>
  <si>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</si>
  <si>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</si>
  <si>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</si>
  <si>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</si>
  <si>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</si>
  <si>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</si>
  <si>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</si>
  <si>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</si>
  <si>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</si>
  <si>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</si>
  <si>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</si>
  <si>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</si>
  <si>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</si>
  <si>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</si>
  <si>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</si>
  <si>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</si>
  <si>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</si>
  <si>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</si>
  <si>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</si>
  <si>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</si>
  <si>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</si>
  <si>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</si>
  <si>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</si>
  <si>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</si>
  <si>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</si>
  <si>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</si>
  <si>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</si>
  <si>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</si>
  <si>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</si>
  <si>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</si>
  <si>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</si>
  <si>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</si>
  <si>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</si>
  <si>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</si>
  <si>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</si>
  <si>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</si>
  <si>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</si>
  <si>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</si>
  <si>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</si>
  <si>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</si>
  <si>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</si>
  <si>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</si>
  <si>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</si>
  <si>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</si>
  <si>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</si>
  <si>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</si>
  <si>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</si>
  <si>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</si>
  <si>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</si>
  <si>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</si>
  <si>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</si>
  <si>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</si>
  <si>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</si>
  <si>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</si>
  <si>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</si>
  <si>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</si>
  <si>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</si>
  <si>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</si>
  <si>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</si>
  <si>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</si>
  <si>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</si>
  <si>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</si>
  <si>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</si>
  <si>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</si>
  <si>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</si>
  <si>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</si>
  <si>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</si>
  <si>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</si>
  <si>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</si>
  <si>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</si>
  <si>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</si>
  <si>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</si>
  <si>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</si>
  <si>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</si>
  <si>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</si>
  <si>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</si>
  <si>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</si>
  <si>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</si>
  <si>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</si>
  <si>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</si>
  <si>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</si>
  <si>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</si>
  <si>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</si>
  <si>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</si>
  <si>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</si>
  <si>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</si>
  <si>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</si>
  <si>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</si>
  <si>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</si>
  <si>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</si>
  <si>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</si>
  <si>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</si>
  <si>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</si>
  <si>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</si>
  <si>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</si>
  <si>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</si>
  <si>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</si>
  <si>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</si>
  <si>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</si>
  <si>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</si>
  <si>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</si>
  <si>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</si>
  <si>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</si>
  <si>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</si>
  <si>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</si>
  <si>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</si>
  <si>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</si>
  <si>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</si>
  <si>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</si>
  <si>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</si>
  <si>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</si>
  <si>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</si>
  <si>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</si>
  <si>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</si>
  <si>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</si>
  <si>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</si>
  <si>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</si>
  <si>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</si>
  <si>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</si>
  <si>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</si>
  <si>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</si>
  <si>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</si>
  <si>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</si>
  <si>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</si>
  <si>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</si>
  <si>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</si>
  <si>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</si>
  <si>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</si>
  <si>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</si>
  <si>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</si>
  <si>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</si>
  <si>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</si>
  <si>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</si>
  <si>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</si>
  <si>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</si>
  <si>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</si>
  <si>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</si>
  <si>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</si>
  <si>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</si>
  <si>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</si>
  <si>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</si>
  <si>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</si>
  <si>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</si>
  <si>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</si>
  <si>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</si>
  <si>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</si>
  <si>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</si>
  <si>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</si>
  <si>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</si>
  <si>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</si>
  <si>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</si>
  <si>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</si>
  <si>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</si>
  <si>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</si>
  <si>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</si>
  <si>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</si>
  <si>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</si>
  <si>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</si>
  <si>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</si>
  <si>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</si>
  <si>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</si>
  <si>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</si>
  <si>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</si>
  <si>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</si>
  <si>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</si>
  <si>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</si>
  <si>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</si>
  <si>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</si>
  <si>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</si>
  <si>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</si>
  <si>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</si>
  <si>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</si>
  <si>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</si>
  <si>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</si>
  <si>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</si>
  <si>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</si>
  <si>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</si>
  <si>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</si>
  <si>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</si>
  <si>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</si>
  <si>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</si>
  <si>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</si>
  <si>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</si>
  <si>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</si>
  <si>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</si>
  <si>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</si>
  <si>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</si>
  <si>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</si>
  <si>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</si>
  <si>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</si>
  <si>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</si>
  <si>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</si>
  <si>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</si>
  <si>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</si>
  <si>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</si>
  <si>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</si>
  <si>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</si>
  <si>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</si>
  <si>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</si>
  <si>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</si>
  <si>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</si>
  <si>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</si>
  <si>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</si>
  <si>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</si>
  <si>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</si>
  <si>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</si>
  <si>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</si>
  <si>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</si>
  <si>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</si>
  <si>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</si>
  <si>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</si>
  <si>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</si>
  <si>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</si>
  <si>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</si>
  <si>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</si>
  <si>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</si>
  <si>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</si>
  <si>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</si>
  <si>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</si>
  <si>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</si>
  <si>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</si>
  <si>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</si>
  <si>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</si>
  <si>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</si>
  <si>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</si>
  <si>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</si>
  <si>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</si>
  <si>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</si>
  <si>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</si>
  <si>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</si>
  <si>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</si>
  <si>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</si>
  <si>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</si>
  <si>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</si>
  <si>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</si>
  <si>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</si>
  <si>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</si>
  <si>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</si>
  <si>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</si>
  <si>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</si>
  <si>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</si>
  <si>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</si>
  <si>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</si>
  <si>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</si>
  <si>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</si>
  <si>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</si>
  <si>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</si>
  <si>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</si>
  <si>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</si>
  <si>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</si>
  <si>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</si>
  <si>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</si>
  <si>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</si>
  <si>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</si>
  <si>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</si>
  <si>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</si>
  <si>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</si>
  <si>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</si>
  <si>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</si>
  <si>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</si>
  <si>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</si>
  <si>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</si>
  <si>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</si>
  <si>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</si>
  <si>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</si>
  <si>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</si>
  <si>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</si>
  <si>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</si>
  <si>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</si>
  <si>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</si>
  <si>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</si>
  <si>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</si>
  <si>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</si>
  <si>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</si>
  <si>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</si>
  <si>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</si>
  <si>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</si>
  <si>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</si>
  <si>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</si>
  <si>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</si>
  <si>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</si>
  <si>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</si>
  <si>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</si>
  <si>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</si>
  <si>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</si>
  <si>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</si>
  <si>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</si>
  <si>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</si>
  <si>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</si>
  <si>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</si>
  <si>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</si>
  <si>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</si>
  <si>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</si>
  <si>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</si>
  <si>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</si>
  <si>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</si>
  <si>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</si>
  <si>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</si>
  <si>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</si>
  <si>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</si>
  <si>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</si>
  <si>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</si>
  <si>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</si>
  <si>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</si>
  <si>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</si>
  <si>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</si>
  <si>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</si>
  <si>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</si>
  <si>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</si>
  <si>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</si>
  <si>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</si>
  <si>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</si>
  <si>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</si>
  <si>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</si>
  <si>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</si>
  <si>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</si>
  <si>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</si>
  <si>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</si>
  <si>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</si>
  <si>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</si>
  <si>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</si>
  <si>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</si>
  <si>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</si>
  <si>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</si>
  <si>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</si>
  <si>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</si>
  <si>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</si>
  <si>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</si>
  <si>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</si>
  <si>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</si>
  <si>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</si>
  <si>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</si>
  <si>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</si>
  <si>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</si>
  <si>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</si>
  <si>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</si>
  <si>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</si>
  <si>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</si>
  <si>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</si>
  <si>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</si>
  <si>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</si>
  <si>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</si>
  <si>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</si>
  <si>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</si>
  <si>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</si>
  <si>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</si>
  <si>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</si>
  <si>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</si>
  <si>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</si>
  <si>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</si>
  <si>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</si>
  <si>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</si>
  <si>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</si>
  <si>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</si>
  <si>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</si>
  <si>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</si>
  <si>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</si>
  <si>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</si>
  <si>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</si>
  <si>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</si>
  <si>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</si>
  <si>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</si>
  <si>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</si>
  <si>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</si>
  <si>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</si>
  <si>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</si>
  <si>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</si>
  <si>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</si>
  <si>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</si>
  <si>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</si>
  <si>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</si>
  <si>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</si>
  <si>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</si>
  <si>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</si>
  <si>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</si>
  <si>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</si>
  <si>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</si>
  <si>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</si>
  <si>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</si>
  <si>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</si>
  <si>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</si>
  <si>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</si>
  <si>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</si>
  <si>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</si>
  <si>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</si>
  <si>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</si>
  <si>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</si>
  <si>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</si>
  <si>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</si>
  <si>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</si>
  <si>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</si>
  <si>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</si>
  <si>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</si>
  <si>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</si>
  <si>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</si>
  <si>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</si>
  <si>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</si>
  <si>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</si>
  <si>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</si>
  <si>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</si>
  <si>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</si>
  <si>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</si>
  <si>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</si>
  <si>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</si>
  <si>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</si>
  <si>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</si>
  <si>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</si>
  <si>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</si>
  <si>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</si>
  <si>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</si>
  <si>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</si>
  <si>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</si>
  <si>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</si>
  <si>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</si>
  <si>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</si>
  <si>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</si>
  <si>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</si>
  <si>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</si>
  <si>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</si>
  <si>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</si>
  <si>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</si>
  <si>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</si>
  <si>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</si>
  <si>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</si>
  <si>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</si>
  <si>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</si>
  <si>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</si>
  <si>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</si>
  <si>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</si>
  <si>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</si>
  <si>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</si>
  <si>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</si>
  <si>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</si>
  <si>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</si>
  <si>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</si>
  <si>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</si>
  <si>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</si>
  <si>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</si>
  <si>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</si>
  <si>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</si>
  <si>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</si>
  <si>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</si>
  <si>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</si>
  <si>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</si>
  <si>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</si>
  <si>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</si>
  <si>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</si>
  <si>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</si>
  <si>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</si>
  <si>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</si>
  <si>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</si>
  <si>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</si>
  <si>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</si>
  <si>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</si>
  <si>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</si>
  <si>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</si>
  <si>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</si>
  <si>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</si>
  <si>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</si>
  <si>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</si>
  <si>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</si>
  <si>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</si>
  <si>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</si>
  <si>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</si>
  <si>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</si>
  <si>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</si>
  <si>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</si>
  <si>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</si>
  <si>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</si>
  <si>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</si>
  <si>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</si>
  <si>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</si>
  <si>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</si>
  <si>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</si>
  <si>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</si>
  <si>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</si>
  <si>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</si>
  <si>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</si>
  <si>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</si>
  <si>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</si>
  <si>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</si>
  <si>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</si>
  <si>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</si>
  <si>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</si>
  <si>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</si>
  <si>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</si>
  <si>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</si>
  <si>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</si>
  <si>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</si>
  <si>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</si>
  <si>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</si>
  <si>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</si>
  <si>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</si>
  <si>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</si>
  <si>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</si>
  <si>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</si>
  <si>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</si>
  <si>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</si>
  <si>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</si>
  <si>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</si>
  <si>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</si>
  <si>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</si>
  <si>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</si>
  <si>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</si>
  <si>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</si>
  <si>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</si>
  <si>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</si>
  <si>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</si>
  <si>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</si>
  <si>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</si>
  <si>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</si>
  <si>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</si>
  <si>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</si>
  <si>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</si>
  <si>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</si>
  <si>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</si>
  <si>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</si>
  <si>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</si>
  <si>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</si>
  <si>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</si>
  <si>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</si>
  <si>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</si>
  <si>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</si>
  <si>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</si>
  <si>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</si>
  <si>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</si>
  <si>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</si>
  <si>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</si>
  <si>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</si>
  <si>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</si>
  <si>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</si>
  <si>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</si>
  <si>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</si>
  <si>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</si>
  <si>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</si>
  <si>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</si>
  <si>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</si>
  <si>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</si>
  <si>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</si>
  <si>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</si>
  <si>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</si>
  <si>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</si>
  <si>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</si>
  <si>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</si>
  <si>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</si>
  <si>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</si>
  <si>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</si>
  <si>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</si>
  <si>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</si>
  <si>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</si>
  <si>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</si>
  <si>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</si>
  <si>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</si>
  <si>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</si>
  <si>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</si>
  <si>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</si>
  <si>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</si>
  <si>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</si>
  <si>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</si>
  <si>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</si>
  <si>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</si>
  <si>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</si>
  <si>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</si>
  <si>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</si>
  <si>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</si>
  <si>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</si>
  <si>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</si>
  <si>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</si>
  <si>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</si>
  <si>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</si>
  <si>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</si>
  <si>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</si>
  <si>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</si>
  <si>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</si>
  <si>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</si>
  <si>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</si>
  <si>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</si>
  <si>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</si>
  <si>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</si>
  <si>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</si>
  <si>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</si>
  <si>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</si>
  <si>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</si>
  <si>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</si>
  <si>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</si>
  <si>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</si>
  <si>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</si>
  <si>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</si>
  <si>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</si>
  <si>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</si>
  <si>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</si>
  <si>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</si>
  <si>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</si>
  <si>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</si>
  <si>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</si>
  <si>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</si>
  <si>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</si>
  <si>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</si>
  <si>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</si>
  <si>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</si>
  <si>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</si>
  <si>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</si>
  <si>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</si>
  <si>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</si>
  <si>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</si>
  <si>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</si>
  <si>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</si>
  <si>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</si>
  <si>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</si>
  <si>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</si>
  <si>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</si>
  <si>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</si>
  <si>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</si>
  <si>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</si>
  <si>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</si>
  <si>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</si>
  <si>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</si>
  <si>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</si>
  <si>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</si>
  <si>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</si>
  <si>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</si>
  <si>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</si>
  <si>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</si>
  <si>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</si>
  <si>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</si>
  <si>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</si>
  <si>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</si>
  <si>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</si>
  <si>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</si>
  <si>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</si>
  <si>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</si>
  <si>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</si>
  <si>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</si>
  <si>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</si>
  <si>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</si>
  <si>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</si>
  <si>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</si>
  <si>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</si>
  <si>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</si>
  <si>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</si>
  <si>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</si>
  <si>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</si>
  <si>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</si>
  <si>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</si>
  <si>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</si>
  <si>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</si>
  <si>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</si>
  <si>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</si>
  <si>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</si>
  <si>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</si>
  <si>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</si>
  <si>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</si>
  <si>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</si>
  <si>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</si>
  <si>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</si>
  <si>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</si>
  <si>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</si>
  <si>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</si>
  <si>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</si>
  <si>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</si>
  <si>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</si>
  <si>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</si>
  <si>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</si>
  <si>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</si>
  <si>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</si>
  <si>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</si>
  <si>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</si>
  <si>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</si>
  <si>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</si>
  <si>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</si>
  <si>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</si>
  <si>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</si>
  <si>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</si>
  <si>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</si>
  <si>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</si>
  <si>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</si>
  <si>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</si>
  <si>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</si>
  <si>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</si>
  <si>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</si>
  <si>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</si>
  <si>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</si>
  <si>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</si>
  <si>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</si>
  <si>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</si>
  <si>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</si>
  <si>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</si>
  <si>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</si>
  <si>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</si>
  <si>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</si>
  <si>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</si>
  <si>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</si>
  <si>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</si>
  <si>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</si>
  <si>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</si>
  <si>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</si>
  <si>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</si>
  <si>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</si>
  <si>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</si>
  <si>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</si>
  <si>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</si>
  <si>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</si>
  <si>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</si>
  <si>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</si>
  <si>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</si>
  <si>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</si>
  <si>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</si>
  <si>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</si>
  <si>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</si>
  <si>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</si>
  <si>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</si>
  <si>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</si>
  <si>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</si>
  <si>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</si>
  <si>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</si>
  <si>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</si>
  <si>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</si>
  <si>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</si>
  <si>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</si>
  <si>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</si>
  <si>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</si>
  <si>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</si>
  <si>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</si>
  <si>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</si>
  <si>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</si>
  <si>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</si>
  <si>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</si>
  <si>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</si>
  <si>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</si>
  <si>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</si>
  <si>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</si>
  <si>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</si>
  <si>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</si>
  <si>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</si>
  <si>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</si>
  <si>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</si>
  <si>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</si>
  <si>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</si>
  <si>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</si>
  <si>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</si>
  <si>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</si>
  <si>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</si>
  <si>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</si>
  <si>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</si>
  <si>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</si>
  <si>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</si>
  <si>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</si>
  <si>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</si>
  <si>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</si>
  <si>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</si>
  <si>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</si>
  <si>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</si>
  <si>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</si>
  <si>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</si>
  <si>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</si>
  <si>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</si>
  <si>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</si>
  <si>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</si>
  <si>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</si>
  <si>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</si>
  <si>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</si>
  <si>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</si>
  <si>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</si>
  <si>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</si>
  <si>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</si>
  <si>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</si>
  <si>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</si>
  <si>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</si>
  <si>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</si>
  <si>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</si>
  <si>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</si>
  <si>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</si>
  <si>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</si>
  <si>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</si>
  <si>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</si>
  <si>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</si>
  <si>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</si>
  <si>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</si>
  <si>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</si>
  <si>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</si>
  <si>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</si>
  <si>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</si>
  <si>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</si>
  <si>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</si>
  <si>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</si>
  <si>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</si>
  <si>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</si>
  <si>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</si>
  <si>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</si>
  <si>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</si>
  <si>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</si>
  <si>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</si>
  <si>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</si>
  <si>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</si>
  <si>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</si>
  <si>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</si>
  <si>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</si>
  <si>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</si>
  <si>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</si>
  <si>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</si>
  <si>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</si>
  <si>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</si>
  <si>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</si>
  <si>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</si>
  <si>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</si>
  <si>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</si>
  <si>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</si>
  <si>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</si>
  <si>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</si>
  <si>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</si>
  <si>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</si>
  <si>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</si>
  <si>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</si>
  <si>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</si>
  <si>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</si>
  <si>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</si>
  <si>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</si>
  <si>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</si>
  <si>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</si>
  <si>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</si>
  <si>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</si>
  <si>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</si>
  <si>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</si>
  <si>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</si>
  <si>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</si>
  <si>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</si>
  <si>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</si>
  <si>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</si>
  <si>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</si>
  <si>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</si>
  <si>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</si>
  <si>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</si>
  <si>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</si>
  <si>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</si>
  <si>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</si>
  <si>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</si>
  <si>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</si>
  <si>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</si>
  <si>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</si>
  <si>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</si>
  <si>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</si>
  <si>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</si>
  <si>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</si>
  <si>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</si>
  <si>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</si>
  <si>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</si>
  <si>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</si>
  <si>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</si>
  <si>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</si>
  <si>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</si>
  <si>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</si>
  <si>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</si>
  <si>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</si>
  <si>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</si>
  <si>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</si>
  <si>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</si>
  <si>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</si>
  <si>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</si>
  <si>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</si>
  <si>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</si>
  <si>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</si>
  <si>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</si>
  <si>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</si>
  <si>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</si>
  <si>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</si>
  <si>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</si>
  <si>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</si>
  <si>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</si>
  <si>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</si>
  <si>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</si>
  <si>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</si>
  <si>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</si>
  <si>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</si>
  <si>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</si>
  <si>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</si>
  <si>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</si>
  <si>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</si>
  <si>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</si>
  <si>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</si>
  <si>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</si>
  <si>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</si>
  <si>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</si>
  <si>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</si>
  <si>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</si>
  <si>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</si>
  <si>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</si>
  <si>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</si>
  <si>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</si>
  <si>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</si>
  <si>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</si>
  <si>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</si>
  <si>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</si>
  <si>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</si>
  <si>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</si>
  <si>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</si>
  <si>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</si>
  <si>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</si>
  <si>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</si>
  <si>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</si>
  <si>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</si>
  <si>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</si>
  <si>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</si>
  <si>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</si>
  <si>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</si>
  <si>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</si>
  <si>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</si>
  <si>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</si>
  <si>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</si>
  <si>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</si>
  <si>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</si>
  <si>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</si>
  <si>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</si>
  <si>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</si>
  <si>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</si>
  <si>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</si>
  <si>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</si>
  <si>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</si>
  <si>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</si>
  <si>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</si>
  <si>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</si>
  <si>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</si>
  <si>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</si>
  <si>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</si>
  <si>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</si>
  <si>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</si>
  <si>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</si>
  <si>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</si>
  <si>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</si>
  <si>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</si>
  <si>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</si>
  <si>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</si>
  <si>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</si>
  <si>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</si>
  <si>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</si>
  <si>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</si>
  <si>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</si>
  <si>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</si>
  <si>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</si>
  <si>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</si>
  <si>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</si>
  <si>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</si>
  <si>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</si>
  <si>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</si>
  <si>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</si>
  <si>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</si>
  <si>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</si>
  <si>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</si>
  <si>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</si>
  <si>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</si>
  <si>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</si>
  <si>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</si>
  <si>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</si>
  <si>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</si>
  <si>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</si>
  <si>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</si>
  <si>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</si>
  <si>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</si>
  <si>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</si>
  <si>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</si>
  <si>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</si>
  <si>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</si>
  <si>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</si>
  <si>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</si>
  <si>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</si>
  <si>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</si>
  <si>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</si>
  <si>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</si>
  <si>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</si>
  <si>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</si>
  <si>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</si>
  <si>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</si>
  <si>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</si>
  <si>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</si>
  <si>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</si>
  <si>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</si>
  <si>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</si>
  <si>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</si>
  <si>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</si>
  <si>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</si>
  <si>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</si>
  <si>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</si>
  <si>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</si>
  <si>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</si>
  <si>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</si>
  <si>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</si>
  <si>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</si>
  <si>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</si>
  <si>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</si>
  <si>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</si>
  <si>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</si>
  <si>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</si>
  <si>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</si>
  <si>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</si>
  <si>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</si>
  <si>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</si>
  <si>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</si>
  <si>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</si>
  <si>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</si>
  <si>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</si>
  <si>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</si>
  <si>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</si>
  <si>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</si>
  <si>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</si>
  <si>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</si>
  <si>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</si>
  <si>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</si>
  <si>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</si>
  <si>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</si>
  <si>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</si>
  <si>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</si>
  <si>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</si>
  <si>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</si>
  <si>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</si>
  <si>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</si>
  <si>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</si>
  <si>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</si>
  <si>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</si>
  <si>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</si>
  <si>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</si>
  <si>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</si>
  <si>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</si>
  <si>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</si>
  <si>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</si>
  <si>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</si>
  <si>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</si>
  <si>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</si>
  <si>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</si>
  <si>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</si>
  <si>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</si>
  <si>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</si>
  <si>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</si>
  <si>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</si>
  <si>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</si>
  <si>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</si>
  <si>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</si>
  <si>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</si>
  <si>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</si>
  <si>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</si>
  <si>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</si>
  <si>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</si>
  <si>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</si>
  <si>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</si>
  <si>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</si>
  <si>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</si>
  <si>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</si>
  <si>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</si>
  <si>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</si>
  <si>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</si>
  <si>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</si>
  <si>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</si>
  <si>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</si>
  <si>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</si>
  <si>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</si>
  <si>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</si>
  <si>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</si>
  <si>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</si>
  <si>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</si>
  <si>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</si>
  <si>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</si>
  <si>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</si>
  <si>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</si>
  <si>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</si>
  <si>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</si>
  <si>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</si>
  <si>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</si>
  <si>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</si>
  <si>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</si>
  <si>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</si>
  <si>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</si>
  <si>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</si>
  <si>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</si>
  <si>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</si>
  <si>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</si>
  <si>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</si>
  <si>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</si>
  <si>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</si>
  <si>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</si>
  <si>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</si>
  <si>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</si>
  <si>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</si>
  <si>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</si>
  <si>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</si>
  <si>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</si>
  <si>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</si>
  <si>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</si>
  <si>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</si>
  <si>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</si>
  <si>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</si>
  <si>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</si>
  <si>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</si>
  <si>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</si>
  <si>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</si>
  <si>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</si>
  <si>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</si>
  <si>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</si>
  <si>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</si>
  <si>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</si>
  <si>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</si>
  <si>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</si>
  <si>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</si>
  <si>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</si>
  <si>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</si>
  <si>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</si>
  <si>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</si>
  <si>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</si>
  <si>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</si>
  <si>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</si>
  <si>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</si>
  <si>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</si>
  <si>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</si>
  <si>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</si>
  <si>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</si>
  <si>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</si>
  <si>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</si>
  <si>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</si>
  <si>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</si>
  <si>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</si>
  <si>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</si>
  <si>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</si>
  <si>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</si>
  <si>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</si>
  <si>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</si>
  <si>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</si>
  <si>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</si>
  <si>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</si>
  <si>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</si>
  <si>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</si>
  <si>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</si>
  <si>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</si>
  <si>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</si>
  <si>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</si>
  <si>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</si>
  <si>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</si>
  <si>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</si>
  <si>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</si>
  <si>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</si>
  <si>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</si>
  <si>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</si>
  <si>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</si>
  <si>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</si>
  <si>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</si>
  <si>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</si>
  <si>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</si>
  <si>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</si>
  <si>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</si>
  <si>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</si>
  <si>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</si>
  <si>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</si>
  <si>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</si>
  <si>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</si>
  <si>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</si>
  <si>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</si>
  <si>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</si>
  <si>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</si>
  <si>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</si>
  <si>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</si>
  <si>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</si>
  <si>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</si>
  <si>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</si>
  <si>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</si>
  <si>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</si>
  <si>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</si>
  <si>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</si>
  <si>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</si>
  <si>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</si>
  <si>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</si>
  <si>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</si>
  <si>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</si>
  <si>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</si>
  <si>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</si>
  <si>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</si>
  <si>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</si>
  <si>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</si>
  <si>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</si>
  <si>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</si>
  <si>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</si>
  <si>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</si>
  <si>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</si>
  <si>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</si>
  <si>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</si>
  <si>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</si>
  <si>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</si>
  <si>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</si>
  <si>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</si>
  <si>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</si>
  <si>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</si>
  <si>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</si>
  <si>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</si>
  <si>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</si>
  <si>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</si>
  <si>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</si>
  <si>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</si>
  <si>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</si>
  <si>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</si>
  <si>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</si>
  <si>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</si>
  <si>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</si>
  <si>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</si>
  <si>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</si>
  <si>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</si>
  <si>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</si>
  <si>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</si>
  <si>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</si>
  <si>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</si>
  <si>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</si>
  <si>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</si>
  <si>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</si>
  <si>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</si>
  <si>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</si>
  <si>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</si>
  <si>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</si>
  <si>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</si>
  <si>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</si>
  <si>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</si>
  <si>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</si>
  <si>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</si>
  <si>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</si>
  <si>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</si>
  <si>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</si>
  <si>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</si>
  <si>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</si>
  <si>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</si>
  <si>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</si>
  <si>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</si>
  <si>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</si>
  <si>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</si>
  <si>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</si>
  <si>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</si>
  <si>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</si>
  <si>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</si>
  <si>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</si>
  <si>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</si>
  <si>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</si>
  <si>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</si>
  <si>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</si>
  <si>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</si>
  <si>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</si>
  <si>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</si>
  <si>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</si>
  <si>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</si>
  <si>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</si>
  <si>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</si>
  <si>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</si>
  <si>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</si>
  <si>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</si>
  <si>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</si>
  <si>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</si>
  <si>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</si>
  <si>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</si>
  <si>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</si>
  <si>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</si>
  <si>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</si>
  <si>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</si>
  <si>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</si>
  <si>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</si>
  <si>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</si>
  <si>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</si>
  <si>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</si>
  <si>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</si>
  <si>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</si>
  <si>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</si>
  <si>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</si>
  <si>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</si>
  <si>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</si>
  <si>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</si>
  <si>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</si>
  <si>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</si>
  <si>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</si>
  <si>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</si>
  <si>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</si>
  <si>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</si>
  <si>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</si>
  <si>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</si>
  <si>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</si>
  <si>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</si>
  <si>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</si>
  <si>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</si>
  <si>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</si>
  <si>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</si>
  <si>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</si>
  <si>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</si>
  <si>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</si>
  <si>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</si>
  <si>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</si>
  <si>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</si>
  <si>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</si>
  <si>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</si>
  <si>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</si>
  <si>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</si>
  <si>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</si>
  <si>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</si>
  <si>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</si>
  <si>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</si>
  <si>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</si>
  <si>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</si>
  <si>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</si>
  <si>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</si>
  <si>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</si>
  <si>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</si>
  <si>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</si>
  <si>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</si>
  <si>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</si>
  <si>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</si>
  <si>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</si>
  <si>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</si>
  <si>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</si>
  <si>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</si>
  <si>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</si>
  <si>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</si>
  <si>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</si>
  <si>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</si>
  <si>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</si>
  <si>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</si>
  <si>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</si>
  <si>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</si>
  <si>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</si>
  <si>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</si>
  <si>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</si>
  <si>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</si>
  <si>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</si>
  <si>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</si>
  <si>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</si>
  <si>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</si>
  <si>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</si>
  <si>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</si>
  <si>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</si>
  <si>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</si>
  <si>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</si>
  <si>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</si>
  <si>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</si>
  <si>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</si>
  <si>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</si>
  <si>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</si>
  <si>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</si>
  <si>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</si>
  <si>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</si>
  <si>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</si>
  <si>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</si>
  <si>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</si>
  <si>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</si>
  <si>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</si>
  <si>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</si>
  <si>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</si>
  <si>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</si>
  <si>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</si>
  <si>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</si>
  <si>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</si>
  <si>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</si>
  <si>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</si>
  <si>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</si>
  <si>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</si>
  <si>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</si>
  <si>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</si>
  <si>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</si>
  <si>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</si>
  <si>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</si>
  <si>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</si>
  <si>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</si>
  <si>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</si>
  <si>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</si>
  <si>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</si>
  <si>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</si>
  <si>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</si>
  <si>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</si>
  <si>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</si>
  <si>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</si>
  <si>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</si>
  <si>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</si>
  <si>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</si>
  <si>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</si>
  <si>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</si>
  <si>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</si>
  <si>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</si>
  <si>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</si>
  <si>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</si>
  <si>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</si>
  <si>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</si>
  <si>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</si>
  <si>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</si>
  <si>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</si>
  <si>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</si>
  <si>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</si>
  <si>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</si>
  <si>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</si>
  <si>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</si>
  <si>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</si>
  <si>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</si>
  <si>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</si>
  <si>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</si>
  <si>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</si>
  <si>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</si>
  <si>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</si>
  <si>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</si>
  <si>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</si>
  <si>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</si>
  <si>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</si>
  <si>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</si>
  <si>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</si>
  <si>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</si>
  <si>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</si>
  <si>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</si>
  <si>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</si>
  <si>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</si>
  <si>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</si>
  <si>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</si>
  <si>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</si>
  <si>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</si>
  <si>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</si>
  <si>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</si>
  <si>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</si>
  <si>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</si>
  <si>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</si>
  <si>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</si>
  <si>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</si>
  <si>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</si>
  <si>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</si>
  <si>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</si>
  <si>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</si>
  <si>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</si>
  <si>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</si>
  <si>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</si>
  <si>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</si>
  <si>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</si>
  <si>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</si>
  <si>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</si>
  <si>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</si>
  <si>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</si>
  <si>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</si>
  <si>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</si>
  <si>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</si>
  <si>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</si>
  <si>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</si>
  <si>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</si>
  <si>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</si>
  <si>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</si>
  <si>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</si>
  <si>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</si>
  <si>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</si>
  <si>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</si>
  <si>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</si>
  <si>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</si>
  <si>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</si>
  <si>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</si>
  <si>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</si>
  <si>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</si>
  <si>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</si>
  <si>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</si>
  <si>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</si>
  <si>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</si>
  <si>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</si>
  <si>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</si>
  <si>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</si>
  <si>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</si>
  <si>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</si>
  <si>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</si>
  <si>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</si>
  <si>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</si>
  <si>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</si>
  <si>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</si>
  <si>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</si>
  <si>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</si>
  <si>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</si>
  <si>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</si>
  <si>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</si>
  <si>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</si>
  <si>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</si>
  <si>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</si>
  <si>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</si>
  <si>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</si>
  <si>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</si>
  <si>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</si>
  <si>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</si>
  <si>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</si>
  <si>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</si>
  <si>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</si>
  <si>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</si>
  <si>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</si>
  <si>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</si>
  <si>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</si>
  <si>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</si>
  <si>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</si>
  <si>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</si>
  <si>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</si>
  <si>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</si>
  <si>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</si>
  <si>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</si>
  <si>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</si>
  <si>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</si>
  <si>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</si>
  <si>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</si>
  <si>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</si>
  <si>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</si>
  <si>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</si>
  <si>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</si>
  <si>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</si>
  <si>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</si>
  <si>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</si>
  <si>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</si>
  <si>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</si>
  <si>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</si>
  <si>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</si>
  <si>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</si>
  <si>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</si>
  <si>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</si>
  <si>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</si>
  <si>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</si>
  <si>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</si>
  <si>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</si>
  <si>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</si>
  <si>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</si>
  <si>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</si>
  <si>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</si>
  <si>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</si>
  <si>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</si>
  <si>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</si>
  <si>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</si>
  <si>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</si>
  <si>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</si>
  <si>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</si>
  <si>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</si>
  <si>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</si>
  <si>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</si>
  <si>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</si>
  <si>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</si>
  <si>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</si>
  <si>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</si>
  <si>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</si>
  <si>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</si>
  <si>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</si>
  <si>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</si>
  <si>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</si>
  <si>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</si>
  <si>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</si>
  <si>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</si>
  <si>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</si>
  <si>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</si>
  <si>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</si>
  <si>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</si>
  <si>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</si>
  <si>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</si>
  <si>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</si>
  <si>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</si>
  <si>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</si>
  <si>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</si>
  <si>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</si>
  <si>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</si>
  <si>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</si>
  <si>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</si>
  <si>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</si>
  <si>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</si>
  <si>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</si>
  <si>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</si>
  <si>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</si>
  <si>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</si>
  <si>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</si>
  <si>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</si>
  <si>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</si>
  <si>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</si>
  <si>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</si>
  <si>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</si>
  <si>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</si>
  <si>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</si>
  <si>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</si>
  <si>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</si>
  <si>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</si>
  <si>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</si>
  <si>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</si>
  <si>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</si>
  <si>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</si>
  <si>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</si>
  <si>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</si>
  <si>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</si>
  <si>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</si>
  <si>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</si>
  <si>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</si>
  <si>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</si>
  <si>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</si>
  <si>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</si>
  <si>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</si>
  <si>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</si>
  <si>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</si>
  <si>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</si>
  <si>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</si>
  <si>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</si>
  <si>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</si>
  <si>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</si>
  <si>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</si>
  <si>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</si>
  <si>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</si>
  <si>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</si>
  <si>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</si>
  <si>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</si>
  <si>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</si>
  <si>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</si>
  <si>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</si>
  <si>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</si>
  <si>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</si>
  <si>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</si>
  <si>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</si>
  <si>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</si>
  <si>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</si>
  <si>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</si>
  <si>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</si>
  <si>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</si>
  <si>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</si>
  <si>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</si>
  <si>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</si>
  <si>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</si>
  <si>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</si>
  <si>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</si>
  <si>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</si>
  <si>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</si>
  <si>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</si>
  <si>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</si>
  <si>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</si>
  <si>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</si>
  <si>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</si>
  <si>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</si>
  <si>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</si>
  <si>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</si>
  <si>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</si>
  <si>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</si>
  <si>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</si>
  <si>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</si>
  <si>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</si>
  <si>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</si>
  <si>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</si>
  <si>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</si>
  <si>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</si>
  <si>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</si>
  <si>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</si>
  <si>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</si>
  <si>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</si>
  <si>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</si>
  <si>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</si>
  <si>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</si>
  <si>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</si>
  <si>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</si>
  <si>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</si>
  <si>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</si>
  <si>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</si>
  <si>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</si>
  <si>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</si>
  <si>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</si>
  <si>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</si>
  <si>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</si>
  <si>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</si>
  <si>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</si>
  <si>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</si>
  <si>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</si>
  <si>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</si>
  <si>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</si>
  <si>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</si>
  <si>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</si>
  <si>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</si>
  <si>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</si>
  <si>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</si>
  <si>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</si>
  <si>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</si>
  <si>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</si>
  <si>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</si>
  <si>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</si>
  <si>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</si>
  <si>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</si>
  <si>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</si>
  <si>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</si>
  <si>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</si>
  <si>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</si>
  <si>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</si>
  <si>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</si>
  <si>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</si>
  <si>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</si>
  <si>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</si>
  <si>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</si>
  <si>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</si>
  <si>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</si>
  <si>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</si>
  <si>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</si>
  <si>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</si>
  <si>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</si>
  <si>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</si>
  <si>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</si>
  <si>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</si>
  <si>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</si>
  <si>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</si>
  <si>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</si>
  <si>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</si>
  <si>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</si>
  <si>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</si>
  <si>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</si>
  <si>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</si>
  <si>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</si>
  <si>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</si>
  <si>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</si>
  <si>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</si>
  <si>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</si>
  <si>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</si>
  <si>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</si>
  <si>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</si>
  <si>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</si>
  <si>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</si>
  <si>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</si>
  <si>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</si>
  <si>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</si>
  <si>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</si>
  <si>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</si>
  <si>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</si>
  <si>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</si>
  <si>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</si>
  <si>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</si>
  <si>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</si>
  <si>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</si>
  <si>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</si>
  <si>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</si>
  <si>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</si>
  <si>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</si>
  <si>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</si>
  <si>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</si>
  <si>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</si>
  <si>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</si>
  <si>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</si>
  <si>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</si>
  <si>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</si>
  <si>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</si>
  <si>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</si>
  <si>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</si>
  <si>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</si>
  <si>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</si>
  <si>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</si>
  <si>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</si>
  <si>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</si>
  <si>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</si>
  <si>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</si>
  <si>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</si>
  <si>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</si>
  <si>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</si>
  <si>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</si>
  <si>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</si>
  <si>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</si>
  <si>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</si>
  <si>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</si>
  <si>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</si>
  <si>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</si>
  <si>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</si>
  <si>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</si>
  <si>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</si>
  <si>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</si>
  <si>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</si>
  <si>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</si>
  <si>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</si>
  <si>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</si>
  <si>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</si>
  <si>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</si>
  <si>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</si>
  <si>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</si>
  <si>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</si>
  <si>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</si>
  <si>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</si>
  <si>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</si>
  <si>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</si>
  <si>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</si>
  <si>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</si>
  <si>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</si>
  <si>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</si>
  <si>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</si>
  <si>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</si>
  <si>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</si>
  <si>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</si>
  <si>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</si>
  <si>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</si>
  <si>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</si>
  <si>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</si>
  <si>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</si>
  <si>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</si>
  <si>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</si>
  <si>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</si>
  <si>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</si>
  <si>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</si>
  <si>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</si>
  <si>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</si>
  <si>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</si>
  <si>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</si>
  <si>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</si>
  <si>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</si>
  <si>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</si>
  <si>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</si>
  <si>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</si>
  <si>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</si>
  <si>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</si>
  <si>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</si>
  <si>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</si>
  <si>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</si>
  <si>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</si>
  <si>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</si>
  <si>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</si>
  <si>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</si>
  <si>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</si>
  <si>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</si>
  <si>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</si>
  <si>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</si>
  <si>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</si>
  <si>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</si>
  <si>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</si>
  <si>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</si>
  <si>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</si>
  <si>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</si>
  <si>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</si>
  <si>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</si>
  <si>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</si>
  <si>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</si>
  <si>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</si>
  <si>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</si>
  <si>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</si>
  <si>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</si>
  <si>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</si>
  <si>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</si>
  <si>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</si>
  <si>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</si>
  <si>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</si>
  <si>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</si>
  <si>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</si>
  <si>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</si>
  <si>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</si>
  <si>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</si>
  <si>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</si>
  <si>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</si>
  <si>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</si>
  <si>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</si>
  <si>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</si>
  <si>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</si>
  <si>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</si>
  <si>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</si>
  <si>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</si>
  <si>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</si>
  <si>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</si>
  <si>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</si>
  <si>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</si>
  <si>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</si>
  <si>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</si>
  <si>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</si>
  <si>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</si>
  <si>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</si>
  <si>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</si>
  <si>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</si>
  <si>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</si>
  <si>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</si>
  <si>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</si>
  <si>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</si>
  <si>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</si>
  <si>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</si>
  <si>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</si>
  <si>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</si>
  <si>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</si>
  <si>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</si>
  <si>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</si>
  <si>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</si>
  <si>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</si>
  <si>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</si>
  <si>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</si>
  <si>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</si>
  <si>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</si>
  <si>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</si>
  <si>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</si>
  <si>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</si>
  <si>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</si>
  <si>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</si>
  <si>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</si>
  <si>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</si>
  <si>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</si>
  <si>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</si>
  <si>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</si>
  <si>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</si>
  <si>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</si>
  <si>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</si>
  <si>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</si>
  <si>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</si>
  <si>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</si>
  <si>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</si>
  <si>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</si>
  <si>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</si>
  <si>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</si>
  <si>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</si>
  <si>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</si>
  <si>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</si>
  <si>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</si>
  <si>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</si>
  <si>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</si>
  <si>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</si>
  <si>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</si>
  <si>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</si>
  <si>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</si>
  <si>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</si>
  <si>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</si>
  <si>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</si>
  <si>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</si>
  <si>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</si>
  <si>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</si>
  <si>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</si>
  <si>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</si>
  <si>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</si>
  <si>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</si>
  <si>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</si>
  <si>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</si>
  <si>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</si>
  <si>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</si>
  <si>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</si>
  <si>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</si>
  <si>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</si>
  <si>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</si>
  <si>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</si>
  <si>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</si>
  <si>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</si>
  <si>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</si>
  <si>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</si>
  <si>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</si>
  <si>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</si>
  <si>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</si>
  <si>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</si>
  <si>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</si>
  <si>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</si>
  <si>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</si>
  <si>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</si>
  <si>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</si>
  <si>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</si>
  <si>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</si>
  <si>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</si>
  <si>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</si>
  <si>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</si>
  <si>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</si>
  <si>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</si>
  <si>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</si>
  <si>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</si>
  <si>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</si>
  <si>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</si>
  <si>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</si>
  <si>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</si>
  <si>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</si>
  <si>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</si>
  <si>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</si>
  <si>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</si>
  <si>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</si>
  <si>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</si>
  <si>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</si>
  <si>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</si>
  <si>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</si>
  <si>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</si>
  <si>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</si>
  <si>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</si>
  <si>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</si>
  <si>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</si>
  <si>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</si>
  <si>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</si>
  <si>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</si>
  <si>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</si>
  <si>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</si>
  <si>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</si>
  <si>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</si>
  <si>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</si>
  <si>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</si>
  <si>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</si>
  <si>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</si>
  <si>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</si>
  <si>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</si>
  <si>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</si>
  <si>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</si>
  <si>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</si>
  <si>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</si>
  <si>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</si>
  <si>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</si>
  <si>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</si>
  <si>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</si>
  <si>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</si>
  <si>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</si>
  <si>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</si>
  <si>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</si>
  <si>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</si>
  <si>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</si>
  <si>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</si>
  <si>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</si>
  <si>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</si>
  <si>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</si>
  <si>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</si>
  <si>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</si>
  <si>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</si>
  <si>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</si>
  <si>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</si>
  <si>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</si>
  <si>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</si>
  <si>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</si>
  <si>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</si>
  <si>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</si>
  <si>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</si>
  <si>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</si>
  <si>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</si>
  <si>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</si>
  <si>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</si>
  <si>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</si>
  <si>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</si>
  <si>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</si>
  <si>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</si>
  <si>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</si>
  <si>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</si>
  <si>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</si>
  <si>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</si>
  <si>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</si>
  <si>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</si>
  <si>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</si>
  <si>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</si>
  <si>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</si>
  <si>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</si>
  <si>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</si>
  <si>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</si>
  <si>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</si>
  <si>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</si>
  <si>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</si>
  <si>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</si>
  <si>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</si>
  <si>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</si>
  <si>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</si>
  <si>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</si>
  <si>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</si>
  <si>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</si>
  <si>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</si>
  <si>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</si>
  <si>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</si>
  <si>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</si>
  <si>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</si>
  <si>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</si>
  <si>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</si>
  <si>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</si>
  <si>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</si>
  <si>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</si>
  <si>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</si>
  <si>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</si>
  <si>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</si>
  <si>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</si>
  <si>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</si>
  <si>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</si>
  <si>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</si>
  <si>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</si>
  <si>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</si>
  <si>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</si>
  <si>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</si>
  <si>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</si>
  <si>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</si>
  <si>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</si>
  <si>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</si>
  <si>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</si>
  <si>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</si>
  <si>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</si>
  <si>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</si>
  <si>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</si>
  <si>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</si>
  <si>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</si>
  <si>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</si>
  <si>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</si>
  <si>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</si>
  <si>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</si>
  <si>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</si>
  <si>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</si>
  <si>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</si>
  <si>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</si>
  <si>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</si>
  <si>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</si>
  <si>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</si>
  <si>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</si>
  <si>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</si>
  <si>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</si>
  <si>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</si>
  <si>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</si>
  <si>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</si>
  <si>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</si>
  <si>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</si>
  <si>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</si>
  <si>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</si>
  <si>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</si>
  <si>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</si>
  <si>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</si>
  <si>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</si>
  <si>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</si>
  <si>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</si>
  <si>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</si>
  <si>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</si>
  <si>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</si>
  <si>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</si>
  <si>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</si>
  <si>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</si>
  <si>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</si>
  <si>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</si>
  <si>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</si>
  <si>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</si>
  <si>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</si>
  <si>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</si>
  <si>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</si>
  <si>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</si>
  <si>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</si>
  <si>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</si>
  <si>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</si>
  <si>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</si>
  <si>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</si>
  <si>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</si>
  <si>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</si>
  <si>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</si>
  <si>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</si>
  <si>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</si>
  <si>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</si>
  <si>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</si>
  <si>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</si>
  <si>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</si>
  <si>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</si>
  <si>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</si>
  <si>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</si>
  <si>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</si>
  <si>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</si>
  <si>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</si>
  <si>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</si>
  <si>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</si>
  <si>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</si>
  <si>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</si>
  <si>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</si>
  <si>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</si>
  <si>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</si>
  <si>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</si>
  <si>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</si>
  <si>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</si>
  <si>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</si>
  <si>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</si>
  <si>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</si>
  <si>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</si>
  <si>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</si>
  <si>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</si>
  <si>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</si>
  <si>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</si>
  <si>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</si>
  <si>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</si>
  <si>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</si>
  <si>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</si>
  <si>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</si>
  <si>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</si>
  <si>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</si>
  <si>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</si>
  <si>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</si>
  <si>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</si>
  <si>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</si>
  <si>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</si>
  <si>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</si>
  <si>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</si>
  <si>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</si>
  <si>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</si>
  <si>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</si>
  <si>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</si>
  <si>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</si>
  <si>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</si>
  <si>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</si>
  <si>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</si>
  <si>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</si>
  <si>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</si>
  <si>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</si>
  <si>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</si>
  <si>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</si>
  <si>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</si>
  <si>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</si>
  <si>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</si>
  <si>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</si>
  <si>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</si>
  <si>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</si>
  <si>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</si>
  <si>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</si>
  <si>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</si>
  <si>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</si>
  <si>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</si>
  <si>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</si>
  <si>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</si>
  <si>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</si>
  <si>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</si>
  <si>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</si>
  <si>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</si>
  <si>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</si>
  <si>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</si>
  <si>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</si>
  <si>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</si>
  <si>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</si>
  <si>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</si>
  <si>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</si>
  <si>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</si>
  <si>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</si>
  <si>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</si>
  <si>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</si>
  <si>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</si>
  <si>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</si>
  <si>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</si>
  <si>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</si>
  <si>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</si>
  <si>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</si>
  <si>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</si>
  <si>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</si>
  <si>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</si>
  <si>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</si>
  <si>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</si>
  <si>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</si>
  <si>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</si>
  <si>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</si>
  <si>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</si>
  <si>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</si>
  <si>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</si>
  <si>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</si>
  <si>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</si>
  <si>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</si>
  <si>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</si>
  <si>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</si>
  <si>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</si>
  <si>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</si>
  <si>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</si>
  <si>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</si>
  <si>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</si>
  <si>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</si>
  <si>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</si>
  <si>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</si>
  <si>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</si>
  <si>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</si>
  <si>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</si>
  <si>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</si>
  <si>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</si>
  <si>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</si>
  <si>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</si>
  <si>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</si>
  <si>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</si>
  <si>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</si>
  <si>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</si>
  <si>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</si>
  <si>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</si>
  <si>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</si>
  <si>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</si>
  <si>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</si>
  <si>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</si>
  <si>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</si>
  <si>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</si>
  <si>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</si>
  <si>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</si>
  <si>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</si>
  <si>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</si>
  <si>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</si>
  <si>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</si>
  <si>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</si>
  <si>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</si>
  <si>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</si>
  <si>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</si>
  <si>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</si>
  <si>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</si>
  <si>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</si>
  <si>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</si>
  <si>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</si>
  <si>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</si>
  <si>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</si>
  <si>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</si>
  <si>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</si>
  <si>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</si>
  <si>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</si>
  <si>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</si>
  <si>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</si>
  <si>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</si>
  <si>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</si>
  <si>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</si>
  <si>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</si>
  <si>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</si>
  <si>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</si>
  <si>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</si>
  <si>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</si>
  <si>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</si>
  <si>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</si>
  <si>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</si>
  <si>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</si>
  <si>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</si>
  <si>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</si>
  <si>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</si>
  <si>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</si>
  <si>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</si>
  <si>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</si>
  <si>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</si>
  <si>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</si>
  <si>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</si>
  <si>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</si>
  <si>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</si>
  <si>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</si>
  <si>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</si>
  <si>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</si>
  <si>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</si>
  <si>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</si>
  <si>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</si>
  <si>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</si>
  <si>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</si>
  <si>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</si>
  <si>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</si>
  <si>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</si>
  <si>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</si>
  <si>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</si>
  <si>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</si>
  <si>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</si>
  <si>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</si>
  <si>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</si>
  <si>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</si>
  <si>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</si>
  <si>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</si>
  <si>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</si>
  <si>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</si>
  <si>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</si>
  <si>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</si>
  <si>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</si>
  <si>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</si>
  <si>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</si>
  <si>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</si>
  <si>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</si>
  <si>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</si>
  <si>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</si>
  <si>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</si>
  <si>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</si>
  <si>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</si>
  <si>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</si>
  <si>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</si>
  <si>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</si>
  <si>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</si>
  <si>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</si>
  <si>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</si>
  <si>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</si>
  <si>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</si>
  <si>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</si>
  <si>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</si>
  <si>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</si>
  <si>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</si>
  <si>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</si>
  <si>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</si>
  <si>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</si>
  <si>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</si>
  <si>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</si>
  <si>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</si>
  <si>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</si>
  <si>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</si>
  <si>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</si>
  <si>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</si>
  <si>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</si>
  <si>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</si>
  <si>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</si>
  <si>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</si>
  <si>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</si>
  <si>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</si>
  <si>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</si>
  <si>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</si>
  <si>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</si>
  <si>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</si>
  <si>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</si>
  <si>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</si>
  <si>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</si>
  <si>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</si>
  <si>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</si>
  <si>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</si>
  <si>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</si>
  <si>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</si>
  <si>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</si>
  <si>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</si>
  <si>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</si>
  <si>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</si>
  <si>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</si>
  <si>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</si>
  <si>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</si>
  <si>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</si>
  <si>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</si>
  <si>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</si>
  <si>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</si>
  <si>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</si>
  <si>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</si>
  <si>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</si>
  <si>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</si>
  <si>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</si>
  <si>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</si>
  <si>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</si>
  <si>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</si>
  <si>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</si>
  <si>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</si>
  <si>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</si>
  <si>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</si>
  <si>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</si>
  <si>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</si>
  <si>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</si>
  <si>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</si>
  <si>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</si>
  <si>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</si>
  <si>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</si>
  <si>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</si>
  <si>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</si>
  <si>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</si>
  <si>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</si>
  <si>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</si>
  <si>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</si>
  <si>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</si>
  <si>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</si>
  <si>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</si>
  <si>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</si>
  <si>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</si>
  <si>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</si>
  <si>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</si>
  <si>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</si>
  <si>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</si>
  <si>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</si>
  <si>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</si>
  <si>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</si>
  <si>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</si>
  <si>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</si>
  <si>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</si>
  <si>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</si>
  <si>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</si>
  <si>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</si>
  <si>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</si>
  <si>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</si>
  <si>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</si>
  <si>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</si>
  <si>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</si>
  <si>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</si>
  <si>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</si>
  <si>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</si>
  <si>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</si>
  <si>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</si>
  <si>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</si>
  <si>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</si>
  <si>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</si>
  <si>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</si>
  <si>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</si>
  <si>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</si>
  <si>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</si>
  <si>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</si>
  <si>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</si>
  <si>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</si>
  <si>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</si>
  <si>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</si>
  <si>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</si>
  <si>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</si>
  <si>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</si>
  <si>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</si>
  <si>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</si>
  <si>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</si>
  <si>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</si>
  <si>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</si>
  <si>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</si>
  <si>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</si>
  <si>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</si>
  <si>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</si>
  <si>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</si>
  <si>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</si>
  <si>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</si>
  <si>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</si>
  <si>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</si>
  <si>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</si>
  <si>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</si>
  <si>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</si>
  <si>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</si>
  <si>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</si>
  <si>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</si>
  <si>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</si>
  <si>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</si>
  <si>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</si>
  <si>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</si>
  <si>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</si>
  <si>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</si>
  <si>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</si>
  <si>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</si>
  <si>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</si>
  <si>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</si>
  <si>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</si>
  <si>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</si>
  <si>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</si>
  <si>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</si>
  <si>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</si>
  <si>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</si>
  <si>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</si>
  <si>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</si>
  <si>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</si>
  <si>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</si>
  <si>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</si>
  <si>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</si>
  <si>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</si>
  <si>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</si>
  <si>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</si>
  <si>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</si>
  <si>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</si>
  <si>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</si>
  <si>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</si>
  <si>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</si>
  <si>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</si>
  <si>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</si>
  <si>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</si>
  <si>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</si>
  <si>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</si>
  <si>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</si>
  <si>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</si>
  <si>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</si>
  <si>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</si>
  <si>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</si>
  <si>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</si>
  <si>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</si>
  <si>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</si>
  <si>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</si>
  <si>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</si>
  <si>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</si>
  <si>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</si>
  <si>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</si>
  <si>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</si>
  <si>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</si>
  <si>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</si>
  <si>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</si>
  <si>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</si>
  <si>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</si>
  <si>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</si>
  <si>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</si>
  <si>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</si>
  <si>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</si>
  <si>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</si>
  <si>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</si>
  <si>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</si>
  <si>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</si>
  <si>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</si>
  <si>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</si>
  <si>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</si>
  <si>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</si>
  <si>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</si>
  <si>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</si>
  <si>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</si>
  <si>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</si>
  <si>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</si>
  <si>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</si>
  <si>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</si>
  <si>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</si>
  <si>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</si>
  <si>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</si>
  <si>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</si>
  <si>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</si>
  <si>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</si>
  <si>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</si>
  <si>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</si>
  <si>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</si>
  <si>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</si>
  <si>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</si>
  <si>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</si>
  <si>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</si>
  <si>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</si>
  <si>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</si>
  <si>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</si>
  <si>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</si>
  <si>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</si>
  <si>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</si>
  <si>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</si>
  <si>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INTERNET DEPO ADRES KONTROL VE VAS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</si>
  <si>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</si>
  <si>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</si>
  <si>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</si>
  <si>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</si>
  <si>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</si>
  <si>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Toplam 06.07</t>
  </si>
  <si>
    <t>Toplam 07.07</t>
  </si>
  <si>
    <t>Toplam 08.07</t>
  </si>
  <si>
    <t>Toplam 09.07</t>
  </si>
  <si>
    <t>Toplam 10.07</t>
  </si>
  <si>
    <t>Toplam 11.07</t>
  </si>
  <si>
    <t>Toplam 12.07</t>
  </si>
  <si>
    <t>VERİLEN</t>
  </si>
  <si>
    <t>ALINAN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</si>
</sst>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0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K16" sqref="K16"/>
    </sheetView>
  </sheetViews>
  <sheetFormatPr defaultRowHeight="14.4" x14ac:dyDescent="0.3"/>
  <cols>
    <col min="5" max="6" width="24.33203125" bestFit="1" customWidth="1"/>
    <col min="7" max="7" width="38.21875" bestFit="1" customWidth="1"/>
  </cols>
  <sheetData>
    <row r="1" spans="1:9" x14ac:dyDescent="0.3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 x14ac:dyDescent="0.3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 x14ac:dyDescent="0.3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 x14ac:dyDescent="0.3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 x14ac:dyDescent="0.3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 x14ac:dyDescent="0.3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 x14ac:dyDescent="0.3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 x14ac:dyDescent="0.3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 x14ac:dyDescent="0.3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 x14ac:dyDescent="0.3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 x14ac:dyDescent="0.3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 x14ac:dyDescent="0.3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 x14ac:dyDescent="0.3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 x14ac:dyDescent="0.3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 x14ac:dyDescent="0.3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 x14ac:dyDescent="0.3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 x14ac:dyDescent="0.3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 x14ac:dyDescent="0.3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 x14ac:dyDescent="0.3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 x14ac:dyDescent="0.3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 x14ac:dyDescent="0.3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 x14ac:dyDescent="0.3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 x14ac:dyDescent="0.3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 x14ac:dyDescent="0.3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 x14ac:dyDescent="0.3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 x14ac:dyDescent="0.3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 x14ac:dyDescent="0.3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 x14ac:dyDescent="0.3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 x14ac:dyDescent="0.3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 x14ac:dyDescent="0.3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 x14ac:dyDescent="0.3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 x14ac:dyDescent="0.3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 x14ac:dyDescent="0.3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 x14ac:dyDescent="0.3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 x14ac:dyDescent="0.3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 x14ac:dyDescent="0.3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 x14ac:dyDescent="0.3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 x14ac:dyDescent="0.3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 x14ac:dyDescent="0.3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 x14ac:dyDescent="0.3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 x14ac:dyDescent="0.3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 x14ac:dyDescent="0.3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 x14ac:dyDescent="0.3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 x14ac:dyDescent="0.3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 x14ac:dyDescent="0.3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 x14ac:dyDescent="0.3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 x14ac:dyDescent="0.3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 x14ac:dyDescent="0.3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 x14ac:dyDescent="0.3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 x14ac:dyDescent="0.3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 x14ac:dyDescent="0.3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 x14ac:dyDescent="0.3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 x14ac:dyDescent="0.3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 x14ac:dyDescent="0.3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 x14ac:dyDescent="0.3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 x14ac:dyDescent="0.3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 x14ac:dyDescent="0.3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 x14ac:dyDescent="0.3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 x14ac:dyDescent="0.3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 x14ac:dyDescent="0.3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 x14ac:dyDescent="0.3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 x14ac:dyDescent="0.3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 x14ac:dyDescent="0.3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 x14ac:dyDescent="0.3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 x14ac:dyDescent="0.3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 x14ac:dyDescent="0.3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 x14ac:dyDescent="0.3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 x14ac:dyDescent="0.3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 x14ac:dyDescent="0.3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 x14ac:dyDescent="0.3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 x14ac:dyDescent="0.3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 x14ac:dyDescent="0.3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 x14ac:dyDescent="0.3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 x14ac:dyDescent="0.3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 x14ac:dyDescent="0.3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 x14ac:dyDescent="0.3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 x14ac:dyDescent="0.3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 x14ac:dyDescent="0.3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 x14ac:dyDescent="0.3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 x14ac:dyDescent="0.3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 x14ac:dyDescent="0.3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 x14ac:dyDescent="0.3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 x14ac:dyDescent="0.3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 x14ac:dyDescent="0.3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 x14ac:dyDescent="0.3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 x14ac:dyDescent="0.3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 x14ac:dyDescent="0.3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 x14ac:dyDescent="0.3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 x14ac:dyDescent="0.3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 x14ac:dyDescent="0.3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 x14ac:dyDescent="0.3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 x14ac:dyDescent="0.3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 x14ac:dyDescent="0.3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 x14ac:dyDescent="0.3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 x14ac:dyDescent="0.3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 x14ac:dyDescent="0.3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 x14ac:dyDescent="0.3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 x14ac:dyDescent="0.3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 x14ac:dyDescent="0.3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 x14ac:dyDescent="0.3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 x14ac:dyDescent="0.3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 x14ac:dyDescent="0.3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 x14ac:dyDescent="0.3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 x14ac:dyDescent="0.3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 x14ac:dyDescent="0.3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 x14ac:dyDescent="0.3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 x14ac:dyDescent="0.3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 x14ac:dyDescent="0.3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 x14ac:dyDescent="0.3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 x14ac:dyDescent="0.3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 x14ac:dyDescent="0.3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 x14ac:dyDescent="0.3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 x14ac:dyDescent="0.3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 x14ac:dyDescent="0.3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 x14ac:dyDescent="0.3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 x14ac:dyDescent="0.3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 x14ac:dyDescent="0.3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 x14ac:dyDescent="0.3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 x14ac:dyDescent="0.3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 x14ac:dyDescent="0.3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 x14ac:dyDescent="0.3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 x14ac:dyDescent="0.3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 x14ac:dyDescent="0.3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 x14ac:dyDescent="0.3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 x14ac:dyDescent="0.3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 x14ac:dyDescent="0.3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 x14ac:dyDescent="0.3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 x14ac:dyDescent="0.3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 x14ac:dyDescent="0.3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 x14ac:dyDescent="0.3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 x14ac:dyDescent="0.3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 x14ac:dyDescent="0.3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 x14ac:dyDescent="0.3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 x14ac:dyDescent="0.3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 x14ac:dyDescent="0.3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 x14ac:dyDescent="0.3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 x14ac:dyDescent="0.3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 x14ac:dyDescent="0.3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 x14ac:dyDescent="0.3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 x14ac:dyDescent="0.3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 x14ac:dyDescent="0.3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 x14ac:dyDescent="0.3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 x14ac:dyDescent="0.3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 x14ac:dyDescent="0.3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 x14ac:dyDescent="0.3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 x14ac:dyDescent="0.3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 x14ac:dyDescent="0.3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 x14ac:dyDescent="0.3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 x14ac:dyDescent="0.3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 x14ac:dyDescent="0.3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 x14ac:dyDescent="0.3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 x14ac:dyDescent="0.3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 x14ac:dyDescent="0.3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 x14ac:dyDescent="0.3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 x14ac:dyDescent="0.3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 x14ac:dyDescent="0.3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 x14ac:dyDescent="0.3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 x14ac:dyDescent="0.3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 x14ac:dyDescent="0.3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 x14ac:dyDescent="0.3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 x14ac:dyDescent="0.3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 x14ac:dyDescent="0.3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 x14ac:dyDescent="0.3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 x14ac:dyDescent="0.3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 x14ac:dyDescent="0.3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 x14ac:dyDescent="0.3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 x14ac:dyDescent="0.3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 x14ac:dyDescent="0.3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 x14ac:dyDescent="0.3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 x14ac:dyDescent="0.3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 x14ac:dyDescent="0.3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 x14ac:dyDescent="0.3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 x14ac:dyDescent="0.3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 x14ac:dyDescent="0.3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 x14ac:dyDescent="0.3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 x14ac:dyDescent="0.3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 x14ac:dyDescent="0.3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 x14ac:dyDescent="0.3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 x14ac:dyDescent="0.3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 x14ac:dyDescent="0.3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 x14ac:dyDescent="0.3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 x14ac:dyDescent="0.3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 x14ac:dyDescent="0.3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 x14ac:dyDescent="0.3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 x14ac:dyDescent="0.3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 x14ac:dyDescent="0.3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 x14ac:dyDescent="0.3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 x14ac:dyDescent="0.3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 x14ac:dyDescent="0.3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 x14ac:dyDescent="0.3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 x14ac:dyDescent="0.3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 x14ac:dyDescent="0.3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 x14ac:dyDescent="0.3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 x14ac:dyDescent="0.3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 x14ac:dyDescent="0.3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 x14ac:dyDescent="0.3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 x14ac:dyDescent="0.3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 x14ac:dyDescent="0.3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 x14ac:dyDescent="0.3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 x14ac:dyDescent="0.3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 x14ac:dyDescent="0.3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 x14ac:dyDescent="0.3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 x14ac:dyDescent="0.3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 x14ac:dyDescent="0.3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 x14ac:dyDescent="0.3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 x14ac:dyDescent="0.3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 x14ac:dyDescent="0.3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 x14ac:dyDescent="0.3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 x14ac:dyDescent="0.3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 x14ac:dyDescent="0.3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 x14ac:dyDescent="0.3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 x14ac:dyDescent="0.3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 x14ac:dyDescent="0.3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 x14ac:dyDescent="0.3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 x14ac:dyDescent="0.3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 x14ac:dyDescent="0.3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 x14ac:dyDescent="0.3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 x14ac:dyDescent="0.3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 x14ac:dyDescent="0.3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 x14ac:dyDescent="0.3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 x14ac:dyDescent="0.3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 x14ac:dyDescent="0.3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 x14ac:dyDescent="0.3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 x14ac:dyDescent="0.3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 x14ac:dyDescent="0.3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 x14ac:dyDescent="0.3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 x14ac:dyDescent="0.3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 x14ac:dyDescent="0.3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 x14ac:dyDescent="0.3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 x14ac:dyDescent="0.3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 x14ac:dyDescent="0.3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 x14ac:dyDescent="0.3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 x14ac:dyDescent="0.3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 x14ac:dyDescent="0.3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 x14ac:dyDescent="0.3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 x14ac:dyDescent="0.3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 x14ac:dyDescent="0.3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 x14ac:dyDescent="0.3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 x14ac:dyDescent="0.3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 x14ac:dyDescent="0.3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 x14ac:dyDescent="0.3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 x14ac:dyDescent="0.3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 x14ac:dyDescent="0.3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 x14ac:dyDescent="0.3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 x14ac:dyDescent="0.3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 x14ac:dyDescent="0.3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 x14ac:dyDescent="0.3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 x14ac:dyDescent="0.3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 x14ac:dyDescent="0.3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 x14ac:dyDescent="0.3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 x14ac:dyDescent="0.3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 x14ac:dyDescent="0.3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 x14ac:dyDescent="0.3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 x14ac:dyDescent="0.3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 x14ac:dyDescent="0.3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 x14ac:dyDescent="0.3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 x14ac:dyDescent="0.3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 x14ac:dyDescent="0.3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 x14ac:dyDescent="0.3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 x14ac:dyDescent="0.3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 x14ac:dyDescent="0.3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 x14ac:dyDescent="0.3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 x14ac:dyDescent="0.3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 x14ac:dyDescent="0.3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 x14ac:dyDescent="0.3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 x14ac:dyDescent="0.3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 x14ac:dyDescent="0.3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 x14ac:dyDescent="0.3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 x14ac:dyDescent="0.3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 x14ac:dyDescent="0.3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 x14ac:dyDescent="0.3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 x14ac:dyDescent="0.3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 x14ac:dyDescent="0.3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 x14ac:dyDescent="0.3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 x14ac:dyDescent="0.3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 x14ac:dyDescent="0.3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 x14ac:dyDescent="0.3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 x14ac:dyDescent="0.3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 x14ac:dyDescent="0.3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 x14ac:dyDescent="0.3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 x14ac:dyDescent="0.3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 x14ac:dyDescent="0.3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 x14ac:dyDescent="0.3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 x14ac:dyDescent="0.3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 x14ac:dyDescent="0.3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 x14ac:dyDescent="0.3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 x14ac:dyDescent="0.3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 x14ac:dyDescent="0.3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 x14ac:dyDescent="0.3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 x14ac:dyDescent="0.3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 x14ac:dyDescent="0.3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 x14ac:dyDescent="0.3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 x14ac:dyDescent="0.3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 x14ac:dyDescent="0.3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 x14ac:dyDescent="0.3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 x14ac:dyDescent="0.3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 x14ac:dyDescent="0.3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 x14ac:dyDescent="0.3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 x14ac:dyDescent="0.3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 x14ac:dyDescent="0.3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 x14ac:dyDescent="0.3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 x14ac:dyDescent="0.3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 x14ac:dyDescent="0.3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 x14ac:dyDescent="0.3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 x14ac:dyDescent="0.3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 x14ac:dyDescent="0.3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 x14ac:dyDescent="0.3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 x14ac:dyDescent="0.3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 x14ac:dyDescent="0.3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 x14ac:dyDescent="0.3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 x14ac:dyDescent="0.3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 x14ac:dyDescent="0.3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 x14ac:dyDescent="0.3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 x14ac:dyDescent="0.3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 x14ac:dyDescent="0.3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 x14ac:dyDescent="0.3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 x14ac:dyDescent="0.3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 x14ac:dyDescent="0.3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 x14ac:dyDescent="0.3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 x14ac:dyDescent="0.3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 x14ac:dyDescent="0.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 x14ac:dyDescent="0.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 x14ac:dyDescent="0.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 x14ac:dyDescent="0.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 x14ac:dyDescent="0.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 x14ac:dyDescent="0.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 x14ac:dyDescent="0.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 x14ac:dyDescent="0.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 x14ac:dyDescent="0.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 x14ac:dyDescent="0.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 x14ac:dyDescent="0.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 x14ac:dyDescent="0.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 x14ac:dyDescent="0.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 x14ac:dyDescent="0.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 x14ac:dyDescent="0.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 x14ac:dyDescent="0.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 x14ac:dyDescent="0.3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 x14ac:dyDescent="0.3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 x14ac:dyDescent="0.3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 x14ac:dyDescent="0.3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 x14ac:dyDescent="0.3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 x14ac:dyDescent="0.3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 x14ac:dyDescent="0.3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 x14ac:dyDescent="0.3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 x14ac:dyDescent="0.3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 x14ac:dyDescent="0.3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 x14ac:dyDescent="0.3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 x14ac:dyDescent="0.3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 x14ac:dyDescent="0.3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 x14ac:dyDescent="0.3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 x14ac:dyDescent="0.3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 x14ac:dyDescent="0.3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 x14ac:dyDescent="0.3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 x14ac:dyDescent="0.3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 x14ac:dyDescent="0.3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 x14ac:dyDescent="0.3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 x14ac:dyDescent="0.3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 x14ac:dyDescent="0.3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 x14ac:dyDescent="0.3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 x14ac:dyDescent="0.3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 x14ac:dyDescent="0.3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 x14ac:dyDescent="0.3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 x14ac:dyDescent="0.3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 x14ac:dyDescent="0.3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 x14ac:dyDescent="0.3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 x14ac:dyDescent="0.3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 x14ac:dyDescent="0.3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 x14ac:dyDescent="0.3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 x14ac:dyDescent="0.3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 x14ac:dyDescent="0.3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 x14ac:dyDescent="0.3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 x14ac:dyDescent="0.3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 x14ac:dyDescent="0.3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 x14ac:dyDescent="0.3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 x14ac:dyDescent="0.3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 x14ac:dyDescent="0.3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 x14ac:dyDescent="0.3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 x14ac:dyDescent="0.3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 x14ac:dyDescent="0.3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 x14ac:dyDescent="0.3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 x14ac:dyDescent="0.3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 x14ac:dyDescent="0.3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 x14ac:dyDescent="0.3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 x14ac:dyDescent="0.3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 x14ac:dyDescent="0.3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 x14ac:dyDescent="0.3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 x14ac:dyDescent="0.3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 x14ac:dyDescent="0.3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 x14ac:dyDescent="0.3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 x14ac:dyDescent="0.3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 x14ac:dyDescent="0.3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 x14ac:dyDescent="0.3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 x14ac:dyDescent="0.3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 x14ac:dyDescent="0.3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 x14ac:dyDescent="0.3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 x14ac:dyDescent="0.3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 x14ac:dyDescent="0.3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 x14ac:dyDescent="0.3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 x14ac:dyDescent="0.3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 x14ac:dyDescent="0.3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 x14ac:dyDescent="0.3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 x14ac:dyDescent="0.3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 x14ac:dyDescent="0.3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 x14ac:dyDescent="0.3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 x14ac:dyDescent="0.3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 x14ac:dyDescent="0.3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 x14ac:dyDescent="0.3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 x14ac:dyDescent="0.3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 x14ac:dyDescent="0.3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 x14ac:dyDescent="0.3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 x14ac:dyDescent="0.3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 x14ac:dyDescent="0.3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 x14ac:dyDescent="0.3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 x14ac:dyDescent="0.3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 x14ac:dyDescent="0.3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 x14ac:dyDescent="0.3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 x14ac:dyDescent="0.3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 x14ac:dyDescent="0.3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 x14ac:dyDescent="0.3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 x14ac:dyDescent="0.3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 x14ac:dyDescent="0.3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 x14ac:dyDescent="0.3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 x14ac:dyDescent="0.3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 x14ac:dyDescent="0.3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 x14ac:dyDescent="0.3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 x14ac:dyDescent="0.3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 x14ac:dyDescent="0.3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 x14ac:dyDescent="0.3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 x14ac:dyDescent="0.3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 x14ac:dyDescent="0.3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 x14ac:dyDescent="0.3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 x14ac:dyDescent="0.3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 x14ac:dyDescent="0.3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 x14ac:dyDescent="0.3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 x14ac:dyDescent="0.3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 x14ac:dyDescent="0.3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 x14ac:dyDescent="0.3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 x14ac:dyDescent="0.3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 x14ac:dyDescent="0.3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 x14ac:dyDescent="0.3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 x14ac:dyDescent="0.3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 x14ac:dyDescent="0.3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 x14ac:dyDescent="0.3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 x14ac:dyDescent="0.3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 x14ac:dyDescent="0.3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 x14ac:dyDescent="0.3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 x14ac:dyDescent="0.3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 x14ac:dyDescent="0.3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 x14ac:dyDescent="0.3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 x14ac:dyDescent="0.3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 x14ac:dyDescent="0.3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 x14ac:dyDescent="0.3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 x14ac:dyDescent="0.3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 x14ac:dyDescent="0.3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 x14ac:dyDescent="0.3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 x14ac:dyDescent="0.3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 x14ac:dyDescent="0.3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 x14ac:dyDescent="0.3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 x14ac:dyDescent="0.3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 x14ac:dyDescent="0.3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 x14ac:dyDescent="0.3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 x14ac:dyDescent="0.3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 x14ac:dyDescent="0.3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 x14ac:dyDescent="0.3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 x14ac:dyDescent="0.3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 x14ac:dyDescent="0.3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 x14ac:dyDescent="0.3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 x14ac:dyDescent="0.3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 x14ac:dyDescent="0.3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 x14ac:dyDescent="0.3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 x14ac:dyDescent="0.3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 x14ac:dyDescent="0.3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 x14ac:dyDescent="0.3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 x14ac:dyDescent="0.3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 x14ac:dyDescent="0.3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 x14ac:dyDescent="0.3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 x14ac:dyDescent="0.3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 x14ac:dyDescent="0.3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 x14ac:dyDescent="0.3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 x14ac:dyDescent="0.3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 x14ac:dyDescent="0.3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 x14ac:dyDescent="0.3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 x14ac:dyDescent="0.3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 x14ac:dyDescent="0.3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 x14ac:dyDescent="0.3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 x14ac:dyDescent="0.3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 x14ac:dyDescent="0.3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 x14ac:dyDescent="0.3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 x14ac:dyDescent="0.3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 x14ac:dyDescent="0.3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 x14ac:dyDescent="0.3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 x14ac:dyDescent="0.3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 x14ac:dyDescent="0.3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 x14ac:dyDescent="0.3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 x14ac:dyDescent="0.3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 x14ac:dyDescent="0.3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 x14ac:dyDescent="0.3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 x14ac:dyDescent="0.3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 x14ac:dyDescent="0.3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 x14ac:dyDescent="0.3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 x14ac:dyDescent="0.3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 x14ac:dyDescent="0.3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 x14ac:dyDescent="0.3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 x14ac:dyDescent="0.3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 x14ac:dyDescent="0.3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 x14ac:dyDescent="0.3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 x14ac:dyDescent="0.3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 x14ac:dyDescent="0.3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 x14ac:dyDescent="0.3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 x14ac:dyDescent="0.3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 x14ac:dyDescent="0.3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 x14ac:dyDescent="0.3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 x14ac:dyDescent="0.3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 x14ac:dyDescent="0.3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 x14ac:dyDescent="0.3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 x14ac:dyDescent="0.3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 x14ac:dyDescent="0.3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 x14ac:dyDescent="0.3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 x14ac:dyDescent="0.3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 x14ac:dyDescent="0.3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 x14ac:dyDescent="0.3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 x14ac:dyDescent="0.3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 x14ac:dyDescent="0.3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 x14ac:dyDescent="0.3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 x14ac:dyDescent="0.3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 x14ac:dyDescent="0.3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 x14ac:dyDescent="0.3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 x14ac:dyDescent="0.3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 x14ac:dyDescent="0.3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 x14ac:dyDescent="0.3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 x14ac:dyDescent="0.3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 x14ac:dyDescent="0.3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 x14ac:dyDescent="0.3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 x14ac:dyDescent="0.3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 x14ac:dyDescent="0.3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 x14ac:dyDescent="0.3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 x14ac:dyDescent="0.3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 x14ac:dyDescent="0.3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 x14ac:dyDescent="0.3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 x14ac:dyDescent="0.3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 x14ac:dyDescent="0.3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 x14ac:dyDescent="0.3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 x14ac:dyDescent="0.3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 x14ac:dyDescent="0.3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 x14ac:dyDescent="0.3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 x14ac:dyDescent="0.3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 x14ac:dyDescent="0.3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 x14ac:dyDescent="0.3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 x14ac:dyDescent="0.3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 x14ac:dyDescent="0.3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 x14ac:dyDescent="0.3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 x14ac:dyDescent="0.3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 x14ac:dyDescent="0.3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 x14ac:dyDescent="0.3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 x14ac:dyDescent="0.3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 x14ac:dyDescent="0.3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 x14ac:dyDescent="0.3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 x14ac:dyDescent="0.3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 x14ac:dyDescent="0.3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 x14ac:dyDescent="0.3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 x14ac:dyDescent="0.3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 x14ac:dyDescent="0.3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 x14ac:dyDescent="0.3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 x14ac:dyDescent="0.3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 x14ac:dyDescent="0.3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 x14ac:dyDescent="0.3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 x14ac:dyDescent="0.3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 x14ac:dyDescent="0.3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 x14ac:dyDescent="0.3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 x14ac:dyDescent="0.3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 x14ac:dyDescent="0.3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 x14ac:dyDescent="0.3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 x14ac:dyDescent="0.3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 x14ac:dyDescent="0.3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 x14ac:dyDescent="0.3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 x14ac:dyDescent="0.3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 x14ac:dyDescent="0.3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 x14ac:dyDescent="0.3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 x14ac:dyDescent="0.3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 x14ac:dyDescent="0.3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 x14ac:dyDescent="0.3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 x14ac:dyDescent="0.3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 x14ac:dyDescent="0.3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 x14ac:dyDescent="0.3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 x14ac:dyDescent="0.3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 x14ac:dyDescent="0.3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 x14ac:dyDescent="0.3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 x14ac:dyDescent="0.3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 x14ac:dyDescent="0.3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 x14ac:dyDescent="0.3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 x14ac:dyDescent="0.3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 x14ac:dyDescent="0.3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 x14ac:dyDescent="0.3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 x14ac:dyDescent="0.3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 x14ac:dyDescent="0.3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 x14ac:dyDescent="0.3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 x14ac:dyDescent="0.3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 x14ac:dyDescent="0.3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 x14ac:dyDescent="0.3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 x14ac:dyDescent="0.3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 x14ac:dyDescent="0.3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 x14ac:dyDescent="0.3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 x14ac:dyDescent="0.3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 x14ac:dyDescent="0.3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 x14ac:dyDescent="0.3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 x14ac:dyDescent="0.3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 x14ac:dyDescent="0.3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 x14ac:dyDescent="0.3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 x14ac:dyDescent="0.3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 x14ac:dyDescent="0.3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 x14ac:dyDescent="0.3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 x14ac:dyDescent="0.3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 x14ac:dyDescent="0.3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 x14ac:dyDescent="0.3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 x14ac:dyDescent="0.3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 x14ac:dyDescent="0.3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 x14ac:dyDescent="0.3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 x14ac:dyDescent="0.3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 x14ac:dyDescent="0.3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 x14ac:dyDescent="0.3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 x14ac:dyDescent="0.3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 x14ac:dyDescent="0.3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 x14ac:dyDescent="0.3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 x14ac:dyDescent="0.3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 x14ac:dyDescent="0.3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 x14ac:dyDescent="0.3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 x14ac:dyDescent="0.3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 x14ac:dyDescent="0.3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 x14ac:dyDescent="0.3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 x14ac:dyDescent="0.3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 x14ac:dyDescent="0.3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 x14ac:dyDescent="0.3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 x14ac:dyDescent="0.3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 x14ac:dyDescent="0.3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 x14ac:dyDescent="0.3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 x14ac:dyDescent="0.3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 x14ac:dyDescent="0.3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 x14ac:dyDescent="0.3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 x14ac:dyDescent="0.3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 x14ac:dyDescent="0.3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 x14ac:dyDescent="0.3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 x14ac:dyDescent="0.3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 x14ac:dyDescent="0.3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 x14ac:dyDescent="0.3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 x14ac:dyDescent="0.3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 x14ac:dyDescent="0.3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 x14ac:dyDescent="0.3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 x14ac:dyDescent="0.3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 x14ac:dyDescent="0.3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 x14ac:dyDescent="0.3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 x14ac:dyDescent="0.3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 x14ac:dyDescent="0.3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 x14ac:dyDescent="0.3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 x14ac:dyDescent="0.3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 x14ac:dyDescent="0.3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 x14ac:dyDescent="0.3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 x14ac:dyDescent="0.3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 x14ac:dyDescent="0.3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 x14ac:dyDescent="0.3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 x14ac:dyDescent="0.3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 x14ac:dyDescent="0.3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 x14ac:dyDescent="0.3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 x14ac:dyDescent="0.3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 x14ac:dyDescent="0.3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 x14ac:dyDescent="0.3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 x14ac:dyDescent="0.3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 x14ac:dyDescent="0.3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 x14ac:dyDescent="0.3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 x14ac:dyDescent="0.3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 x14ac:dyDescent="0.3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 x14ac:dyDescent="0.3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 x14ac:dyDescent="0.3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 x14ac:dyDescent="0.3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 x14ac:dyDescent="0.3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 x14ac:dyDescent="0.3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 x14ac:dyDescent="0.3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 x14ac:dyDescent="0.3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 x14ac:dyDescent="0.3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 x14ac:dyDescent="0.3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 x14ac:dyDescent="0.3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 x14ac:dyDescent="0.3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 x14ac:dyDescent="0.3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 x14ac:dyDescent="0.3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 x14ac:dyDescent="0.3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 x14ac:dyDescent="0.3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 x14ac:dyDescent="0.3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 x14ac:dyDescent="0.3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 x14ac:dyDescent="0.3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 x14ac:dyDescent="0.3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 x14ac:dyDescent="0.3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 x14ac:dyDescent="0.3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 x14ac:dyDescent="0.3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 x14ac:dyDescent="0.3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 x14ac:dyDescent="0.3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 x14ac:dyDescent="0.3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 x14ac:dyDescent="0.3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 x14ac:dyDescent="0.3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 x14ac:dyDescent="0.3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 x14ac:dyDescent="0.3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 x14ac:dyDescent="0.3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 x14ac:dyDescent="0.3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 x14ac:dyDescent="0.3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 x14ac:dyDescent="0.3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 x14ac:dyDescent="0.3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 x14ac:dyDescent="0.3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 x14ac:dyDescent="0.3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 x14ac:dyDescent="0.3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 x14ac:dyDescent="0.3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 x14ac:dyDescent="0.3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 x14ac:dyDescent="0.3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 x14ac:dyDescent="0.3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 x14ac:dyDescent="0.3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 x14ac:dyDescent="0.3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 x14ac:dyDescent="0.3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 x14ac:dyDescent="0.3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 x14ac:dyDescent="0.3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 x14ac:dyDescent="0.3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 x14ac:dyDescent="0.3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 x14ac:dyDescent="0.3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 x14ac:dyDescent="0.3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 x14ac:dyDescent="0.3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 x14ac:dyDescent="0.3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 x14ac:dyDescent="0.3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 x14ac:dyDescent="0.3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 x14ac:dyDescent="0.3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 x14ac:dyDescent="0.3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 x14ac:dyDescent="0.3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 x14ac:dyDescent="0.3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 x14ac:dyDescent="0.3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 x14ac:dyDescent="0.3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 x14ac:dyDescent="0.3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 x14ac:dyDescent="0.3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 x14ac:dyDescent="0.3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 x14ac:dyDescent="0.3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 x14ac:dyDescent="0.3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 x14ac:dyDescent="0.3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 x14ac:dyDescent="0.3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 x14ac:dyDescent="0.3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 x14ac:dyDescent="0.3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 x14ac:dyDescent="0.3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 x14ac:dyDescent="0.3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 x14ac:dyDescent="0.3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 x14ac:dyDescent="0.3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 x14ac:dyDescent="0.3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 x14ac:dyDescent="0.3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 x14ac:dyDescent="0.3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 x14ac:dyDescent="0.3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 x14ac:dyDescent="0.3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 x14ac:dyDescent="0.3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 x14ac:dyDescent="0.3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 x14ac:dyDescent="0.3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 x14ac:dyDescent="0.3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 x14ac:dyDescent="0.3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 x14ac:dyDescent="0.3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 x14ac:dyDescent="0.3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 x14ac:dyDescent="0.3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 x14ac:dyDescent="0.3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 x14ac:dyDescent="0.3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 x14ac:dyDescent="0.3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 x14ac:dyDescent="0.3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 x14ac:dyDescent="0.3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 x14ac:dyDescent="0.3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 x14ac:dyDescent="0.3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 x14ac:dyDescent="0.3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 x14ac:dyDescent="0.3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 x14ac:dyDescent="0.3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 x14ac:dyDescent="0.3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 x14ac:dyDescent="0.3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 x14ac:dyDescent="0.3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 x14ac:dyDescent="0.3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 x14ac:dyDescent="0.3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 x14ac:dyDescent="0.3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 x14ac:dyDescent="0.3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 x14ac:dyDescent="0.3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 x14ac:dyDescent="0.3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 x14ac:dyDescent="0.3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 x14ac:dyDescent="0.3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 x14ac:dyDescent="0.3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 x14ac:dyDescent="0.3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 x14ac:dyDescent="0.3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 x14ac:dyDescent="0.3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 x14ac:dyDescent="0.3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 x14ac:dyDescent="0.3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 x14ac:dyDescent="0.3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 x14ac:dyDescent="0.3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 x14ac:dyDescent="0.3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 x14ac:dyDescent="0.3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 x14ac:dyDescent="0.3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 x14ac:dyDescent="0.3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 x14ac:dyDescent="0.3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 x14ac:dyDescent="0.3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 x14ac:dyDescent="0.3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 x14ac:dyDescent="0.3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 x14ac:dyDescent="0.3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 x14ac:dyDescent="0.3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 x14ac:dyDescent="0.3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 x14ac:dyDescent="0.3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 x14ac:dyDescent="0.3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 x14ac:dyDescent="0.3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 x14ac:dyDescent="0.3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 x14ac:dyDescent="0.3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 x14ac:dyDescent="0.3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 x14ac:dyDescent="0.3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 x14ac:dyDescent="0.3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 x14ac:dyDescent="0.3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 x14ac:dyDescent="0.3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 x14ac:dyDescent="0.3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 x14ac:dyDescent="0.3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 x14ac:dyDescent="0.3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 x14ac:dyDescent="0.3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 x14ac:dyDescent="0.3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 x14ac:dyDescent="0.3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abSelected="1" zoomScaleNormal="100" workbookViewId="0">
      <selection activeCell="J22" sqref="J22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705484.93366118381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26494382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1">
        <f>+A10/A9</f>
        <v>37.554851614625967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M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FY1" zoomScaleNormal="100" workbookViewId="0">
      <selection activeCell="GG12" sqref="GG12:GG14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687496.39634076587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25290029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36.785689546312462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M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91"/>
  <sheetViews>
    <sheetView topLeftCell="E1" zoomScale="60" zoomScaleNormal="60" workbookViewId="0">
      <pane ySplit="1" topLeftCell="A550" activePane="bottomLeft" state="frozen"/>
      <selection activeCell="EH29" sqref="EH29"/>
      <selection pane="bottomLeft" activeCell="R553" sqref="R553:R559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59" si="194">+V496-U496-S496</f>
        <v>0</v>
      </c>
      <c r="X496" s="104">
        <f t="shared" ref="X496:X559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59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 x14ac:dyDescent="0.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2" si="238">+AF546+AE546</f>
        <v>152.42771377542269</v>
      </c>
      <c r="O546" s="7">
        <f t="shared" ref="O546:O552" si="239">+B546+C546+D546+F546+I546+K546+J546</f>
        <v>4242.25</v>
      </c>
      <c r="P546" s="7">
        <f t="shared" ref="P546:P552" si="240">+B546+C546+D546+F546+J546+Q546+R546</f>
        <v>4089.8222862245775</v>
      </c>
      <c r="Q546" s="7">
        <f t="shared" ref="Q546:Q552" si="241">+I546-AF546</f>
        <v>1850.8333333333333</v>
      </c>
      <c r="R546" s="7">
        <f t="shared" ref="R546:R552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1" si="247">+AA546-Y546</f>
        <v>152678</v>
      </c>
    </row>
    <row r="547" spans="1:33" x14ac:dyDescent="0.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 x14ac:dyDescent="0.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 x14ac:dyDescent="0.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 x14ac:dyDescent="0.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 x14ac:dyDescent="0.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>+AA551-Y551</f>
        <v>127507</v>
      </c>
    </row>
    <row r="552" spans="1:33" x14ac:dyDescent="0.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59" si="248">+AF552+AE552</f>
        <v>0</v>
      </c>
      <c r="O552" s="7">
        <f t="shared" ref="O552:O559" si="249">+B552+C552+D552+F552+I552+K552+J552</f>
        <v>0</v>
      </c>
      <c r="P552" s="7">
        <f t="shared" ref="P552:P559" si="250">+B552+C552+D552+F552+J552+Q552+R552</f>
        <v>0</v>
      </c>
      <c r="Q552" s="7">
        <f t="shared" ref="Q552:Q559" si="251">+I552-AF552</f>
        <v>0</v>
      </c>
      <c r="R552" s="7">
        <f t="shared" ref="R552:R559" si="252">+K552-AE552</f>
        <v>0</v>
      </c>
      <c r="T552" s="7"/>
      <c r="U552" s="7">
        <v>0</v>
      </c>
      <c r="V552" s="104"/>
      <c r="W552" s="7"/>
      <c r="X552" s="104"/>
      <c r="Y552" s="2"/>
      <c r="Z552" s="104"/>
      <c r="AA552" s="78"/>
      <c r="AB552" s="104"/>
      <c r="AC552" s="193"/>
      <c r="AD552" s="193"/>
      <c r="AE552" s="20"/>
      <c r="AF552" s="20"/>
      <c r="AG552" s="3"/>
    </row>
    <row r="553" spans="1:33" x14ac:dyDescent="0.3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8"/>
        <v>149.70823934256214</v>
      </c>
      <c r="O553" s="7">
        <f t="shared" si="249"/>
        <v>4140.416666666667</v>
      </c>
      <c r="P553" s="7">
        <f t="shared" si="250"/>
        <v>3990.7084273241044</v>
      </c>
      <c r="Q553" s="7">
        <f t="shared" si="251"/>
        <v>1552.2561924838856</v>
      </c>
      <c r="R553" s="7">
        <f t="shared" si="252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4"/>
        <v>124874</v>
      </c>
      <c r="X553" s="104">
        <f t="shared" si="195"/>
        <v>148002</v>
      </c>
      <c r="Y553" s="2">
        <v>1663</v>
      </c>
      <c r="Z553" s="104">
        <v>19500</v>
      </c>
      <c r="AA553" s="78">
        <v>137480</v>
      </c>
      <c r="AB553" s="104">
        <f t="shared" si="205"/>
        <v>148002</v>
      </c>
      <c r="AC553" s="193">
        <f t="shared" ref="AC552:AC559" si="253">+(Y553/AA553*0.95)</f>
        <v>1.1491489671224904E-2</v>
      </c>
      <c r="AD553" s="193">
        <f t="shared" ref="AD552:AD559" si="254">+(Z553/AB553*0.6)</f>
        <v>7.9052985770462561E-2</v>
      </c>
      <c r="AE553" s="20">
        <f t="shared" ref="AE552:AE559" si="255">+AC553*K553</f>
        <v>16.46443182644748</v>
      </c>
      <c r="AF553" s="20">
        <f t="shared" ref="AF552:AF559" si="256">+AD553*I553</f>
        <v>133.24380751611466</v>
      </c>
      <c r="AG553" s="3">
        <f t="shared" ref="AG552:AG559" si="257">+AA553-Y553</f>
        <v>135817</v>
      </c>
    </row>
    <row r="554" spans="1:33" x14ac:dyDescent="0.3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8"/>
        <v>111.10415711477526</v>
      </c>
      <c r="O554" s="7">
        <f t="shared" si="249"/>
        <v>4631.3333333333339</v>
      </c>
      <c r="P554" s="7">
        <f t="shared" si="250"/>
        <v>4520.2291762185578</v>
      </c>
      <c r="Q554" s="7">
        <f t="shared" si="251"/>
        <v>1802.0122691935389</v>
      </c>
      <c r="R554" s="7">
        <f t="shared" si="252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4"/>
        <v>157042</v>
      </c>
      <c r="X554" s="104">
        <f t="shared" si="195"/>
        <v>164947</v>
      </c>
      <c r="Y554" s="2">
        <v>8730</v>
      </c>
      <c r="Z554" s="104">
        <v>176</v>
      </c>
      <c r="AA554" s="78">
        <v>137295</v>
      </c>
      <c r="AB554" s="104">
        <f t="shared" si="205"/>
        <v>164947</v>
      </c>
      <c r="AC554" s="193">
        <f t="shared" si="253"/>
        <v>6.0406424123238274E-2</v>
      </c>
      <c r="AD554" s="193">
        <f t="shared" si="254"/>
        <v>6.4020564181221842E-4</v>
      </c>
      <c r="AE554" s="20">
        <f t="shared" si="255"/>
        <v>109.94975964164753</v>
      </c>
      <c r="AF554" s="20">
        <f t="shared" si="256"/>
        <v>1.154397473127732</v>
      </c>
      <c r="AG554" s="3">
        <f t="shared" si="257"/>
        <v>128565</v>
      </c>
    </row>
    <row r="555" spans="1:33" x14ac:dyDescent="0.3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8"/>
        <v>440.44396208881255</v>
      </c>
      <c r="O555" s="7">
        <f t="shared" si="249"/>
        <v>4707.9166666666661</v>
      </c>
      <c r="P555" s="7">
        <f t="shared" si="250"/>
        <v>4267.4727045778536</v>
      </c>
      <c r="Q555" s="7">
        <f t="shared" si="251"/>
        <v>1680.9217164620518</v>
      </c>
      <c r="R555" s="7">
        <f t="shared" si="252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4"/>
        <v>101884</v>
      </c>
      <c r="X555" s="104">
        <f t="shared" si="195"/>
        <v>124543</v>
      </c>
      <c r="Y555" s="2">
        <v>22263</v>
      </c>
      <c r="Z555" s="104">
        <v>18545</v>
      </c>
      <c r="AA555" s="78">
        <v>142991</v>
      </c>
      <c r="AB555" s="104">
        <f t="shared" si="205"/>
        <v>124543</v>
      </c>
      <c r="AC555" s="193">
        <f t="shared" si="253"/>
        <v>0.14791035799455909</v>
      </c>
      <c r="AD555" s="193">
        <f t="shared" si="254"/>
        <v>8.9342636679700993E-2</v>
      </c>
      <c r="AE555" s="20">
        <f t="shared" si="255"/>
        <v>275.53234521753114</v>
      </c>
      <c r="AF555" s="20">
        <f t="shared" si="256"/>
        <v>164.91161687128141</v>
      </c>
      <c r="AG555" s="3">
        <f t="shared" si="257"/>
        <v>120728</v>
      </c>
    </row>
    <row r="556" spans="1:33" x14ac:dyDescent="0.3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8"/>
        <v>388.8665016217094</v>
      </c>
      <c r="O556" s="7">
        <f t="shared" si="249"/>
        <v>4668.166666666667</v>
      </c>
      <c r="P556" s="7">
        <f t="shared" si="250"/>
        <v>4279.3001650449578</v>
      </c>
      <c r="Q556" s="7">
        <f t="shared" si="251"/>
        <v>1755.6192336039094</v>
      </c>
      <c r="R556" s="7">
        <f t="shared" si="252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4"/>
        <v>119682</v>
      </c>
      <c r="X556" s="104">
        <f t="shared" si="195"/>
        <v>132064</v>
      </c>
      <c r="Y556" s="2">
        <v>25995</v>
      </c>
      <c r="Z556" s="104">
        <v>8532</v>
      </c>
      <c r="AA556" s="78">
        <v>143125</v>
      </c>
      <c r="AB556" s="104">
        <f t="shared" si="205"/>
        <v>132064</v>
      </c>
      <c r="AC556" s="193">
        <f t="shared" si="253"/>
        <v>0.17254323144104802</v>
      </c>
      <c r="AD556" s="193">
        <f t="shared" si="254"/>
        <v>3.8763023988369269E-2</v>
      </c>
      <c r="AE556" s="20">
        <f t="shared" si="255"/>
        <v>318.06906855895198</v>
      </c>
      <c r="AF556" s="20">
        <f t="shared" si="256"/>
        <v>70.797433062757449</v>
      </c>
      <c r="AG556" s="3">
        <f t="shared" si="257"/>
        <v>117130</v>
      </c>
    </row>
    <row r="557" spans="1:33" x14ac:dyDescent="0.3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8"/>
        <v>532.91361996524438</v>
      </c>
      <c r="O557" s="7">
        <f t="shared" si="249"/>
        <v>4529.583333333333</v>
      </c>
      <c r="P557" s="7">
        <f t="shared" si="250"/>
        <v>3996.6697133680887</v>
      </c>
      <c r="Q557" s="7">
        <f t="shared" si="251"/>
        <v>1586.1983652346598</v>
      </c>
      <c r="R557" s="7">
        <f t="shared" si="252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4"/>
        <v>136897</v>
      </c>
      <c r="X557" s="104">
        <f t="shared" si="195"/>
        <v>175907</v>
      </c>
      <c r="Y557" s="2">
        <v>27941</v>
      </c>
      <c r="Z557" s="104">
        <v>35420</v>
      </c>
      <c r="AA557" s="78">
        <v>153490</v>
      </c>
      <c r="AB557" s="104">
        <f t="shared" si="205"/>
        <v>175907</v>
      </c>
      <c r="AC557" s="193">
        <f t="shared" si="253"/>
        <v>0.17293602189067692</v>
      </c>
      <c r="AD557" s="193">
        <f t="shared" si="254"/>
        <v>0.12081383913090439</v>
      </c>
      <c r="AE557" s="20">
        <f t="shared" si="255"/>
        <v>314.94531853323775</v>
      </c>
      <c r="AF557" s="20">
        <f t="shared" si="256"/>
        <v>217.96830143200665</v>
      </c>
      <c r="AG557" s="3">
        <f t="shared" si="257"/>
        <v>125549</v>
      </c>
    </row>
    <row r="558" spans="1:33" x14ac:dyDescent="0.3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8"/>
        <v>174.54120177421595</v>
      </c>
      <c r="O558" s="7">
        <f t="shared" si="249"/>
        <v>4054.833333333333</v>
      </c>
      <c r="P558" s="7">
        <f t="shared" si="250"/>
        <v>3880.2921315591175</v>
      </c>
      <c r="Q558" s="7">
        <f t="shared" si="251"/>
        <v>1615.5268798617112</v>
      </c>
      <c r="R558" s="7">
        <f t="shared" si="252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4"/>
        <v>139376</v>
      </c>
      <c r="X558" s="104">
        <f t="shared" si="195"/>
        <v>143468</v>
      </c>
      <c r="Y558" s="2">
        <v>14908</v>
      </c>
      <c r="Z558" s="104">
        <v>2884</v>
      </c>
      <c r="AA558" s="78">
        <v>149591</v>
      </c>
      <c r="AB558" s="104">
        <f t="shared" si="205"/>
        <v>143468</v>
      </c>
      <c r="AC558" s="193">
        <f t="shared" si="253"/>
        <v>9.467548181374548E-2</v>
      </c>
      <c r="AD558" s="193">
        <f t="shared" si="254"/>
        <v>1.2061226196782557E-2</v>
      </c>
      <c r="AE558" s="20">
        <f t="shared" si="255"/>
        <v>154.81808163592729</v>
      </c>
      <c r="AF558" s="20">
        <f t="shared" si="256"/>
        <v>19.723120138288674</v>
      </c>
      <c r="AG558" s="3">
        <f t="shared" si="257"/>
        <v>134683</v>
      </c>
    </row>
    <row r="559" spans="1:33" x14ac:dyDescent="0.3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8"/>
        <v>0.39239130434782599</v>
      </c>
      <c r="O559" s="7">
        <f t="shared" si="249"/>
        <v>3522.9166666666661</v>
      </c>
      <c r="P559" s="7">
        <f t="shared" si="250"/>
        <v>3522.5242753623183</v>
      </c>
      <c r="Q559" s="7">
        <f t="shared" si="251"/>
        <v>1459.4999999999998</v>
      </c>
      <c r="R559" s="7">
        <f t="shared" si="252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4"/>
        <v>125132</v>
      </c>
      <c r="X559" s="104">
        <f t="shared" si="195"/>
        <v>128818</v>
      </c>
      <c r="Y559" s="2">
        <v>32</v>
      </c>
      <c r="AA559" s="78">
        <v>114816</v>
      </c>
      <c r="AB559" s="104">
        <f t="shared" si="205"/>
        <v>128818</v>
      </c>
      <c r="AC559" s="193">
        <f t="shared" si="253"/>
        <v>2.6477146042363429E-4</v>
      </c>
      <c r="AD559" s="193">
        <f t="shared" si="254"/>
        <v>0</v>
      </c>
      <c r="AE559" s="20">
        <f t="shared" si="255"/>
        <v>0.39239130434782599</v>
      </c>
      <c r="AF559" s="20">
        <f t="shared" si="256"/>
        <v>0</v>
      </c>
      <c r="AG559" s="3">
        <f t="shared" si="257"/>
        <v>114784</v>
      </c>
    </row>
    <row r="560" spans="1:33" x14ac:dyDescent="0.3">
      <c r="A560" s="28"/>
      <c r="B560" s="2"/>
      <c r="C560" s="2"/>
      <c r="D560" s="2"/>
      <c r="E560" s="2"/>
      <c r="F560" s="2"/>
      <c r="G560" s="2"/>
      <c r="H560" s="2"/>
      <c r="I560"/>
      <c r="J560"/>
      <c r="K560"/>
      <c r="L560"/>
      <c r="M560" s="219"/>
      <c r="N560" s="74"/>
      <c r="O560" s="74"/>
      <c r="P560" s="74"/>
      <c r="Q560" s="219"/>
      <c r="R560" s="74"/>
      <c r="S560" s="74"/>
      <c r="T560" s="74"/>
      <c r="U560" s="191"/>
      <c r="V560" s="104"/>
      <c r="W560"/>
      <c r="X560"/>
      <c r="Y560" s="2"/>
    </row>
    <row r="561" spans="1:26" x14ac:dyDescent="0.3">
      <c r="A561" s="28"/>
      <c r="B561" s="2"/>
      <c r="C561" s="2"/>
      <c r="D561" s="2"/>
      <c r="E561" s="2"/>
      <c r="F561" s="2"/>
      <c r="G561" s="2"/>
      <c r="H561" s="2"/>
      <c r="I561"/>
      <c r="J561"/>
      <c r="K561"/>
      <c r="L561"/>
      <c r="M561" s="219"/>
      <c r="N561" s="74"/>
      <c r="O561" s="74"/>
      <c r="P561" s="74"/>
      <c r="Q561" s="219"/>
      <c r="R561" s="74"/>
      <c r="S561" s="74"/>
      <c r="T561" s="74"/>
      <c r="U561" s="191"/>
      <c r="V561"/>
      <c r="W561"/>
      <c r="X561"/>
      <c r="Y561" s="2"/>
      <c r="Z561" s="78"/>
    </row>
    <row r="562" spans="1:26" x14ac:dyDescent="0.3">
      <c r="A562"/>
      <c r="B562" s="2"/>
      <c r="C562" s="2"/>
      <c r="D562" s="2"/>
      <c r="E562" s="2"/>
      <c r="F562" s="2"/>
      <c r="G562" s="2"/>
      <c r="H562" s="2"/>
      <c r="I562"/>
      <c r="J562"/>
      <c r="K562"/>
      <c r="L562"/>
      <c r="M562" s="219"/>
      <c r="N562" s="74"/>
      <c r="O562" s="74"/>
      <c r="P562" s="74"/>
      <c r="Q562" s="219"/>
      <c r="R562" s="74"/>
      <c r="S562" s="74"/>
      <c r="T562" s="74"/>
      <c r="U562"/>
      <c r="V562"/>
      <c r="W562"/>
      <c r="X562"/>
      <c r="Y562" s="2"/>
      <c r="Z562" s="78"/>
    </row>
    <row r="563" spans="1:26" x14ac:dyDescent="0.3">
      <c r="A563" t="s">
        <v>1493</v>
      </c>
      <c r="B563" t="s">
        <v>2580</v>
      </c>
      <c r="C563" t="s">
        <v>2581</v>
      </c>
      <c r="D563" t="s">
        <v>2582</v>
      </c>
      <c r="E563" t="s">
        <v>2583</v>
      </c>
      <c r="F563" t="s">
        <v>2584</v>
      </c>
      <c r="G563" t="s">
        <v>2585</v>
      </c>
      <c r="H563" t="s">
        <v>2586</v>
      </c>
      <c r="I563"/>
      <c r="J563"/>
      <c r="K563"/>
      <c r="L563"/>
      <c r="M563" s="219"/>
      <c r="N563" s="74"/>
      <c r="O563" s="74"/>
      <c r="P563" s="74"/>
      <c r="Q563" s="191"/>
      <c r="R563" s="191"/>
      <c r="S563" s="191"/>
      <c r="T563" s="191"/>
      <c r="U563" s="191"/>
      <c r="V563"/>
      <c r="W563"/>
      <c r="X563"/>
      <c r="Y563" s="2"/>
      <c r="Z563" s="78"/>
    </row>
    <row r="564" spans="1:26" x14ac:dyDescent="0.3">
      <c r="A564" t="s">
        <v>58</v>
      </c>
      <c r="B564" s="2">
        <v>78</v>
      </c>
      <c r="C564" s="2">
        <v>93</v>
      </c>
      <c r="D564" s="2">
        <v>103</v>
      </c>
      <c r="E564" s="2">
        <v>82.5</v>
      </c>
      <c r="F564" s="2">
        <v>75</v>
      </c>
      <c r="G564" s="2">
        <v>82.5</v>
      </c>
      <c r="H564" s="2">
        <v>81.75</v>
      </c>
      <c r="I564"/>
      <c r="J564"/>
      <c r="K564"/>
      <c r="L564"/>
      <c r="M564" s="74"/>
      <c r="N564" s="74"/>
      <c r="O564" s="74"/>
      <c r="P564" s="74"/>
      <c r="Q564" s="223"/>
      <c r="R564" s="191"/>
      <c r="S564" s="191"/>
      <c r="T564" s="191"/>
      <c r="U564" s="191"/>
      <c r="V564"/>
      <c r="W564"/>
      <c r="X564"/>
      <c r="Z564" s="78"/>
    </row>
    <row r="565" spans="1:26" x14ac:dyDescent="0.3">
      <c r="A565" t="s">
        <v>59</v>
      </c>
      <c r="B565" s="2">
        <v>490.5</v>
      </c>
      <c r="C565" s="2">
        <v>482.66666666666663</v>
      </c>
      <c r="D565" s="2">
        <v>448.5</v>
      </c>
      <c r="E565" s="2">
        <v>470.25</v>
      </c>
      <c r="F565" s="2">
        <v>375.83333333333331</v>
      </c>
      <c r="G565" s="2">
        <v>290.08333333333331</v>
      </c>
      <c r="H565" s="2">
        <v>184.91666666666666</v>
      </c>
      <c r="I565"/>
      <c r="J565"/>
      <c r="K565"/>
      <c r="L565"/>
      <c r="M565"/>
      <c r="N565"/>
      <c r="O565"/>
      <c r="P565"/>
      <c r="Q565" s="223"/>
      <c r="R565" s="191"/>
      <c r="S565" s="191"/>
      <c r="T565" s="191"/>
      <c r="U565" s="191"/>
      <c r="V565" s="191"/>
      <c r="W565"/>
      <c r="X565"/>
      <c r="Z565" s="78"/>
    </row>
    <row r="566" spans="1:26" x14ac:dyDescent="0.3">
      <c r="A566" t="s">
        <v>60</v>
      </c>
      <c r="B566" s="2">
        <v>75</v>
      </c>
      <c r="C566" s="2">
        <v>82.5</v>
      </c>
      <c r="D566" s="2">
        <v>82.5</v>
      </c>
      <c r="E566" s="2">
        <v>82.5</v>
      </c>
      <c r="F566" s="2">
        <v>80.916666666666657</v>
      </c>
      <c r="G566" s="2">
        <v>75</v>
      </c>
      <c r="H566" s="2">
        <v>37.5</v>
      </c>
      <c r="I566"/>
      <c r="J566"/>
      <c r="K566"/>
      <c r="L566"/>
      <c r="M566"/>
      <c r="N566"/>
      <c r="O566"/>
      <c r="P566"/>
      <c r="Q566" s="223"/>
      <c r="R566" s="191"/>
      <c r="S566" s="191"/>
      <c r="T566" s="191"/>
      <c r="U566" s="191"/>
      <c r="V566"/>
      <c r="W566"/>
      <c r="X566"/>
      <c r="Z566" s="78"/>
    </row>
    <row r="567" spans="1:26" x14ac:dyDescent="0.3">
      <c r="A567" t="s">
        <v>61</v>
      </c>
      <c r="B567" s="2">
        <v>413.58333333333331</v>
      </c>
      <c r="C567" s="2">
        <v>434.16666666666663</v>
      </c>
      <c r="D567" s="2">
        <v>448.33333333333331</v>
      </c>
      <c r="E567" s="2">
        <v>405.83333333333331</v>
      </c>
      <c r="F567" s="2">
        <v>350.41666666666663</v>
      </c>
      <c r="G567" s="2">
        <v>262.5</v>
      </c>
      <c r="H567" s="2">
        <v>60</v>
      </c>
      <c r="I567"/>
      <c r="J567"/>
      <c r="K567"/>
      <c r="L567"/>
      <c r="M567"/>
      <c r="N567"/>
      <c r="O567"/>
      <c r="P567"/>
      <c r="Q567" s="223"/>
      <c r="R567" s="191"/>
      <c r="S567" s="191"/>
      <c r="T567" s="191"/>
      <c r="U567" s="191"/>
      <c r="V567"/>
      <c r="W567"/>
      <c r="X567"/>
      <c r="Z567" s="78"/>
    </row>
    <row r="568" spans="1:26" x14ac:dyDescent="0.3">
      <c r="A568" t="s">
        <v>62</v>
      </c>
      <c r="B568" s="2">
        <v>245.66666666666666</v>
      </c>
      <c r="C568" s="2">
        <v>222.83333333333334</v>
      </c>
      <c r="D568" s="2">
        <v>229.25</v>
      </c>
      <c r="E568" s="2">
        <v>239.5</v>
      </c>
      <c r="F568" s="2">
        <v>247.5</v>
      </c>
      <c r="G568" s="2">
        <v>232</v>
      </c>
      <c r="H568" s="2">
        <v>194.75</v>
      </c>
      <c r="I568"/>
      <c r="J568"/>
      <c r="K568"/>
      <c r="L568"/>
      <c r="M568"/>
      <c r="N568"/>
      <c r="O568"/>
      <c r="P568"/>
      <c r="Q568" s="223"/>
      <c r="R568" s="191"/>
      <c r="S568" s="191"/>
      <c r="T568" s="191"/>
      <c r="U568" s="191"/>
      <c r="V568"/>
      <c r="W568"/>
      <c r="X568"/>
    </row>
    <row r="569" spans="1:26" x14ac:dyDescent="0.3">
      <c r="A569" t="s">
        <v>63</v>
      </c>
      <c r="B569" s="2">
        <v>83.75</v>
      </c>
      <c r="C569" s="2">
        <v>83.5</v>
      </c>
      <c r="D569" s="2">
        <v>90.333333333333343</v>
      </c>
      <c r="E569" s="2">
        <v>78.416666666666671</v>
      </c>
      <c r="F569" s="2">
        <v>82.75</v>
      </c>
      <c r="G569" s="2">
        <v>0</v>
      </c>
      <c r="H569" s="2">
        <v>0</v>
      </c>
      <c r="I569"/>
      <c r="J569"/>
      <c r="K569"/>
      <c r="L569"/>
      <c r="M569"/>
      <c r="N569"/>
      <c r="O569"/>
      <c r="P569"/>
      <c r="Q569" s="223"/>
      <c r="R569" s="191"/>
      <c r="S569" s="191"/>
      <c r="T569" s="191"/>
      <c r="U569" s="191"/>
      <c r="V569"/>
      <c r="W569"/>
      <c r="X569"/>
    </row>
    <row r="570" spans="1:26" x14ac:dyDescent="0.3">
      <c r="A570" t="s">
        <v>64</v>
      </c>
      <c r="B570" s="2">
        <v>47</v>
      </c>
      <c r="C570" s="2">
        <v>39.5</v>
      </c>
      <c r="D570" s="2">
        <v>37.166666666666671</v>
      </c>
      <c r="E570" s="2">
        <v>47</v>
      </c>
      <c r="F570" s="2">
        <v>39.5</v>
      </c>
      <c r="G570" s="2">
        <v>29.666666666666664</v>
      </c>
      <c r="H570" s="2">
        <v>22.5</v>
      </c>
      <c r="I570"/>
      <c r="J570"/>
      <c r="K570"/>
      <c r="L570"/>
      <c r="M570"/>
      <c r="N570"/>
      <c r="O570"/>
      <c r="P570"/>
      <c r="Q570" s="223"/>
      <c r="R570" s="191"/>
      <c r="S570" s="191"/>
      <c r="T570" s="191"/>
      <c r="U570" s="191"/>
      <c r="V570"/>
      <c r="W570"/>
      <c r="X570"/>
    </row>
    <row r="571" spans="1:26" x14ac:dyDescent="0.3">
      <c r="A571" t="s">
        <v>65</v>
      </c>
      <c r="B571" s="2">
        <v>1685.5000000000002</v>
      </c>
      <c r="C571" s="2">
        <v>1803.1666666666667</v>
      </c>
      <c r="D571" s="2">
        <v>1845.8333333333333</v>
      </c>
      <c r="E571" s="2">
        <v>1826.4166666666667</v>
      </c>
      <c r="F571" s="2">
        <v>1804.1666666666665</v>
      </c>
      <c r="G571" s="2">
        <v>1635.25</v>
      </c>
      <c r="H571" s="2">
        <v>1459.4999999999998</v>
      </c>
      <c r="I571"/>
      <c r="J571"/>
      <c r="K571"/>
      <c r="L571"/>
      <c r="M571"/>
      <c r="N571"/>
      <c r="O571"/>
      <c r="P571"/>
      <c r="Q571" s="223"/>
      <c r="R571" s="191"/>
      <c r="S571" s="191"/>
      <c r="T571" s="191"/>
      <c r="U571" s="191"/>
      <c r="V571"/>
      <c r="W571"/>
      <c r="X571"/>
    </row>
    <row r="572" spans="1:26" x14ac:dyDescent="0.3">
      <c r="A572" t="s">
        <v>66</v>
      </c>
      <c r="B572" s="2">
        <v>133</v>
      </c>
      <c r="C572" s="2">
        <v>127</v>
      </c>
      <c r="D572" s="2">
        <v>136</v>
      </c>
      <c r="E572" s="2">
        <v>123.58333333333333</v>
      </c>
      <c r="F572" s="2">
        <v>125</v>
      </c>
      <c r="G572" s="2">
        <v>104.75</v>
      </c>
      <c r="H572" s="2">
        <v>82.5</v>
      </c>
      <c r="I572"/>
      <c r="J572"/>
      <c r="K572"/>
      <c r="L572"/>
      <c r="M572"/>
      <c r="N572"/>
      <c r="O572"/>
      <c r="P572"/>
      <c r="Q572" s="223"/>
      <c r="R572" s="191"/>
      <c r="S572" s="191"/>
      <c r="T572" s="191"/>
      <c r="U572" s="191"/>
      <c r="V572" s="164"/>
      <c r="W572"/>
      <c r="X572"/>
      <c r="Y572"/>
      <c r="Z572"/>
    </row>
    <row r="573" spans="1:26" x14ac:dyDescent="0.3">
      <c r="A573" t="s">
        <v>67</v>
      </c>
      <c r="B573" s="2">
        <v>1432.75</v>
      </c>
      <c r="C573" s="2">
        <v>1820.1666666666667</v>
      </c>
      <c r="D573" s="2">
        <v>1862.8333333333333</v>
      </c>
      <c r="E573" s="2">
        <v>1843.4166666666667</v>
      </c>
      <c r="F573" s="2">
        <v>1821.1666666666665</v>
      </c>
      <c r="G573" s="2">
        <v>1635.25</v>
      </c>
      <c r="H573" s="2">
        <v>1481.9999999999998</v>
      </c>
      <c r="I573"/>
      <c r="J573"/>
      <c r="K573"/>
      <c r="L573"/>
      <c r="M573"/>
      <c r="N573"/>
      <c r="O573"/>
      <c r="P573"/>
      <c r="Q573" s="223"/>
      <c r="R573" s="191"/>
      <c r="S573" s="191"/>
      <c r="T573" s="191"/>
      <c r="U573" s="191"/>
      <c r="V573"/>
      <c r="W573"/>
      <c r="X573"/>
      <c r="Y573"/>
      <c r="Z573"/>
    </row>
    <row r="574" spans="1:26" ht="16.8" x14ac:dyDescent="0.3">
      <c r="A574" t="s">
        <v>68</v>
      </c>
      <c r="B574" s="2">
        <v>87.25</v>
      </c>
      <c r="C574" s="2">
        <v>88.25</v>
      </c>
      <c r="D574" s="2">
        <v>89.25</v>
      </c>
      <c r="E574" s="2">
        <v>92.75</v>
      </c>
      <c r="F574" s="2">
        <v>92.25</v>
      </c>
      <c r="G574" s="2">
        <v>49.25</v>
      </c>
      <c r="H574" s="2">
        <v>0</v>
      </c>
      <c r="I574"/>
      <c r="J574"/>
      <c r="K574"/>
      <c r="L574"/>
      <c r="M574"/>
      <c r="N574"/>
      <c r="O574"/>
      <c r="P574"/>
      <c r="Q574" s="223"/>
      <c r="R574" s="191"/>
      <c r="S574" s="191"/>
      <c r="T574" s="191"/>
      <c r="U574" s="191"/>
      <c r="V574" s="165"/>
      <c r="W574" s="165"/>
      <c r="X574" s="165"/>
      <c r="Y574" s="165"/>
      <c r="Z574" s="165"/>
    </row>
    <row r="575" spans="1:26" ht="16.8" x14ac:dyDescent="0.3">
      <c r="A575" t="s">
        <v>1941</v>
      </c>
      <c r="B575" s="2">
        <v>310</v>
      </c>
      <c r="C575" s="2">
        <v>308.33333333333331</v>
      </c>
      <c r="D575" s="2">
        <v>303.16666666666669</v>
      </c>
      <c r="E575" s="2">
        <v>304.5</v>
      </c>
      <c r="F575" s="2">
        <v>288</v>
      </c>
      <c r="G575" s="2">
        <v>279</v>
      </c>
      <c r="H575" s="2">
        <v>197.41666666666666</v>
      </c>
      <c r="I575"/>
      <c r="J575"/>
      <c r="K575"/>
      <c r="L575"/>
      <c r="M575"/>
      <c r="N575"/>
      <c r="O575"/>
      <c r="P575"/>
      <c r="Q575" s="223"/>
      <c r="R575" s="191"/>
      <c r="S575" s="191"/>
      <c r="T575" s="191"/>
      <c r="U575" s="191"/>
      <c r="V575" s="166"/>
      <c r="W575" s="165"/>
      <c r="X575" s="165"/>
      <c r="Y575" s="165"/>
      <c r="Z575" s="81"/>
    </row>
    <row r="576" spans="1:26" ht="16.8" x14ac:dyDescent="0.3">
      <c r="A576" s="48"/>
      <c r="B576" s="3"/>
      <c r="C576" s="3"/>
      <c r="D576" s="3"/>
      <c r="E576" s="3"/>
      <c r="F576" s="3"/>
      <c r="G576" s="3"/>
      <c r="H576"/>
      <c r="I576"/>
      <c r="J576"/>
      <c r="K576"/>
      <c r="L576"/>
      <c r="M576"/>
      <c r="N576"/>
      <c r="O576"/>
      <c r="P576"/>
      <c r="Q576" s="223"/>
      <c r="R576" s="191"/>
      <c r="S576" s="191"/>
      <c r="T576" s="191"/>
      <c r="U576" s="191"/>
      <c r="V576" s="166"/>
      <c r="W576" s="165"/>
      <c r="X576" s="165"/>
      <c r="Y576" s="165"/>
      <c r="Z576" s="81"/>
    </row>
    <row r="577" spans="1:26" ht="16.8" x14ac:dyDescent="0.3">
      <c r="A577" s="48"/>
      <c r="B577" s="3"/>
      <c r="C577" s="3"/>
      <c r="D577" s="3"/>
      <c r="E577" s="3"/>
      <c r="F577" s="3"/>
      <c r="G577" s="3"/>
      <c r="H577"/>
      <c r="I577"/>
      <c r="J577"/>
      <c r="K577"/>
      <c r="L577"/>
      <c r="M577"/>
      <c r="N577"/>
      <c r="O577"/>
      <c r="P577"/>
      <c r="Q577" s="223"/>
      <c r="R577" s="191"/>
      <c r="S577" s="191"/>
      <c r="T577" s="191"/>
      <c r="U577" s="191"/>
      <c r="V577" s="166"/>
      <c r="W577" s="165"/>
      <c r="X577" s="165"/>
      <c r="Y577" s="165"/>
      <c r="Z577" s="81"/>
    </row>
    <row r="578" spans="1:26" ht="16.8" x14ac:dyDescent="0.3">
      <c r="A578" s="224" t="s">
        <v>2587</v>
      </c>
      <c r="B578" s="225">
        <v>46209</v>
      </c>
      <c r="C578" s="225">
        <v>46210</v>
      </c>
      <c r="D578" s="225">
        <v>46211</v>
      </c>
      <c r="E578" s="225">
        <v>46212</v>
      </c>
      <c r="F578" s="225">
        <v>46213</v>
      </c>
      <c r="G578" s="225">
        <v>46214</v>
      </c>
      <c r="H578" s="225">
        <v>46215</v>
      </c>
      <c r="I578"/>
      <c r="J578"/>
      <c r="K578"/>
      <c r="L578"/>
      <c r="M578"/>
      <c r="N578"/>
      <c r="O578"/>
      <c r="P578"/>
      <c r="Q578" s="223"/>
      <c r="R578" s="191"/>
      <c r="S578" s="191"/>
      <c r="T578" s="191"/>
      <c r="U578" s="191"/>
      <c r="V578" s="166"/>
      <c r="W578" s="165"/>
      <c r="X578" s="165"/>
      <c r="Y578" s="165"/>
      <c r="Z578" s="81"/>
    </row>
    <row r="579" spans="1:26" ht="16.8" x14ac:dyDescent="0.3">
      <c r="A579" s="48" t="s">
        <v>58</v>
      </c>
      <c r="B579" s="3">
        <v>157.5</v>
      </c>
      <c r="C579" s="3">
        <v>150</v>
      </c>
      <c r="D579" s="3">
        <v>125</v>
      </c>
      <c r="E579" s="3">
        <v>127.5</v>
      </c>
      <c r="F579" s="3">
        <v>135</v>
      </c>
      <c r="G579" s="3">
        <v>120</v>
      </c>
      <c r="H579" s="3">
        <v>90</v>
      </c>
      <c r="I579"/>
      <c r="J579"/>
      <c r="K579"/>
      <c r="L579"/>
      <c r="M579"/>
      <c r="N579"/>
      <c r="O579"/>
      <c r="P579"/>
      <c r="Q579" s="223"/>
      <c r="R579" s="191"/>
      <c r="S579" s="191"/>
      <c r="T579" s="191"/>
      <c r="U579" s="191"/>
      <c r="V579" s="166"/>
      <c r="W579" s="165"/>
      <c r="X579" s="165"/>
      <c r="Y579" s="165"/>
      <c r="Z579" s="81"/>
    </row>
    <row r="580" spans="1:26" ht="16.8" x14ac:dyDescent="0.3">
      <c r="A580" s="48" t="s">
        <v>59</v>
      </c>
      <c r="B580" s="3">
        <v>15</v>
      </c>
      <c r="C580" s="3">
        <v>15</v>
      </c>
      <c r="D580" s="3">
        <v>22.5</v>
      </c>
      <c r="E580" s="3">
        <v>15</v>
      </c>
      <c r="F580" s="3">
        <v>7.5</v>
      </c>
      <c r="G580" s="3"/>
      <c r="H580" s="3">
        <v>14</v>
      </c>
      <c r="I580"/>
      <c r="J580"/>
      <c r="K580"/>
      <c r="L580"/>
      <c r="M580"/>
      <c r="N580"/>
      <c r="O580"/>
      <c r="P580"/>
      <c r="Q580" s="223"/>
      <c r="R580" s="191"/>
      <c r="S580" s="191"/>
      <c r="T580" s="191"/>
      <c r="U580" s="191"/>
      <c r="V580" s="166"/>
      <c r="W580" s="165"/>
      <c r="X580" s="165"/>
      <c r="Y580" s="165"/>
      <c r="Z580" s="81"/>
    </row>
    <row r="581" spans="1:26" ht="16.8" x14ac:dyDescent="0.3">
      <c r="A581" s="48" t="s">
        <v>61</v>
      </c>
      <c r="B581" s="3">
        <v>30</v>
      </c>
      <c r="C581" s="3">
        <v>22.5</v>
      </c>
      <c r="D581" s="3">
        <v>15</v>
      </c>
      <c r="E581" s="3">
        <v>31.5</v>
      </c>
      <c r="F581" s="3">
        <v>15</v>
      </c>
      <c r="G581" s="3"/>
      <c r="H581" s="3"/>
      <c r="I581"/>
      <c r="J581" s="114"/>
      <c r="K581"/>
      <c r="L581"/>
      <c r="M581"/>
      <c r="N581"/>
      <c r="O581"/>
      <c r="P581"/>
      <c r="Q581" s="223"/>
      <c r="R581" s="191"/>
      <c r="S581" s="191"/>
      <c r="T581" s="191"/>
      <c r="U581" s="191"/>
      <c r="V581" s="166"/>
      <c r="W581" s="165"/>
      <c r="X581" s="165"/>
      <c r="Y581" s="165"/>
      <c r="Z581" s="81"/>
    </row>
    <row r="582" spans="1:26" ht="16.8" x14ac:dyDescent="0.3">
      <c r="A582" s="48" t="s">
        <v>67</v>
      </c>
      <c r="B582" s="3"/>
      <c r="C582" s="3"/>
      <c r="D582" s="3"/>
      <c r="E582" s="3"/>
      <c r="F582" s="3">
        <v>7.5</v>
      </c>
      <c r="G582" s="3">
        <v>7.5</v>
      </c>
      <c r="H582" s="3"/>
      <c r="I582"/>
      <c r="J582"/>
      <c r="K582"/>
      <c r="L582"/>
      <c r="M582"/>
      <c r="N582"/>
      <c r="O582"/>
      <c r="P582"/>
      <c r="Q582" s="223"/>
      <c r="R582" s="191"/>
      <c r="S582" s="191"/>
      <c r="T582" s="191"/>
      <c r="U582" s="191"/>
      <c r="V582" s="165"/>
      <c r="W582" s="165"/>
      <c r="X582" s="165"/>
      <c r="Y582" s="165"/>
      <c r="Z582" s="81"/>
    </row>
    <row r="583" spans="1:26" x14ac:dyDescent="0.3">
      <c r="A583" s="48" t="s">
        <v>68</v>
      </c>
      <c r="B583" s="3">
        <v>8.5</v>
      </c>
      <c r="C583" s="3">
        <v>8.5</v>
      </c>
      <c r="D583" s="3">
        <v>7.5</v>
      </c>
      <c r="E583" s="3">
        <v>8.5</v>
      </c>
      <c r="F583" s="3">
        <v>8.5</v>
      </c>
      <c r="G583" s="3"/>
      <c r="H583" s="3"/>
      <c r="I583"/>
      <c r="J583"/>
      <c r="K583"/>
      <c r="L583"/>
      <c r="M583"/>
      <c r="N583"/>
      <c r="O583"/>
      <c r="P583"/>
      <c r="Q583" s="223"/>
      <c r="R583" s="191"/>
      <c r="S583" s="191"/>
      <c r="T583" s="191"/>
      <c r="U583" s="191"/>
      <c r="V583"/>
      <c r="W583"/>
      <c r="X583"/>
      <c r="Y583"/>
      <c r="Z583"/>
    </row>
    <row r="584" spans="1:26" x14ac:dyDescent="0.3">
      <c r="A584" s="48"/>
      <c r="B584" s="3"/>
      <c r="C584" s="3"/>
      <c r="D584" s="3"/>
      <c r="E584" s="3"/>
      <c r="F584" s="3"/>
      <c r="G584" s="3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 s="164"/>
      <c r="W584"/>
      <c r="X584"/>
      <c r="Y584"/>
      <c r="Z584"/>
    </row>
    <row r="585" spans="1:26" x14ac:dyDescent="0.3">
      <c r="A585" s="224" t="s">
        <v>2588</v>
      </c>
      <c r="B585" s="225">
        <v>46209</v>
      </c>
      <c r="C585" s="225">
        <v>46210</v>
      </c>
      <c r="D585" s="225">
        <v>46211</v>
      </c>
      <c r="E585" s="225">
        <v>46212</v>
      </c>
      <c r="F585" s="225">
        <v>46213</v>
      </c>
      <c r="G585" s="225">
        <v>46214</v>
      </c>
      <c r="H585" s="225">
        <v>46215</v>
      </c>
      <c r="V585" s="163"/>
      <c r="W585"/>
      <c r="X585"/>
      <c r="Y585"/>
      <c r="Z585"/>
    </row>
    <row r="586" spans="1:26" x14ac:dyDescent="0.3">
      <c r="A586" s="48" t="s">
        <v>2574</v>
      </c>
      <c r="B586" s="3">
        <v>7.5</v>
      </c>
      <c r="C586" s="3">
        <v>7.5</v>
      </c>
      <c r="D586" s="3">
        <v>7.5</v>
      </c>
      <c r="E586" s="3">
        <v>7.5</v>
      </c>
      <c r="F586" s="3"/>
      <c r="G586" s="3"/>
      <c r="H586" s="3"/>
      <c r="V586" s="163"/>
      <c r="W586"/>
      <c r="X586"/>
      <c r="Y586"/>
      <c r="Z586"/>
    </row>
    <row r="587" spans="1:26" x14ac:dyDescent="0.3">
      <c r="A587" s="48" t="s">
        <v>2575</v>
      </c>
      <c r="B587" s="3"/>
      <c r="C587" s="3"/>
      <c r="D587" s="3">
        <v>7.5</v>
      </c>
      <c r="E587" s="3"/>
      <c r="F587" s="3">
        <v>15</v>
      </c>
      <c r="G587" s="3"/>
      <c r="H587" s="3"/>
    </row>
    <row r="588" spans="1:26" x14ac:dyDescent="0.3">
      <c r="A588" s="48" t="s">
        <v>2576</v>
      </c>
      <c r="B588" s="3">
        <v>7.5</v>
      </c>
      <c r="C588" s="3">
        <v>7.5</v>
      </c>
      <c r="D588" s="3">
        <v>7.5</v>
      </c>
      <c r="E588" s="3">
        <v>7.5</v>
      </c>
      <c r="F588" s="3">
        <v>7.5</v>
      </c>
      <c r="G588" s="3"/>
      <c r="H588" s="3"/>
    </row>
    <row r="589" spans="1:26" x14ac:dyDescent="0.3">
      <c r="A589" s="48" t="s">
        <v>2577</v>
      </c>
      <c r="B589" s="3">
        <v>17</v>
      </c>
      <c r="C589" s="3">
        <v>17</v>
      </c>
      <c r="D589" s="3">
        <v>17</v>
      </c>
      <c r="E589" s="3">
        <v>17</v>
      </c>
      <c r="F589" s="3">
        <v>17</v>
      </c>
      <c r="G589" s="3"/>
      <c r="H589" s="3">
        <v>22.5</v>
      </c>
    </row>
    <row r="590" spans="1:26" x14ac:dyDescent="0.3">
      <c r="A590" s="48" t="s">
        <v>2578</v>
      </c>
      <c r="B590" s="3">
        <v>75</v>
      </c>
      <c r="C590" s="3">
        <v>52.5</v>
      </c>
      <c r="D590" s="3">
        <v>67.5</v>
      </c>
      <c r="E590" s="3">
        <v>37.5</v>
      </c>
      <c r="F590" s="3">
        <v>67.5</v>
      </c>
      <c r="G590" s="3">
        <v>120</v>
      </c>
      <c r="H590" s="3">
        <v>81.5</v>
      </c>
    </row>
    <row r="591" spans="1:26" x14ac:dyDescent="0.3">
      <c r="A591" s="48" t="s">
        <v>2579</v>
      </c>
      <c r="B591" s="3">
        <v>187.5</v>
      </c>
      <c r="C591" s="3">
        <v>172.5</v>
      </c>
      <c r="D591" s="3">
        <v>140</v>
      </c>
      <c r="E591" s="3">
        <v>159</v>
      </c>
      <c r="F591" s="3">
        <v>82.5</v>
      </c>
      <c r="G591" s="3"/>
      <c r="H591" s="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 x14ac:dyDescent="0.3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4" activePane="bottomLeft" state="frozen"/>
      <selection pane="bottomLeft" activeCell="O30" sqref="O30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 x14ac:dyDescent="0.3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 x14ac:dyDescent="0.3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27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6" t="s">
        <v>59</v>
      </c>
      <c r="C1" s="226"/>
      <c r="D1" s="226"/>
      <c r="F1" s="226" t="s">
        <v>67</v>
      </c>
      <c r="G1" s="226"/>
      <c r="H1" s="226"/>
      <c r="J1" s="226" t="s">
        <v>65</v>
      </c>
      <c r="K1" s="226"/>
      <c r="L1" s="226"/>
      <c r="N1" s="226" t="s">
        <v>454</v>
      </c>
      <c r="O1" s="226"/>
      <c r="P1" s="226"/>
      <c r="R1" s="226" t="s">
        <v>62</v>
      </c>
      <c r="S1" s="226"/>
      <c r="T1" s="226"/>
      <c r="V1" s="226" t="s">
        <v>58</v>
      </c>
      <c r="W1" s="226"/>
      <c r="X1" s="226"/>
      <c r="Z1" s="226" t="s">
        <v>2358</v>
      </c>
      <c r="AA1" s="226"/>
      <c r="AB1" s="226"/>
      <c r="AD1" s="226" t="s">
        <v>428</v>
      </c>
      <c r="AE1" s="226"/>
      <c r="AF1" s="226"/>
      <c r="AH1" s="226" t="s">
        <v>2359</v>
      </c>
      <c r="AI1" s="226"/>
      <c r="AJ1" s="226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FY1" zoomScale="95" zoomScaleNormal="95" workbookViewId="0">
      <selection activeCell="GH34" sqref="GH34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W1" workbookViewId="0">
      <selection activeCell="GG12" sqref="GG12:GG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75337.291666666715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26211217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347.91822774798868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190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</row>
    <row r="18" spans="17:190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</row>
    <row r="19" spans="17:190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90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90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90" x14ac:dyDescent="0.3">
      <c r="Q22" s="2"/>
      <c r="R22" s="2"/>
      <c r="AF22" s="2"/>
      <c r="BE22"/>
      <c r="BF22"/>
      <c r="BG22"/>
      <c r="BH22"/>
      <c r="BI22"/>
      <c r="BJ22"/>
    </row>
    <row r="23" spans="17:190" x14ac:dyDescent="0.3">
      <c r="Q23" s="2"/>
      <c r="R23" s="2"/>
      <c r="AF23" s="2"/>
      <c r="BE23"/>
      <c r="BF23"/>
      <c r="BG23"/>
      <c r="BH23"/>
      <c r="BI23"/>
      <c r="BJ23"/>
    </row>
    <row r="24" spans="17:190" x14ac:dyDescent="0.3">
      <c r="AF24" s="2"/>
      <c r="BE24"/>
      <c r="BF24"/>
      <c r="BG24"/>
      <c r="BH24"/>
      <c r="BI24"/>
      <c r="BJ24"/>
    </row>
    <row r="25" spans="17:190" x14ac:dyDescent="0.3">
      <c r="AF25" s="2"/>
      <c r="BE25"/>
      <c r="BF25"/>
      <c r="BG25"/>
      <c r="BH25"/>
      <c r="BI25"/>
      <c r="BJ25"/>
    </row>
    <row r="26" spans="17:190" x14ac:dyDescent="0.3">
      <c r="BE26"/>
      <c r="BF26"/>
      <c r="BG26"/>
      <c r="BH26"/>
      <c r="BI26"/>
      <c r="BJ26"/>
    </row>
    <row r="27" spans="17:190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 x14ac:dyDescent="0.3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Z1" workbookViewId="0">
      <selection activeCell="GG12" sqref="GG12:GG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204892.38205387647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21718544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105.99976330154192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M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Z1" workbookViewId="0">
      <selection activeCell="GG12" sqref="GG12:GG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297923.05642562965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23952931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80.399722288628425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GM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 x14ac:dyDescent="0.3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 x14ac:dyDescent="0.3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 x14ac:dyDescent="0.3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 x14ac:dyDescent="0.3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 x14ac:dyDescent="0.3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1945</v>
      </c>
      <c r="B21" s="1">
        <v>46005</v>
      </c>
      <c r="E21" t="s">
        <v>452</v>
      </c>
    </row>
    <row r="22" spans="1:5" x14ac:dyDescent="0.3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X1" workbookViewId="0">
      <selection activeCell="GG12" sqref="GG12:GG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23508.833333333328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1707105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72.615470780486788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M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X1" zoomScaleNormal="100" workbookViewId="0">
      <selection activeCell="GG12" sqref="GG12:GG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45441.749999999985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6231134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137.12354827884053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M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X1" workbookViewId="0">
      <selection activeCell="FZ12" sqref="FZ12:FZ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27019.583333333325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15652712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579.30989560041348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M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0</v>
      </c>
      <c r="GH11" s="7">
        <f t="shared" si="23"/>
        <v>0</v>
      </c>
      <c r="GI11" s="7">
        <f t="shared" si="23"/>
        <v>0</v>
      </c>
      <c r="GJ11" s="7">
        <f t="shared" si="23"/>
        <v>0</v>
      </c>
      <c r="GK11" s="7">
        <f t="shared" si="23"/>
        <v>0</v>
      </c>
      <c r="GL11" s="7">
        <f t="shared" si="23"/>
        <v>0</v>
      </c>
      <c r="GM11" s="7">
        <f t="shared" si="23"/>
        <v>0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7"/>
      <c r="DN12" s="227"/>
      <c r="DO12" s="20"/>
      <c r="DV12" s="20"/>
      <c r="EC12" s="20"/>
      <c r="EF12" s="227"/>
      <c r="EG12" s="227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7"/>
      <c r="DT13" s="227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X1" workbookViewId="0">
      <selection activeCell="GD18" sqref="GD18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60638.499999999985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1508219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24.872300601103266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M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0</v>
      </c>
      <c r="GH11" s="102">
        <f t="shared" si="15"/>
        <v>0</v>
      </c>
      <c r="GI11" s="102">
        <f t="shared" si="15"/>
        <v>0</v>
      </c>
      <c r="GJ11" s="102">
        <f t="shared" si="15"/>
        <v>0</v>
      </c>
      <c r="GK11" s="102">
        <f t="shared" si="15"/>
        <v>0</v>
      </c>
      <c r="GL11" s="102">
        <f t="shared" si="15"/>
        <v>0</v>
      </c>
      <c r="GM11" s="102">
        <f t="shared" si="15"/>
        <v>0</v>
      </c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9"/>
      <c r="EF12" s="229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8"/>
      <c r="DT13" s="228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2026-07-13T10:04:47Z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