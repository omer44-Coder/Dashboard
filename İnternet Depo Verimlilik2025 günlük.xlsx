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553" documentId="13_ncr:1_{5C53DD68-2375-405F-8904-01DDF28FFD40}" xr6:coauthVersionLast="47" xr6:coauthVersionMax="47" xr10:uidLastSave="{B0C3C4CC-BBAA-4D2A-9D60-F18F2F74FE68}"/>
  <bookViews>
    <workbookView xWindow="-108" yWindow="-108" windowWidth="23256" windowHeight="13896" firstSheet="5" activeTab="15" xr2:uid="{00000000-000D-0000-FFFF-FFFF00000000}"/>
  </bookViews>
  <sheets>
    <sheet name="Genel" sheetId="11" r:id="rId1"/>
    <sheet name="Genel Müşteri Çıkış" sheetId="41" r:id="rId2"/>
    <sheet name="Çalışma saatleri" sheetId="8" r:id="rId3"/>
    <sheet name="2025 Birimler Pivot" sheetId="54" r:id="rId4"/>
    <sheet name="Haftalık Genel" sheetId="76" r:id="rId5"/>
    <sheet name="KPI TABLO" sheetId="79" r:id="rId6"/>
    <sheet name="Koli Kabul" sheetId="1" r:id="rId7"/>
    <sheet name="Adresleme" sheetId="2" r:id="rId8"/>
    <sheet name="Takım Lideri+Odp Çalışma Saat" sheetId="48" state="hidden" r:id="rId9"/>
    <sheet name="Toplama" sheetId="3" r:id="rId10"/>
    <sheet name="Sorter" sheetId="4" r:id="rId11"/>
    <sheet name="Taşıma Süre" sheetId="38" state="hidden" r:id="rId12"/>
    <sheet name="Tekli-Eksik Sevk" sheetId="16" r:id="rId13"/>
    <sheet name="Kargo" sheetId="5" r:id="rId14"/>
    <sheet name="Adres Denetim" sheetId="6" r:id="rId15"/>
    <sheet name="İade Kabul" sheetId="7" r:id="rId16"/>
    <sheet name="Personel Listesi Güncel" sheetId="84" r:id="rId17"/>
    <sheet name="Parametreler" sheetId="13" state="hidden" r:id="rId18"/>
  </sheets>
  <externalReferences>
    <externalReference r:id="rId19"/>
  </externalReferences>
  <definedNames>
    <definedName name="_xlnm._FilterDatabase" localSheetId="2" hidden="1">'Çalışma saatleri'!$A$1:$AI$552</definedName>
    <definedName name="_xlnm._FilterDatabase" localSheetId="16" hidden="1">'Personel Listesi Güncel'!$A$1:$I$863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88" i="8" l="1"/>
  <c r="O588" i="8"/>
  <c r="X589" i="8"/>
  <c r="O589" i="8"/>
  <c r="O590" i="8"/>
  <c r="O591" i="8"/>
  <c r="O592" i="8"/>
  <c r="O593" i="8"/>
  <c r="HO11" i="7" l="1"/>
  <c r="HP11" i="7"/>
  <c r="HQ11" i="7"/>
  <c r="HR11" i="7"/>
  <c r="HS11" i="7"/>
  <c r="HT11" i="7"/>
  <c r="HU11" i="7"/>
  <c r="HV11" i="7"/>
  <c r="HP11" i="6"/>
  <c r="HQ11" i="6"/>
  <c r="HR11" i="6"/>
  <c r="HS11" i="6"/>
  <c r="HT11" i="6"/>
  <c r="HU11" i="6"/>
  <c r="HV11" i="6"/>
  <c r="HP11" i="5"/>
  <c r="HQ11" i="5"/>
  <c r="HR11" i="5"/>
  <c r="HS11" i="5"/>
  <c r="HT11" i="5"/>
  <c r="HU11" i="5"/>
  <c r="HV11" i="5"/>
  <c r="HP11" i="16"/>
  <c r="HQ11" i="16"/>
  <c r="HR11" i="16"/>
  <c r="HS11" i="16"/>
  <c r="HT11" i="16"/>
  <c r="HU11" i="16"/>
  <c r="HV11" i="16"/>
  <c r="HP11" i="41"/>
  <c r="HQ11" i="41"/>
  <c r="HR11" i="41"/>
  <c r="HS11" i="41"/>
  <c r="HT11" i="41"/>
  <c r="HU11" i="41"/>
  <c r="HV11" i="41"/>
  <c r="Y589" i="8"/>
  <c r="W590" i="8"/>
  <c r="HP11" i="11"/>
  <c r="HQ11" i="11"/>
  <c r="HR11" i="11"/>
  <c r="HS11" i="11"/>
  <c r="HT11" i="11"/>
  <c r="HU11" i="11"/>
  <c r="HV11" i="11"/>
  <c r="X591" i="8"/>
  <c r="AD591" i="8" s="1"/>
  <c r="AF591" i="8" s="1"/>
  <c r="AH591" i="8" s="1"/>
  <c r="HP11" i="4"/>
  <c r="HQ11" i="4"/>
  <c r="HR11" i="4"/>
  <c r="HS11" i="4"/>
  <c r="HT11" i="4"/>
  <c r="HU11" i="4"/>
  <c r="W589" i="8"/>
  <c r="HP11" i="3"/>
  <c r="HQ11" i="3"/>
  <c r="HR11" i="3"/>
  <c r="HS11" i="3"/>
  <c r="HT11" i="3"/>
  <c r="HU11" i="3"/>
  <c r="HV11" i="3"/>
  <c r="AI592" i="8"/>
  <c r="AE588" i="8"/>
  <c r="AG588" i="8" s="1"/>
  <c r="R588" i="8" s="1"/>
  <c r="AI588" i="8"/>
  <c r="AE589" i="8"/>
  <c r="AG589" i="8" s="1"/>
  <c r="R589" i="8" s="1"/>
  <c r="AI589" i="8"/>
  <c r="AE590" i="8"/>
  <c r="AG590" i="8" s="1"/>
  <c r="R590" i="8" s="1"/>
  <c r="AI590" i="8"/>
  <c r="AE591" i="8"/>
  <c r="AG591" i="8" s="1"/>
  <c r="R591" i="8" s="1"/>
  <c r="AI591" i="8"/>
  <c r="AE592" i="8"/>
  <c r="AG592" i="8" s="1"/>
  <c r="R592" i="8" s="1"/>
  <c r="AE593" i="8"/>
  <c r="AG593" i="8"/>
  <c r="R593" i="8" s="1"/>
  <c r="AI593" i="8"/>
  <c r="AD589" i="8"/>
  <c r="AF589" i="8" s="1"/>
  <c r="AH589" i="8" s="1"/>
  <c r="Y588" i="8"/>
  <c r="X590" i="8"/>
  <c r="Y590" i="8" s="1"/>
  <c r="X592" i="8"/>
  <c r="Y592" i="8" s="1"/>
  <c r="X593" i="8"/>
  <c r="Y593" i="8" s="1"/>
  <c r="W588" i="8"/>
  <c r="W591" i="8"/>
  <c r="W592" i="8"/>
  <c r="W593" i="8"/>
  <c r="Y591" i="8" l="1"/>
  <c r="AD593" i="8"/>
  <c r="AF593" i="8" s="1"/>
  <c r="AH593" i="8" s="1"/>
  <c r="N593" i="8" s="1"/>
  <c r="AD592" i="8"/>
  <c r="AF592" i="8" s="1"/>
  <c r="AH592" i="8" s="1"/>
  <c r="Q592" i="8" s="1"/>
  <c r="P592" i="8" s="1"/>
  <c r="AD590" i="8"/>
  <c r="AF590" i="8" s="1"/>
  <c r="AH590" i="8" s="1"/>
  <c r="AD588" i="8"/>
  <c r="AF588" i="8" s="1"/>
  <c r="AH588" i="8" s="1"/>
  <c r="N590" i="8"/>
  <c r="Q590" i="8"/>
  <c r="P590" i="8" s="1"/>
  <c r="N589" i="8"/>
  <c r="Q589" i="8"/>
  <c r="P589" i="8" s="1"/>
  <c r="N588" i="8"/>
  <c r="Q588" i="8"/>
  <c r="P588" i="8" s="1"/>
  <c r="N591" i="8"/>
  <c r="Q591" i="8"/>
  <c r="P591" i="8" s="1"/>
  <c r="HP11" i="2"/>
  <c r="HQ11" i="2"/>
  <c r="HR11" i="2"/>
  <c r="HS11" i="2"/>
  <c r="HT11" i="2"/>
  <c r="HU11" i="2"/>
  <c r="HV11" i="2"/>
  <c r="N592" i="8" l="1"/>
  <c r="Q593" i="8"/>
  <c r="P593" i="8" s="1"/>
  <c r="HH11" i="5"/>
  <c r="HI11" i="5"/>
  <c r="HJ11" i="5"/>
  <c r="HK11" i="5"/>
  <c r="HL11" i="5"/>
  <c r="HM11" i="5"/>
  <c r="HN11" i="5"/>
  <c r="HO11" i="5"/>
  <c r="O580" i="8"/>
  <c r="Q580" i="8"/>
  <c r="P580" i="8" s="1"/>
  <c r="R580" i="8"/>
  <c r="O581" i="8"/>
  <c r="O582" i="8"/>
  <c r="R582" i="8"/>
  <c r="O583" i="8"/>
  <c r="O584" i="8"/>
  <c r="O585" i="8"/>
  <c r="R585" i="8"/>
  <c r="O586" i="8"/>
  <c r="R586" i="8"/>
  <c r="O587" i="8"/>
  <c r="N580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Y581" i="8"/>
  <c r="X581" i="8"/>
  <c r="W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I581" i="8"/>
  <c r="AE581" i="8"/>
  <c r="AG581" i="8" s="1"/>
  <c r="R581" i="8" s="1"/>
  <c r="AE582" i="8"/>
  <c r="AG582" i="8" s="1"/>
  <c r="AI582" i="8"/>
  <c r="AE583" i="8"/>
  <c r="AG583" i="8" s="1"/>
  <c r="R583" i="8" s="1"/>
  <c r="AI583" i="8"/>
  <c r="AE584" i="8"/>
  <c r="AG584" i="8" s="1"/>
  <c r="R584" i="8" s="1"/>
  <c r="AI584" i="8"/>
  <c r="AE585" i="8"/>
  <c r="AG585" i="8" s="1"/>
  <c r="AI585" i="8"/>
  <c r="AE586" i="8"/>
  <c r="AG586" i="8" s="1"/>
  <c r="AI586" i="8"/>
  <c r="AE587" i="8"/>
  <c r="AG587" i="8" s="1"/>
  <c r="R587" i="8" s="1"/>
  <c r="AI587" i="8"/>
  <c r="X582" i="8"/>
  <c r="AD582" i="8" s="1"/>
  <c r="AF582" i="8" s="1"/>
  <c r="AH582" i="8" s="1"/>
  <c r="Q582" i="8" s="1"/>
  <c r="W582" i="8"/>
  <c r="W3" i="8"/>
  <c r="X3" i="8"/>
  <c r="W4" i="8"/>
  <c r="X4" i="8"/>
  <c r="W5" i="8"/>
  <c r="X5" i="8"/>
  <c r="W6" i="8"/>
  <c r="X6" i="8"/>
  <c r="W7" i="8"/>
  <c r="X7" i="8"/>
  <c r="W8" i="8"/>
  <c r="X8" i="8"/>
  <c r="W9" i="8"/>
  <c r="X9" i="8"/>
  <c r="W10" i="8"/>
  <c r="X10" i="8"/>
  <c r="W11" i="8"/>
  <c r="X11" i="8"/>
  <c r="W12" i="8"/>
  <c r="X12" i="8"/>
  <c r="W13" i="8"/>
  <c r="X13" i="8"/>
  <c r="W14" i="8"/>
  <c r="X14" i="8"/>
  <c r="W15" i="8"/>
  <c r="X15" i="8"/>
  <c r="W16" i="8"/>
  <c r="X16" i="8"/>
  <c r="W17" i="8"/>
  <c r="X17" i="8"/>
  <c r="W18" i="8"/>
  <c r="X18" i="8"/>
  <c r="W19" i="8"/>
  <c r="X19" i="8"/>
  <c r="W20" i="8"/>
  <c r="X20" i="8"/>
  <c r="W21" i="8"/>
  <c r="X21" i="8"/>
  <c r="W22" i="8"/>
  <c r="X22" i="8"/>
  <c r="W23" i="8"/>
  <c r="X23" i="8"/>
  <c r="W24" i="8"/>
  <c r="X24" i="8"/>
  <c r="W25" i="8"/>
  <c r="X25" i="8"/>
  <c r="W26" i="8"/>
  <c r="X26" i="8"/>
  <c r="W27" i="8"/>
  <c r="X27" i="8"/>
  <c r="W28" i="8"/>
  <c r="X28" i="8"/>
  <c r="W29" i="8"/>
  <c r="X29" i="8"/>
  <c r="W30" i="8"/>
  <c r="X30" i="8"/>
  <c r="W31" i="8"/>
  <c r="X31" i="8"/>
  <c r="W32" i="8"/>
  <c r="X32" i="8"/>
  <c r="W33" i="8"/>
  <c r="X33" i="8"/>
  <c r="W34" i="8"/>
  <c r="X34" i="8"/>
  <c r="W35" i="8"/>
  <c r="X35" i="8"/>
  <c r="W36" i="8"/>
  <c r="X36" i="8"/>
  <c r="W37" i="8"/>
  <c r="X37" i="8"/>
  <c r="W38" i="8"/>
  <c r="X38" i="8"/>
  <c r="W39" i="8"/>
  <c r="X39" i="8"/>
  <c r="W40" i="8"/>
  <c r="X40" i="8"/>
  <c r="W41" i="8"/>
  <c r="X41" i="8"/>
  <c r="W42" i="8"/>
  <c r="X42" i="8"/>
  <c r="W43" i="8"/>
  <c r="X43" i="8"/>
  <c r="W44" i="8"/>
  <c r="X44" i="8"/>
  <c r="W45" i="8"/>
  <c r="X45" i="8"/>
  <c r="W46" i="8"/>
  <c r="X46" i="8"/>
  <c r="W47" i="8"/>
  <c r="X47" i="8"/>
  <c r="W48" i="8"/>
  <c r="X48" i="8"/>
  <c r="W49" i="8"/>
  <c r="X49" i="8"/>
  <c r="W50" i="8"/>
  <c r="X50" i="8"/>
  <c r="W51" i="8"/>
  <c r="X51" i="8"/>
  <c r="W52" i="8"/>
  <c r="X52" i="8"/>
  <c r="W53" i="8"/>
  <c r="X53" i="8"/>
  <c r="W54" i="8"/>
  <c r="X54" i="8"/>
  <c r="W55" i="8"/>
  <c r="X55" i="8"/>
  <c r="W56" i="8"/>
  <c r="X56" i="8"/>
  <c r="W57" i="8"/>
  <c r="X57" i="8"/>
  <c r="W58" i="8"/>
  <c r="X58" i="8"/>
  <c r="W59" i="8"/>
  <c r="X59" i="8"/>
  <c r="W60" i="8"/>
  <c r="X60" i="8"/>
  <c r="W61" i="8"/>
  <c r="X61" i="8"/>
  <c r="W62" i="8"/>
  <c r="X62" i="8"/>
  <c r="W63" i="8"/>
  <c r="X63" i="8"/>
  <c r="W64" i="8"/>
  <c r="X64" i="8"/>
  <c r="W65" i="8"/>
  <c r="X65" i="8"/>
  <c r="W66" i="8"/>
  <c r="X66" i="8"/>
  <c r="W67" i="8"/>
  <c r="X67" i="8"/>
  <c r="W68" i="8"/>
  <c r="X68" i="8"/>
  <c r="W69" i="8"/>
  <c r="X69" i="8"/>
  <c r="W70" i="8"/>
  <c r="X70" i="8"/>
  <c r="W71" i="8"/>
  <c r="X71" i="8"/>
  <c r="W72" i="8"/>
  <c r="X72" i="8"/>
  <c r="W73" i="8"/>
  <c r="X73" i="8"/>
  <c r="W74" i="8"/>
  <c r="X74" i="8"/>
  <c r="W75" i="8"/>
  <c r="X75" i="8"/>
  <c r="W76" i="8"/>
  <c r="X76" i="8"/>
  <c r="W77" i="8"/>
  <c r="X77" i="8"/>
  <c r="W78" i="8"/>
  <c r="X78" i="8"/>
  <c r="W79" i="8"/>
  <c r="X79" i="8"/>
  <c r="W80" i="8"/>
  <c r="X80" i="8"/>
  <c r="W81" i="8"/>
  <c r="X81" i="8"/>
  <c r="W82" i="8"/>
  <c r="X82" i="8"/>
  <c r="W83" i="8"/>
  <c r="X83" i="8"/>
  <c r="W84" i="8"/>
  <c r="X84" i="8"/>
  <c r="W85" i="8"/>
  <c r="X85" i="8"/>
  <c r="W86" i="8"/>
  <c r="X86" i="8"/>
  <c r="W87" i="8"/>
  <c r="X87" i="8"/>
  <c r="W88" i="8"/>
  <c r="X88" i="8"/>
  <c r="W89" i="8"/>
  <c r="X89" i="8"/>
  <c r="W90" i="8"/>
  <c r="X90" i="8"/>
  <c r="W91" i="8"/>
  <c r="X91" i="8"/>
  <c r="W92" i="8"/>
  <c r="X92" i="8"/>
  <c r="W93" i="8"/>
  <c r="X93" i="8"/>
  <c r="W94" i="8"/>
  <c r="X94" i="8"/>
  <c r="W95" i="8"/>
  <c r="X95" i="8"/>
  <c r="W96" i="8"/>
  <c r="X96" i="8"/>
  <c r="W97" i="8"/>
  <c r="X97" i="8"/>
  <c r="W98" i="8"/>
  <c r="X98" i="8"/>
  <c r="W99" i="8"/>
  <c r="X99" i="8"/>
  <c r="W100" i="8"/>
  <c r="X100" i="8"/>
  <c r="W101" i="8"/>
  <c r="X101" i="8"/>
  <c r="W102" i="8"/>
  <c r="X102" i="8"/>
  <c r="W103" i="8"/>
  <c r="X103" i="8"/>
  <c r="W104" i="8"/>
  <c r="X104" i="8"/>
  <c r="W105" i="8"/>
  <c r="X105" i="8"/>
  <c r="W106" i="8"/>
  <c r="X106" i="8"/>
  <c r="W107" i="8"/>
  <c r="X107" i="8"/>
  <c r="W108" i="8"/>
  <c r="X108" i="8"/>
  <c r="W109" i="8"/>
  <c r="X109" i="8"/>
  <c r="W110" i="8"/>
  <c r="X110" i="8"/>
  <c r="W111" i="8"/>
  <c r="X111" i="8"/>
  <c r="W112" i="8"/>
  <c r="X112" i="8"/>
  <c r="W113" i="8"/>
  <c r="X113" i="8"/>
  <c r="W114" i="8"/>
  <c r="X114" i="8"/>
  <c r="W115" i="8"/>
  <c r="X115" i="8"/>
  <c r="W116" i="8"/>
  <c r="X116" i="8"/>
  <c r="W117" i="8"/>
  <c r="X117" i="8"/>
  <c r="W118" i="8"/>
  <c r="X118" i="8"/>
  <c r="W119" i="8"/>
  <c r="X119" i="8"/>
  <c r="W120" i="8"/>
  <c r="X120" i="8"/>
  <c r="W121" i="8"/>
  <c r="X121" i="8"/>
  <c r="W122" i="8"/>
  <c r="X122" i="8"/>
  <c r="W123" i="8"/>
  <c r="X123" i="8"/>
  <c r="W124" i="8"/>
  <c r="X124" i="8"/>
  <c r="W125" i="8"/>
  <c r="X125" i="8"/>
  <c r="W126" i="8"/>
  <c r="X126" i="8"/>
  <c r="W127" i="8"/>
  <c r="X127" i="8"/>
  <c r="W128" i="8"/>
  <c r="X128" i="8"/>
  <c r="W129" i="8"/>
  <c r="X129" i="8"/>
  <c r="W130" i="8"/>
  <c r="X130" i="8"/>
  <c r="W131" i="8"/>
  <c r="X131" i="8"/>
  <c r="W132" i="8"/>
  <c r="X132" i="8"/>
  <c r="W133" i="8"/>
  <c r="X133" i="8"/>
  <c r="W134" i="8"/>
  <c r="X134" i="8"/>
  <c r="W135" i="8"/>
  <c r="X135" i="8"/>
  <c r="W136" i="8"/>
  <c r="X136" i="8"/>
  <c r="W137" i="8"/>
  <c r="X137" i="8"/>
  <c r="W138" i="8"/>
  <c r="X138" i="8"/>
  <c r="W139" i="8"/>
  <c r="X139" i="8"/>
  <c r="W140" i="8"/>
  <c r="X140" i="8"/>
  <c r="W141" i="8"/>
  <c r="X141" i="8"/>
  <c r="W142" i="8"/>
  <c r="X142" i="8"/>
  <c r="W143" i="8"/>
  <c r="X143" i="8"/>
  <c r="W144" i="8"/>
  <c r="X144" i="8"/>
  <c r="W145" i="8"/>
  <c r="X145" i="8"/>
  <c r="W146" i="8"/>
  <c r="X146" i="8"/>
  <c r="W147" i="8"/>
  <c r="X147" i="8"/>
  <c r="W148" i="8"/>
  <c r="X148" i="8"/>
  <c r="W149" i="8"/>
  <c r="X149" i="8"/>
  <c r="W150" i="8"/>
  <c r="X150" i="8"/>
  <c r="W151" i="8"/>
  <c r="X151" i="8"/>
  <c r="W152" i="8"/>
  <c r="X152" i="8"/>
  <c r="W153" i="8"/>
  <c r="X153" i="8"/>
  <c r="W154" i="8"/>
  <c r="X154" i="8"/>
  <c r="W155" i="8"/>
  <c r="X155" i="8"/>
  <c r="W156" i="8"/>
  <c r="X156" i="8"/>
  <c r="W157" i="8"/>
  <c r="X157" i="8"/>
  <c r="W158" i="8"/>
  <c r="X158" i="8"/>
  <c r="W159" i="8"/>
  <c r="X159" i="8"/>
  <c r="W160" i="8"/>
  <c r="X160" i="8"/>
  <c r="W161" i="8"/>
  <c r="X161" i="8"/>
  <c r="W162" i="8"/>
  <c r="X162" i="8"/>
  <c r="W163" i="8"/>
  <c r="X163" i="8"/>
  <c r="W164" i="8"/>
  <c r="X164" i="8"/>
  <c r="W165" i="8"/>
  <c r="X165" i="8"/>
  <c r="W166" i="8"/>
  <c r="X166" i="8"/>
  <c r="W167" i="8"/>
  <c r="X167" i="8"/>
  <c r="W168" i="8"/>
  <c r="X168" i="8"/>
  <c r="W169" i="8"/>
  <c r="X169" i="8"/>
  <c r="W170" i="8"/>
  <c r="X170" i="8"/>
  <c r="W171" i="8"/>
  <c r="X171" i="8"/>
  <c r="W172" i="8"/>
  <c r="X172" i="8"/>
  <c r="W173" i="8"/>
  <c r="X173" i="8"/>
  <c r="W174" i="8"/>
  <c r="X174" i="8"/>
  <c r="W175" i="8"/>
  <c r="X175" i="8"/>
  <c r="W176" i="8"/>
  <c r="X176" i="8"/>
  <c r="W177" i="8"/>
  <c r="X177" i="8"/>
  <c r="W178" i="8"/>
  <c r="X178" i="8"/>
  <c r="W179" i="8"/>
  <c r="X179" i="8"/>
  <c r="W180" i="8"/>
  <c r="X180" i="8"/>
  <c r="W181" i="8"/>
  <c r="X181" i="8"/>
  <c r="W182" i="8"/>
  <c r="X182" i="8"/>
  <c r="W183" i="8"/>
  <c r="X183" i="8"/>
  <c r="W184" i="8"/>
  <c r="X184" i="8"/>
  <c r="W185" i="8"/>
  <c r="X185" i="8"/>
  <c r="W186" i="8"/>
  <c r="X186" i="8"/>
  <c r="W187" i="8"/>
  <c r="X187" i="8"/>
  <c r="W188" i="8"/>
  <c r="X188" i="8"/>
  <c r="W189" i="8"/>
  <c r="X189" i="8"/>
  <c r="W190" i="8"/>
  <c r="X190" i="8"/>
  <c r="W191" i="8"/>
  <c r="X191" i="8"/>
  <c r="W192" i="8"/>
  <c r="X192" i="8"/>
  <c r="W193" i="8"/>
  <c r="X193" i="8"/>
  <c r="W194" i="8"/>
  <c r="X194" i="8"/>
  <c r="W195" i="8"/>
  <c r="X195" i="8"/>
  <c r="W196" i="8"/>
  <c r="X196" i="8"/>
  <c r="W197" i="8"/>
  <c r="X197" i="8"/>
  <c r="W198" i="8"/>
  <c r="X198" i="8"/>
  <c r="W199" i="8"/>
  <c r="X199" i="8"/>
  <c r="W200" i="8"/>
  <c r="X200" i="8"/>
  <c r="W201" i="8"/>
  <c r="X201" i="8"/>
  <c r="W202" i="8"/>
  <c r="X202" i="8"/>
  <c r="W203" i="8"/>
  <c r="X203" i="8"/>
  <c r="W204" i="8"/>
  <c r="X204" i="8"/>
  <c r="W205" i="8"/>
  <c r="X205" i="8"/>
  <c r="W206" i="8"/>
  <c r="X206" i="8"/>
  <c r="W207" i="8"/>
  <c r="X207" i="8"/>
  <c r="W208" i="8"/>
  <c r="X208" i="8"/>
  <c r="W209" i="8"/>
  <c r="X209" i="8"/>
  <c r="W210" i="8"/>
  <c r="X210" i="8"/>
  <c r="W211" i="8"/>
  <c r="X211" i="8"/>
  <c r="W212" i="8"/>
  <c r="X212" i="8"/>
  <c r="W213" i="8"/>
  <c r="X213" i="8"/>
  <c r="W214" i="8"/>
  <c r="X214" i="8"/>
  <c r="W215" i="8"/>
  <c r="X215" i="8"/>
  <c r="W216" i="8"/>
  <c r="X216" i="8"/>
  <c r="W217" i="8"/>
  <c r="X217" i="8"/>
  <c r="W218" i="8"/>
  <c r="X218" i="8"/>
  <c r="W219" i="8"/>
  <c r="X219" i="8"/>
  <c r="W220" i="8"/>
  <c r="X220" i="8"/>
  <c r="W221" i="8"/>
  <c r="X221" i="8"/>
  <c r="W222" i="8"/>
  <c r="X222" i="8"/>
  <c r="W223" i="8"/>
  <c r="X223" i="8"/>
  <c r="W224" i="8"/>
  <c r="X224" i="8"/>
  <c r="W225" i="8"/>
  <c r="X225" i="8"/>
  <c r="W226" i="8"/>
  <c r="X226" i="8"/>
  <c r="W227" i="8"/>
  <c r="X227" i="8"/>
  <c r="W228" i="8"/>
  <c r="X228" i="8"/>
  <c r="W229" i="8"/>
  <c r="X229" i="8"/>
  <c r="W230" i="8"/>
  <c r="X230" i="8"/>
  <c r="W231" i="8"/>
  <c r="X231" i="8"/>
  <c r="W232" i="8"/>
  <c r="X232" i="8"/>
  <c r="W233" i="8"/>
  <c r="X233" i="8"/>
  <c r="W234" i="8"/>
  <c r="X234" i="8"/>
  <c r="W235" i="8"/>
  <c r="X235" i="8"/>
  <c r="W236" i="8"/>
  <c r="X236" i="8"/>
  <c r="W237" i="8"/>
  <c r="X237" i="8"/>
  <c r="W238" i="8"/>
  <c r="X238" i="8"/>
  <c r="W239" i="8"/>
  <c r="X239" i="8"/>
  <c r="W240" i="8"/>
  <c r="X240" i="8"/>
  <c r="W241" i="8"/>
  <c r="X241" i="8"/>
  <c r="W242" i="8"/>
  <c r="X242" i="8"/>
  <c r="W243" i="8"/>
  <c r="X243" i="8"/>
  <c r="W244" i="8"/>
  <c r="X244" i="8"/>
  <c r="W245" i="8"/>
  <c r="X245" i="8"/>
  <c r="W246" i="8"/>
  <c r="X246" i="8"/>
  <c r="W247" i="8"/>
  <c r="X247" i="8"/>
  <c r="W248" i="8"/>
  <c r="X248" i="8"/>
  <c r="W249" i="8"/>
  <c r="X249" i="8"/>
  <c r="W250" i="8"/>
  <c r="X250" i="8"/>
  <c r="W251" i="8"/>
  <c r="X251" i="8"/>
  <c r="W252" i="8"/>
  <c r="X252" i="8"/>
  <c r="W253" i="8"/>
  <c r="X253" i="8"/>
  <c r="W254" i="8"/>
  <c r="X254" i="8"/>
  <c r="W255" i="8"/>
  <c r="X255" i="8"/>
  <c r="W256" i="8"/>
  <c r="X256" i="8"/>
  <c r="W257" i="8"/>
  <c r="X257" i="8"/>
  <c r="W258" i="8"/>
  <c r="X258" i="8"/>
  <c r="W259" i="8"/>
  <c r="X259" i="8"/>
  <c r="W260" i="8"/>
  <c r="X260" i="8"/>
  <c r="W261" i="8"/>
  <c r="X261" i="8"/>
  <c r="W262" i="8"/>
  <c r="X262" i="8"/>
  <c r="W263" i="8"/>
  <c r="X263" i="8"/>
  <c r="W264" i="8"/>
  <c r="X264" i="8"/>
  <c r="W265" i="8"/>
  <c r="X265" i="8"/>
  <c r="W266" i="8"/>
  <c r="X266" i="8"/>
  <c r="W267" i="8"/>
  <c r="X267" i="8"/>
  <c r="W268" i="8"/>
  <c r="X268" i="8"/>
  <c r="W269" i="8"/>
  <c r="X269" i="8"/>
  <c r="W270" i="8"/>
  <c r="X270" i="8"/>
  <c r="W271" i="8"/>
  <c r="X271" i="8"/>
  <c r="W272" i="8"/>
  <c r="X272" i="8"/>
  <c r="W273" i="8"/>
  <c r="X273" i="8"/>
  <c r="W274" i="8"/>
  <c r="X274" i="8"/>
  <c r="W275" i="8"/>
  <c r="X275" i="8"/>
  <c r="W276" i="8"/>
  <c r="X276" i="8"/>
  <c r="W277" i="8"/>
  <c r="X277" i="8"/>
  <c r="W278" i="8"/>
  <c r="X278" i="8"/>
  <c r="W279" i="8"/>
  <c r="X279" i="8"/>
  <c r="W280" i="8"/>
  <c r="X280" i="8"/>
  <c r="W281" i="8"/>
  <c r="X281" i="8"/>
  <c r="W282" i="8"/>
  <c r="X282" i="8"/>
  <c r="W283" i="8"/>
  <c r="X283" i="8"/>
  <c r="W284" i="8"/>
  <c r="X284" i="8"/>
  <c r="W285" i="8"/>
  <c r="X285" i="8"/>
  <c r="W286" i="8"/>
  <c r="X286" i="8"/>
  <c r="W287" i="8"/>
  <c r="X287" i="8"/>
  <c r="W288" i="8"/>
  <c r="X288" i="8"/>
  <c r="W289" i="8"/>
  <c r="X289" i="8"/>
  <c r="W290" i="8"/>
  <c r="X290" i="8"/>
  <c r="W291" i="8"/>
  <c r="X291" i="8"/>
  <c r="W292" i="8"/>
  <c r="X292" i="8"/>
  <c r="W293" i="8"/>
  <c r="X293" i="8"/>
  <c r="W294" i="8"/>
  <c r="X294" i="8"/>
  <c r="W295" i="8"/>
  <c r="X295" i="8"/>
  <c r="W296" i="8"/>
  <c r="X296" i="8"/>
  <c r="W297" i="8"/>
  <c r="X297" i="8"/>
  <c r="W298" i="8"/>
  <c r="X298" i="8"/>
  <c r="W299" i="8"/>
  <c r="X299" i="8"/>
  <c r="W300" i="8"/>
  <c r="X300" i="8"/>
  <c r="W301" i="8"/>
  <c r="X301" i="8"/>
  <c r="W302" i="8"/>
  <c r="X302" i="8"/>
  <c r="W303" i="8"/>
  <c r="X303" i="8"/>
  <c r="W304" i="8"/>
  <c r="X304" i="8"/>
  <c r="W305" i="8"/>
  <c r="X305" i="8"/>
  <c r="W306" i="8"/>
  <c r="X306" i="8"/>
  <c r="W307" i="8"/>
  <c r="X307" i="8"/>
  <c r="W308" i="8"/>
  <c r="X308" i="8"/>
  <c r="W309" i="8"/>
  <c r="X309" i="8"/>
  <c r="W310" i="8"/>
  <c r="X310" i="8"/>
  <c r="W311" i="8"/>
  <c r="X311" i="8"/>
  <c r="W312" i="8"/>
  <c r="X312" i="8"/>
  <c r="W313" i="8"/>
  <c r="X313" i="8"/>
  <c r="W314" i="8"/>
  <c r="X314" i="8"/>
  <c r="W315" i="8"/>
  <c r="X315" i="8"/>
  <c r="W316" i="8"/>
  <c r="X316" i="8"/>
  <c r="W317" i="8"/>
  <c r="X317" i="8"/>
  <c r="W318" i="8"/>
  <c r="X318" i="8"/>
  <c r="W319" i="8"/>
  <c r="X319" i="8"/>
  <c r="W320" i="8"/>
  <c r="X320" i="8"/>
  <c r="W321" i="8"/>
  <c r="X321" i="8"/>
  <c r="W322" i="8"/>
  <c r="X322" i="8"/>
  <c r="W323" i="8"/>
  <c r="X323" i="8"/>
  <c r="W324" i="8"/>
  <c r="X324" i="8"/>
  <c r="W325" i="8"/>
  <c r="X325" i="8"/>
  <c r="W326" i="8"/>
  <c r="X326" i="8"/>
  <c r="W327" i="8"/>
  <c r="X327" i="8"/>
  <c r="W328" i="8"/>
  <c r="X328" i="8"/>
  <c r="W329" i="8"/>
  <c r="X329" i="8"/>
  <c r="W330" i="8"/>
  <c r="X330" i="8"/>
  <c r="W331" i="8"/>
  <c r="X331" i="8"/>
  <c r="W332" i="8"/>
  <c r="X332" i="8"/>
  <c r="W333" i="8"/>
  <c r="X333" i="8"/>
  <c r="W334" i="8"/>
  <c r="X334" i="8"/>
  <c r="W335" i="8"/>
  <c r="X335" i="8"/>
  <c r="W336" i="8"/>
  <c r="X336" i="8"/>
  <c r="W337" i="8"/>
  <c r="X337" i="8"/>
  <c r="W338" i="8"/>
  <c r="X338" i="8"/>
  <c r="W339" i="8"/>
  <c r="X339" i="8"/>
  <c r="W340" i="8"/>
  <c r="X340" i="8"/>
  <c r="W341" i="8"/>
  <c r="X341" i="8"/>
  <c r="W342" i="8"/>
  <c r="X342" i="8"/>
  <c r="W343" i="8"/>
  <c r="X343" i="8"/>
  <c r="W344" i="8"/>
  <c r="X344" i="8"/>
  <c r="W345" i="8"/>
  <c r="X345" i="8"/>
  <c r="W346" i="8"/>
  <c r="X346" i="8"/>
  <c r="W347" i="8"/>
  <c r="X347" i="8"/>
  <c r="W348" i="8"/>
  <c r="X348" i="8"/>
  <c r="W349" i="8"/>
  <c r="X349" i="8"/>
  <c r="W350" i="8"/>
  <c r="X350" i="8"/>
  <c r="W351" i="8"/>
  <c r="X351" i="8"/>
  <c r="W352" i="8"/>
  <c r="X352" i="8"/>
  <c r="W353" i="8"/>
  <c r="X353" i="8"/>
  <c r="W354" i="8"/>
  <c r="X354" i="8"/>
  <c r="W355" i="8"/>
  <c r="X355" i="8"/>
  <c r="W356" i="8"/>
  <c r="X356" i="8"/>
  <c r="W357" i="8"/>
  <c r="X357" i="8"/>
  <c r="W358" i="8"/>
  <c r="X358" i="8"/>
  <c r="W359" i="8"/>
  <c r="X359" i="8"/>
  <c r="W360" i="8"/>
  <c r="X360" i="8"/>
  <c r="W361" i="8"/>
  <c r="X361" i="8"/>
  <c r="W362" i="8"/>
  <c r="X362" i="8"/>
  <c r="W363" i="8"/>
  <c r="X363" i="8"/>
  <c r="W364" i="8"/>
  <c r="X364" i="8"/>
  <c r="W365" i="8"/>
  <c r="X365" i="8"/>
  <c r="W366" i="8"/>
  <c r="X366" i="8"/>
  <c r="W367" i="8"/>
  <c r="X367" i="8"/>
  <c r="W368" i="8"/>
  <c r="X368" i="8"/>
  <c r="W369" i="8"/>
  <c r="X369" i="8"/>
  <c r="W370" i="8"/>
  <c r="X370" i="8"/>
  <c r="W371" i="8"/>
  <c r="X371" i="8"/>
  <c r="W372" i="8"/>
  <c r="X372" i="8"/>
  <c r="W373" i="8"/>
  <c r="X373" i="8"/>
  <c r="W374" i="8"/>
  <c r="X374" i="8"/>
  <c r="W375" i="8"/>
  <c r="X375" i="8"/>
  <c r="W376" i="8"/>
  <c r="X376" i="8"/>
  <c r="W377" i="8"/>
  <c r="X377" i="8"/>
  <c r="W378" i="8"/>
  <c r="X378" i="8"/>
  <c r="W379" i="8"/>
  <c r="X379" i="8"/>
  <c r="W380" i="8"/>
  <c r="X380" i="8"/>
  <c r="W381" i="8"/>
  <c r="X381" i="8"/>
  <c r="W382" i="8"/>
  <c r="X382" i="8"/>
  <c r="W383" i="8"/>
  <c r="X383" i="8"/>
  <c r="W384" i="8"/>
  <c r="X384" i="8"/>
  <c r="W385" i="8"/>
  <c r="X385" i="8"/>
  <c r="W386" i="8"/>
  <c r="X386" i="8"/>
  <c r="W387" i="8"/>
  <c r="X387" i="8"/>
  <c r="W388" i="8"/>
  <c r="X388" i="8"/>
  <c r="W389" i="8"/>
  <c r="X389" i="8"/>
  <c r="W390" i="8"/>
  <c r="X390" i="8"/>
  <c r="W391" i="8"/>
  <c r="X391" i="8"/>
  <c r="W392" i="8"/>
  <c r="X392" i="8"/>
  <c r="W393" i="8"/>
  <c r="X393" i="8"/>
  <c r="W394" i="8"/>
  <c r="X394" i="8"/>
  <c r="W395" i="8"/>
  <c r="X395" i="8"/>
  <c r="W396" i="8"/>
  <c r="X396" i="8"/>
  <c r="W397" i="8"/>
  <c r="X397" i="8"/>
  <c r="W398" i="8"/>
  <c r="X398" i="8"/>
  <c r="W399" i="8"/>
  <c r="X399" i="8"/>
  <c r="W400" i="8"/>
  <c r="X400" i="8"/>
  <c r="W401" i="8"/>
  <c r="X401" i="8"/>
  <c r="W402" i="8"/>
  <c r="X402" i="8"/>
  <c r="W403" i="8"/>
  <c r="X403" i="8"/>
  <c r="W404" i="8"/>
  <c r="X404" i="8"/>
  <c r="W405" i="8"/>
  <c r="X405" i="8"/>
  <c r="W406" i="8"/>
  <c r="X406" i="8"/>
  <c r="W407" i="8"/>
  <c r="X407" i="8"/>
  <c r="W408" i="8"/>
  <c r="X408" i="8"/>
  <c r="W409" i="8"/>
  <c r="X409" i="8"/>
  <c r="W410" i="8"/>
  <c r="X410" i="8"/>
  <c r="W411" i="8"/>
  <c r="X411" i="8"/>
  <c r="W412" i="8"/>
  <c r="X412" i="8"/>
  <c r="W413" i="8"/>
  <c r="X413" i="8"/>
  <c r="W414" i="8"/>
  <c r="X414" i="8"/>
  <c r="W415" i="8"/>
  <c r="X415" i="8"/>
  <c r="W416" i="8"/>
  <c r="X416" i="8"/>
  <c r="W417" i="8"/>
  <c r="X417" i="8"/>
  <c r="W418" i="8"/>
  <c r="X418" i="8"/>
  <c r="W419" i="8"/>
  <c r="X419" i="8"/>
  <c r="W420" i="8"/>
  <c r="X420" i="8"/>
  <c r="W421" i="8"/>
  <c r="X421" i="8"/>
  <c r="W422" i="8"/>
  <c r="X422" i="8"/>
  <c r="W423" i="8"/>
  <c r="X423" i="8"/>
  <c r="W424" i="8"/>
  <c r="X424" i="8"/>
  <c r="W425" i="8"/>
  <c r="X425" i="8"/>
  <c r="W426" i="8"/>
  <c r="X426" i="8"/>
  <c r="W427" i="8"/>
  <c r="X427" i="8"/>
  <c r="W428" i="8"/>
  <c r="X428" i="8"/>
  <c r="W429" i="8"/>
  <c r="X429" i="8"/>
  <c r="W430" i="8"/>
  <c r="X430" i="8"/>
  <c r="W431" i="8"/>
  <c r="X431" i="8"/>
  <c r="W432" i="8"/>
  <c r="X432" i="8"/>
  <c r="W433" i="8"/>
  <c r="X433" i="8"/>
  <c r="W434" i="8"/>
  <c r="X434" i="8"/>
  <c r="W435" i="8"/>
  <c r="X435" i="8"/>
  <c r="W436" i="8"/>
  <c r="X436" i="8"/>
  <c r="W437" i="8"/>
  <c r="X437" i="8"/>
  <c r="W438" i="8"/>
  <c r="X438" i="8"/>
  <c r="W439" i="8"/>
  <c r="X439" i="8"/>
  <c r="W440" i="8"/>
  <c r="X440" i="8"/>
  <c r="W441" i="8"/>
  <c r="X441" i="8"/>
  <c r="W442" i="8"/>
  <c r="X442" i="8"/>
  <c r="W443" i="8"/>
  <c r="X443" i="8"/>
  <c r="W444" i="8"/>
  <c r="X444" i="8"/>
  <c r="W445" i="8"/>
  <c r="X445" i="8"/>
  <c r="W446" i="8"/>
  <c r="X446" i="8"/>
  <c r="W447" i="8"/>
  <c r="X447" i="8"/>
  <c r="W448" i="8"/>
  <c r="X448" i="8"/>
  <c r="W449" i="8"/>
  <c r="X449" i="8"/>
  <c r="W450" i="8"/>
  <c r="X450" i="8"/>
  <c r="W451" i="8"/>
  <c r="X451" i="8"/>
  <c r="W452" i="8"/>
  <c r="X452" i="8"/>
  <c r="W453" i="8"/>
  <c r="X453" i="8"/>
  <c r="W454" i="8"/>
  <c r="X454" i="8"/>
  <c r="W455" i="8"/>
  <c r="X455" i="8"/>
  <c r="W456" i="8"/>
  <c r="X456" i="8"/>
  <c r="W457" i="8"/>
  <c r="X457" i="8"/>
  <c r="W458" i="8"/>
  <c r="X458" i="8"/>
  <c r="W459" i="8"/>
  <c r="X459" i="8"/>
  <c r="W460" i="8"/>
  <c r="X460" i="8"/>
  <c r="W461" i="8"/>
  <c r="X461" i="8"/>
  <c r="W462" i="8"/>
  <c r="X462" i="8"/>
  <c r="W463" i="8"/>
  <c r="X463" i="8"/>
  <c r="W464" i="8"/>
  <c r="X464" i="8"/>
  <c r="W465" i="8"/>
  <c r="X465" i="8"/>
  <c r="W466" i="8"/>
  <c r="X466" i="8"/>
  <c r="W467" i="8"/>
  <c r="X467" i="8"/>
  <c r="W468" i="8"/>
  <c r="X468" i="8"/>
  <c r="W469" i="8"/>
  <c r="X469" i="8"/>
  <c r="W470" i="8"/>
  <c r="X470" i="8"/>
  <c r="W471" i="8"/>
  <c r="X471" i="8"/>
  <c r="W472" i="8"/>
  <c r="X472" i="8"/>
  <c r="W473" i="8"/>
  <c r="X473" i="8"/>
  <c r="W474" i="8"/>
  <c r="X474" i="8"/>
  <c r="W475" i="8"/>
  <c r="X475" i="8"/>
  <c r="W476" i="8"/>
  <c r="X476" i="8"/>
  <c r="W477" i="8"/>
  <c r="X477" i="8"/>
  <c r="W478" i="8"/>
  <c r="X478" i="8"/>
  <c r="W479" i="8"/>
  <c r="X479" i="8"/>
  <c r="W480" i="8"/>
  <c r="X480" i="8"/>
  <c r="W481" i="8"/>
  <c r="X481" i="8"/>
  <c r="W482" i="8"/>
  <c r="X482" i="8"/>
  <c r="W483" i="8"/>
  <c r="X483" i="8"/>
  <c r="W484" i="8"/>
  <c r="X484" i="8"/>
  <c r="W485" i="8"/>
  <c r="X485" i="8"/>
  <c r="W486" i="8"/>
  <c r="X486" i="8"/>
  <c r="W487" i="8"/>
  <c r="X487" i="8"/>
  <c r="W488" i="8"/>
  <c r="X488" i="8"/>
  <c r="W489" i="8"/>
  <c r="X489" i="8"/>
  <c r="W490" i="8"/>
  <c r="X490" i="8"/>
  <c r="W491" i="8"/>
  <c r="X491" i="8"/>
  <c r="W492" i="8"/>
  <c r="X492" i="8"/>
  <c r="W493" i="8"/>
  <c r="X493" i="8"/>
  <c r="W494" i="8"/>
  <c r="X494" i="8"/>
  <c r="W495" i="8"/>
  <c r="X495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0" i="8"/>
  <c r="X510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W517" i="8"/>
  <c r="X517" i="8"/>
  <c r="W518" i="8"/>
  <c r="X518" i="8"/>
  <c r="W519" i="8"/>
  <c r="X519" i="8"/>
  <c r="W520" i="8"/>
  <c r="X520" i="8"/>
  <c r="W521" i="8"/>
  <c r="X521" i="8"/>
  <c r="W522" i="8"/>
  <c r="X522" i="8"/>
  <c r="W523" i="8"/>
  <c r="X523" i="8"/>
  <c r="W524" i="8"/>
  <c r="X524" i="8"/>
  <c r="W525" i="8"/>
  <c r="X525" i="8"/>
  <c r="W526" i="8"/>
  <c r="X526" i="8"/>
  <c r="W527" i="8"/>
  <c r="X527" i="8"/>
  <c r="W528" i="8"/>
  <c r="X528" i="8"/>
  <c r="W529" i="8"/>
  <c r="X529" i="8"/>
  <c r="W530" i="8"/>
  <c r="X530" i="8"/>
  <c r="W531" i="8"/>
  <c r="X531" i="8"/>
  <c r="W532" i="8"/>
  <c r="X532" i="8"/>
  <c r="W533" i="8"/>
  <c r="X533" i="8"/>
  <c r="W534" i="8"/>
  <c r="X534" i="8"/>
  <c r="W535" i="8"/>
  <c r="X535" i="8"/>
  <c r="W536" i="8"/>
  <c r="X536" i="8"/>
  <c r="W537" i="8"/>
  <c r="X537" i="8"/>
  <c r="W538" i="8"/>
  <c r="X538" i="8"/>
  <c r="W539" i="8"/>
  <c r="X539" i="8"/>
  <c r="W540" i="8"/>
  <c r="X540" i="8"/>
  <c r="W541" i="8"/>
  <c r="X541" i="8"/>
  <c r="W542" i="8"/>
  <c r="X542" i="8"/>
  <c r="W543" i="8"/>
  <c r="X543" i="8"/>
  <c r="W544" i="8"/>
  <c r="X544" i="8"/>
  <c r="W545" i="8"/>
  <c r="X545" i="8"/>
  <c r="W546" i="8"/>
  <c r="X546" i="8"/>
  <c r="W547" i="8"/>
  <c r="X547" i="8"/>
  <c r="W548" i="8"/>
  <c r="X548" i="8"/>
  <c r="W549" i="8"/>
  <c r="X549" i="8"/>
  <c r="W550" i="8"/>
  <c r="X550" i="8"/>
  <c r="W551" i="8"/>
  <c r="X551" i="8"/>
  <c r="W552" i="8"/>
  <c r="X552" i="8"/>
  <c r="W553" i="8"/>
  <c r="X553" i="8"/>
  <c r="W554" i="8"/>
  <c r="X554" i="8"/>
  <c r="W555" i="8"/>
  <c r="X555" i="8"/>
  <c r="W556" i="8"/>
  <c r="X556" i="8"/>
  <c r="W557" i="8"/>
  <c r="X557" i="8"/>
  <c r="W558" i="8"/>
  <c r="X558" i="8"/>
  <c r="W559" i="8"/>
  <c r="X559" i="8"/>
  <c r="W560" i="8"/>
  <c r="X560" i="8"/>
  <c r="W561" i="8"/>
  <c r="X561" i="8"/>
  <c r="W562" i="8"/>
  <c r="X562" i="8"/>
  <c r="W563" i="8"/>
  <c r="X563" i="8"/>
  <c r="W564" i="8"/>
  <c r="X564" i="8"/>
  <c r="W565" i="8"/>
  <c r="X565" i="8"/>
  <c r="W566" i="8"/>
  <c r="X566" i="8"/>
  <c r="W567" i="8"/>
  <c r="X567" i="8"/>
  <c r="W568" i="8"/>
  <c r="X568" i="8"/>
  <c r="W569" i="8"/>
  <c r="X569" i="8"/>
  <c r="W570" i="8"/>
  <c r="X570" i="8"/>
  <c r="W571" i="8"/>
  <c r="X571" i="8"/>
  <c r="W572" i="8"/>
  <c r="X572" i="8"/>
  <c r="W573" i="8"/>
  <c r="X573" i="8"/>
  <c r="W574" i="8"/>
  <c r="X574" i="8"/>
  <c r="W575" i="8"/>
  <c r="X575" i="8"/>
  <c r="W576" i="8"/>
  <c r="X576" i="8"/>
  <c r="AD576" i="8" s="1"/>
  <c r="W577" i="8"/>
  <c r="X577" i="8"/>
  <c r="W578" i="8"/>
  <c r="X578" i="8"/>
  <c r="W579" i="8"/>
  <c r="X579" i="8"/>
  <c r="W580" i="8"/>
  <c r="X580" i="8"/>
  <c r="AD580" i="8" s="1"/>
  <c r="W583" i="8"/>
  <c r="X583" i="8"/>
  <c r="AD583" i="8" s="1"/>
  <c r="AF583" i="8" s="1"/>
  <c r="AH583" i="8" s="1"/>
  <c r="W584" i="8"/>
  <c r="X584" i="8"/>
  <c r="AD584" i="8" s="1"/>
  <c r="AF584" i="8" s="1"/>
  <c r="AH584" i="8" s="1"/>
  <c r="N584" i="8" s="1"/>
  <c r="W585" i="8"/>
  <c r="X585" i="8"/>
  <c r="AD585" i="8" s="1"/>
  <c r="AF585" i="8" s="1"/>
  <c r="AH585" i="8" s="1"/>
  <c r="N585" i="8" s="1"/>
  <c r="W586" i="8"/>
  <c r="X586" i="8"/>
  <c r="AD586" i="8" s="1"/>
  <c r="AF586" i="8" s="1"/>
  <c r="AH586" i="8" s="1"/>
  <c r="N586" i="8" s="1"/>
  <c r="W587" i="8"/>
  <c r="X587" i="8"/>
  <c r="X2" i="8"/>
  <c r="W2" i="8"/>
  <c r="AD581" i="8"/>
  <c r="AF581" i="8" s="1"/>
  <c r="AH581" i="8" s="1"/>
  <c r="Q586" i="8" l="1"/>
  <c r="P586" i="8" s="1"/>
  <c r="P582" i="8"/>
  <c r="Y582" i="8"/>
  <c r="Q584" i="8"/>
  <c r="P584" i="8" s="1"/>
  <c r="N581" i="8"/>
  <c r="Q583" i="8"/>
  <c r="P583" i="8" s="1"/>
  <c r="N583" i="8"/>
  <c r="Q581" i="8"/>
  <c r="P581" i="8" s="1"/>
  <c r="Q585" i="8"/>
  <c r="P585" i="8" s="1"/>
  <c r="Y586" i="8"/>
  <c r="N582" i="8"/>
  <c r="Y585" i="8"/>
  <c r="AD587" i="8"/>
  <c r="AF587" i="8" s="1"/>
  <c r="AH587" i="8" s="1"/>
  <c r="Q587" i="8" s="1"/>
  <c r="P587" i="8" s="1"/>
  <c r="Y587" i="8"/>
  <c r="Y584" i="8"/>
  <c r="Y583" i="8"/>
  <c r="G11" i="54"/>
  <c r="H11" i="54"/>
  <c r="O574" i="8"/>
  <c r="O575" i="8"/>
  <c r="O576" i="8"/>
  <c r="O577" i="8"/>
  <c r="O578" i="8"/>
  <c r="O579" i="8"/>
  <c r="N587" i="8" l="1"/>
  <c r="HB11" i="5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E574" i="8"/>
  <c r="AG574" i="8" s="1"/>
  <c r="R574" i="8" s="1"/>
  <c r="AI574" i="8"/>
  <c r="AE575" i="8"/>
  <c r="AG575" i="8" s="1"/>
  <c r="R575" i="8" s="1"/>
  <c r="AI575" i="8"/>
  <c r="AE576" i="8"/>
  <c r="AG576" i="8"/>
  <c r="R576" i="8" s="1"/>
  <c r="AI576" i="8"/>
  <c r="AE577" i="8"/>
  <c r="AG577" i="8" s="1"/>
  <c r="R577" i="8" s="1"/>
  <c r="AI577" i="8"/>
  <c r="AE578" i="8"/>
  <c r="AG578" i="8"/>
  <c r="R578" i="8" s="1"/>
  <c r="AI578" i="8"/>
  <c r="AE579" i="8"/>
  <c r="AG579" i="8"/>
  <c r="R579" i="8" s="1"/>
  <c r="AI579" i="8"/>
  <c r="AD574" i="8"/>
  <c r="AF574" i="8" s="1"/>
  <c r="AH574" i="8" s="1"/>
  <c r="AD575" i="8"/>
  <c r="AF575" i="8" s="1"/>
  <c r="AH575" i="8" s="1"/>
  <c r="AF576" i="8"/>
  <c r="AH576" i="8" s="1"/>
  <c r="AD577" i="8"/>
  <c r="AF577" i="8" s="1"/>
  <c r="AH577" i="8" s="1"/>
  <c r="AD578" i="8"/>
  <c r="AF578" i="8" s="1"/>
  <c r="AH578" i="8" s="1"/>
  <c r="AD579" i="8"/>
  <c r="AF579" i="8" s="1"/>
  <c r="AH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E567" i="8"/>
  <c r="AG567" i="8" s="1"/>
  <c r="R567" i="8" s="1"/>
  <c r="AI567" i="8"/>
  <c r="AE568" i="8"/>
  <c r="AG568" i="8" s="1"/>
  <c r="R568" i="8" s="1"/>
  <c r="AI568" i="8"/>
  <c r="AE569" i="8"/>
  <c r="AG569" i="8" s="1"/>
  <c r="R569" i="8" s="1"/>
  <c r="AI569" i="8"/>
  <c r="AE570" i="8"/>
  <c r="AG570" i="8"/>
  <c r="R570" i="8" s="1"/>
  <c r="AI570" i="8"/>
  <c r="AE571" i="8"/>
  <c r="AG571" i="8" s="1"/>
  <c r="R571" i="8" s="1"/>
  <c r="AI571" i="8"/>
  <c r="AE572" i="8"/>
  <c r="AG572" i="8" s="1"/>
  <c r="R572" i="8" s="1"/>
  <c r="AI572" i="8"/>
  <c r="AE573" i="8"/>
  <c r="AG573" i="8"/>
  <c r="R573" i="8" s="1"/>
  <c r="AI573" i="8"/>
  <c r="AD564" i="8"/>
  <c r="AD565" i="8"/>
  <c r="AD567" i="8"/>
  <c r="AF567" i="8" s="1"/>
  <c r="AH567" i="8" s="1"/>
  <c r="AD568" i="8"/>
  <c r="AF568" i="8" s="1"/>
  <c r="AH568" i="8" s="1"/>
  <c r="AD569" i="8"/>
  <c r="AF569" i="8" s="1"/>
  <c r="AH569" i="8" s="1"/>
  <c r="AD570" i="8"/>
  <c r="AF570" i="8" s="1"/>
  <c r="AH570" i="8" s="1"/>
  <c r="AD571" i="8"/>
  <c r="AF571" i="8" s="1"/>
  <c r="AH571" i="8" s="1"/>
  <c r="AD572" i="8"/>
  <c r="AF572" i="8" s="1"/>
  <c r="AH572" i="8" s="1"/>
  <c r="AD573" i="8"/>
  <c r="AF573" i="8" s="1"/>
  <c r="AH573" i="8" s="1"/>
  <c r="Q567" i="8" l="1"/>
  <c r="P567" i="8" s="1"/>
  <c r="N567" i="8"/>
  <c r="Q577" i="8"/>
  <c r="P577" i="8" s="1"/>
  <c r="N577" i="8"/>
  <c r="N579" i="8"/>
  <c r="Q579" i="8"/>
  <c r="P579" i="8" s="1"/>
  <c r="N578" i="8"/>
  <c r="Q578" i="8"/>
  <c r="P578" i="8" s="1"/>
  <c r="N573" i="8"/>
  <c r="Q573" i="8"/>
  <c r="P573" i="8" s="1"/>
  <c r="N572" i="8"/>
  <c r="Q572" i="8"/>
  <c r="P572" i="8" s="1"/>
  <c r="N575" i="8"/>
  <c r="Q575" i="8"/>
  <c r="P575" i="8" s="1"/>
  <c r="N570" i="8"/>
  <c r="Q570" i="8"/>
  <c r="P570" i="8" s="1"/>
  <c r="Q574" i="8"/>
  <c r="P574" i="8" s="1"/>
  <c r="N574" i="8"/>
  <c r="Q568" i="8"/>
  <c r="P568" i="8" s="1"/>
  <c r="N568" i="8"/>
  <c r="N576" i="8"/>
  <c r="Q576" i="8"/>
  <c r="P576" i="8" s="1"/>
  <c r="Q571" i="8"/>
  <c r="P571" i="8" s="1"/>
  <c r="N571" i="8"/>
  <c r="N569" i="8"/>
  <c r="Q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E560" i="8"/>
  <c r="AG560" i="8" s="1"/>
  <c r="R560" i="8" s="1"/>
  <c r="AE561" i="8"/>
  <c r="AG561" i="8" s="1"/>
  <c r="R561" i="8" s="1"/>
  <c r="AE562" i="8"/>
  <c r="AG562" i="8" s="1"/>
  <c r="R562" i="8" s="1"/>
  <c r="AE563" i="8"/>
  <c r="AG563" i="8" s="1"/>
  <c r="R563" i="8" s="1"/>
  <c r="AE564" i="8"/>
  <c r="AG564" i="8" s="1"/>
  <c r="R564" i="8" s="1"/>
  <c r="AE565" i="8"/>
  <c r="AG565" i="8" s="1"/>
  <c r="R565" i="8" s="1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I561" i="8"/>
  <c r="AI560" i="8"/>
  <c r="AI562" i="8"/>
  <c r="AI563" i="8"/>
  <c r="AI564" i="8"/>
  <c r="AI565" i="8"/>
  <c r="AD563" i="8"/>
  <c r="AF563" i="8" s="1"/>
  <c r="AH563" i="8" s="1"/>
  <c r="Q563" i="8" s="1"/>
  <c r="P563" i="8" s="1"/>
  <c r="AF564" i="8"/>
  <c r="AH564" i="8" s="1"/>
  <c r="Q564" i="8" s="1"/>
  <c r="P564" i="8" s="1"/>
  <c r="AF565" i="8"/>
  <c r="AH565" i="8" s="1"/>
  <c r="N565" i="8" s="1"/>
  <c r="AD560" i="8"/>
  <c r="AF560" i="8" s="1"/>
  <c r="AH560" i="8" s="1"/>
  <c r="AD561" i="8"/>
  <c r="AF561" i="8" s="1"/>
  <c r="AH561" i="8" s="1"/>
  <c r="AD562" i="8"/>
  <c r="AF562" i="8" s="1"/>
  <c r="AH562" i="8" s="1"/>
  <c r="Q562" i="8" s="1"/>
  <c r="P562" i="8" s="1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AD553" i="8"/>
  <c r="AF553" i="8" s="1"/>
  <c r="AH553" i="8" s="1"/>
  <c r="AD554" i="8"/>
  <c r="AF554" i="8" s="1"/>
  <c r="AH554" i="8" s="1"/>
  <c r="AD555" i="8"/>
  <c r="AF555" i="8" s="1"/>
  <c r="AH555" i="8" s="1"/>
  <c r="AD556" i="8"/>
  <c r="AF556" i="8" s="1"/>
  <c r="AH556" i="8" s="1"/>
  <c r="AD557" i="8"/>
  <c r="AF557" i="8" s="1"/>
  <c r="AH557" i="8" s="1"/>
  <c r="AD558" i="8"/>
  <c r="AF558" i="8" s="1"/>
  <c r="AH558" i="8" s="1"/>
  <c r="AD559" i="8"/>
  <c r="AF559" i="8" s="1"/>
  <c r="AH559" i="8" s="1"/>
  <c r="Q559" i="8" s="1"/>
  <c r="P559" i="8" s="1"/>
  <c r="R552" i="8"/>
  <c r="AE553" i="8"/>
  <c r="AG553" i="8"/>
  <c r="R553" i="8" s="1"/>
  <c r="AE554" i="8"/>
  <c r="AG554" i="8" s="1"/>
  <c r="R554" i="8" s="1"/>
  <c r="AE555" i="8"/>
  <c r="AG555" i="8"/>
  <c r="R555" i="8" s="1"/>
  <c r="AE556" i="8"/>
  <c r="AG556" i="8" s="1"/>
  <c r="R556" i="8" s="1"/>
  <c r="AE557" i="8"/>
  <c r="AG557" i="8"/>
  <c r="R557" i="8" s="1"/>
  <c r="AE558" i="8"/>
  <c r="AG558" i="8" s="1"/>
  <c r="R558" i="8" s="1"/>
  <c r="AE559" i="8"/>
  <c r="AG559" i="8" s="1"/>
  <c r="R559" i="8" s="1"/>
  <c r="O552" i="8"/>
  <c r="O553" i="8"/>
  <c r="O554" i="8"/>
  <c r="O555" i="8"/>
  <c r="O556" i="8"/>
  <c r="O557" i="8"/>
  <c r="O558" i="8"/>
  <c r="O559" i="8"/>
  <c r="AI553" i="8"/>
  <c r="AI554" i="8"/>
  <c r="AI555" i="8"/>
  <c r="AI556" i="8"/>
  <c r="AI557" i="8"/>
  <c r="AI558" i="8"/>
  <c r="AI559" i="8"/>
  <c r="AI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AD546" i="8"/>
  <c r="AF546" i="8" s="1"/>
  <c r="AH546" i="8" s="1"/>
  <c r="FZ11" i="4"/>
  <c r="GA11" i="4"/>
  <c r="GB11" i="4"/>
  <c r="GC11" i="4"/>
  <c r="GD11" i="4"/>
  <c r="GE11" i="4"/>
  <c r="AE546" i="8"/>
  <c r="AG546" i="8" s="1"/>
  <c r="R546" i="8" s="1"/>
  <c r="AI546" i="8"/>
  <c r="AE547" i="8"/>
  <c r="AG547" i="8"/>
  <c r="R547" i="8" s="1"/>
  <c r="AI547" i="8"/>
  <c r="AE548" i="8"/>
  <c r="AG548" i="8"/>
  <c r="R548" i="8" s="1"/>
  <c r="AI548" i="8"/>
  <c r="AE549" i="8"/>
  <c r="AG549" i="8" s="1"/>
  <c r="R549" i="8" s="1"/>
  <c r="AI549" i="8"/>
  <c r="AE550" i="8"/>
  <c r="AG550" i="8" s="1"/>
  <c r="R550" i="8" s="1"/>
  <c r="AI550" i="8"/>
  <c r="AE551" i="8"/>
  <c r="AG551" i="8"/>
  <c r="R551" i="8" s="1"/>
  <c r="AD538" i="8"/>
  <c r="AD551" i="8"/>
  <c r="AF551" i="8" s="1"/>
  <c r="AH551" i="8" s="1"/>
  <c r="AD547" i="8"/>
  <c r="AF547" i="8" s="1"/>
  <c r="AH547" i="8" s="1"/>
  <c r="AD548" i="8"/>
  <c r="AF548" i="8" s="1"/>
  <c r="AH548" i="8" s="1"/>
  <c r="AD549" i="8"/>
  <c r="AF549" i="8" s="1"/>
  <c r="AH549" i="8" s="1"/>
  <c r="AD550" i="8"/>
  <c r="AF550" i="8" s="1"/>
  <c r="AH550" i="8" s="1"/>
  <c r="N551" i="8" l="1"/>
  <c r="Q551" i="8"/>
  <c r="P551" i="8" s="1"/>
  <c r="N546" i="8"/>
  <c r="Q546" i="8"/>
  <c r="P546" i="8" s="1"/>
  <c r="Q550" i="8"/>
  <c r="P550" i="8" s="1"/>
  <c r="N550" i="8"/>
  <c r="Q549" i="8"/>
  <c r="P549" i="8" s="1"/>
  <c r="N549" i="8"/>
  <c r="Q548" i="8"/>
  <c r="P548" i="8" s="1"/>
  <c r="N548" i="8"/>
  <c r="N547" i="8"/>
  <c r="Q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D539" i="8"/>
  <c r="AF539" i="8" s="1"/>
  <c r="AH539" i="8" s="1"/>
  <c r="AD540" i="8"/>
  <c r="AF540" i="8" s="1"/>
  <c r="AH540" i="8" s="1"/>
  <c r="Q540" i="8" s="1"/>
  <c r="AD541" i="8"/>
  <c r="AF541" i="8" s="1"/>
  <c r="AH541" i="8" s="1"/>
  <c r="Q541" i="8" s="1"/>
  <c r="AD542" i="8"/>
  <c r="AF542" i="8" s="1"/>
  <c r="AH542" i="8" s="1"/>
  <c r="N542" i="8" s="1"/>
  <c r="AD543" i="8"/>
  <c r="AF543" i="8" s="1"/>
  <c r="AH543" i="8" s="1"/>
  <c r="AD544" i="8"/>
  <c r="AF544" i="8" s="1"/>
  <c r="AH544" i="8" s="1"/>
  <c r="N544" i="8" s="1"/>
  <c r="AD545" i="8"/>
  <c r="AF545" i="8" s="1"/>
  <c r="AH545" i="8" s="1"/>
  <c r="Q545" i="8" s="1"/>
  <c r="FS11" i="3"/>
  <c r="AE539" i="8"/>
  <c r="AG539" i="8" s="1"/>
  <c r="R539" i="8" s="1"/>
  <c r="AI539" i="8"/>
  <c r="AE540" i="8"/>
  <c r="AG540" i="8" s="1"/>
  <c r="R540" i="8" s="1"/>
  <c r="AI540" i="8"/>
  <c r="AE541" i="8"/>
  <c r="AG541" i="8" s="1"/>
  <c r="AI541" i="8"/>
  <c r="AE542" i="8"/>
  <c r="AG542" i="8" s="1"/>
  <c r="R542" i="8" s="1"/>
  <c r="AI542" i="8"/>
  <c r="AE543" i="8"/>
  <c r="AG543" i="8" s="1"/>
  <c r="R543" i="8" s="1"/>
  <c r="AI543" i="8"/>
  <c r="AE544" i="8"/>
  <c r="AG544" i="8" s="1"/>
  <c r="R544" i="8" s="1"/>
  <c r="AI544" i="8"/>
  <c r="AE545" i="8"/>
  <c r="AG545" i="8" s="1"/>
  <c r="AI545" i="8"/>
  <c r="N541" i="8" l="1"/>
  <c r="N545" i="8"/>
  <c r="R545" i="8"/>
  <c r="P545" i="8" s="1"/>
  <c r="N539" i="8"/>
  <c r="Q539" i="8"/>
  <c r="P539" i="8" s="1"/>
  <c r="N543" i="8"/>
  <c r="Q543" i="8"/>
  <c r="P543" i="8" s="1"/>
  <c r="P540" i="8"/>
  <c r="R541" i="8"/>
  <c r="P541" i="8" s="1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Q538" i="8"/>
  <c r="R538" i="8"/>
  <c r="FM11" i="4"/>
  <c r="FN11" i="4"/>
  <c r="FO11" i="4"/>
  <c r="FP11" i="4"/>
  <c r="FQ11" i="4"/>
  <c r="FL11" i="4"/>
  <c r="AI532" i="8"/>
  <c r="AE532" i="8"/>
  <c r="AG532" i="8" s="1"/>
  <c r="R532" i="8" s="1"/>
  <c r="AE533" i="8"/>
  <c r="AG533" i="8" s="1"/>
  <c r="R533" i="8" s="1"/>
  <c r="AI533" i="8"/>
  <c r="AE534" i="8"/>
  <c r="AG534" i="8" s="1"/>
  <c r="R534" i="8" s="1"/>
  <c r="AI534" i="8"/>
  <c r="AE535" i="8"/>
  <c r="AG535" i="8" s="1"/>
  <c r="R535" i="8" s="1"/>
  <c r="AI535" i="8"/>
  <c r="AE536" i="8"/>
  <c r="AG536" i="8" s="1"/>
  <c r="R536" i="8" s="1"/>
  <c r="AI536" i="8"/>
  <c r="AE537" i="8"/>
  <c r="AG537" i="8" s="1"/>
  <c r="R537" i="8" s="1"/>
  <c r="AI537" i="8"/>
  <c r="AD532" i="8"/>
  <c r="AF532" i="8" s="1"/>
  <c r="AH532" i="8" s="1"/>
  <c r="AD536" i="8" l="1"/>
  <c r="AF536" i="8" s="1"/>
  <c r="AH536" i="8" s="1"/>
  <c r="AD534" i="8"/>
  <c r="AF534" i="8" s="1"/>
  <c r="AH534" i="8" s="1"/>
  <c r="AD533" i="8"/>
  <c r="AF533" i="8" s="1"/>
  <c r="AH533" i="8" s="1"/>
  <c r="AD537" i="8"/>
  <c r="AF537" i="8" s="1"/>
  <c r="AH537" i="8" s="1"/>
  <c r="AD535" i="8"/>
  <c r="AF535" i="8" s="1"/>
  <c r="AH535" i="8" s="1"/>
  <c r="N532" i="8"/>
  <c r="Q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O525" i="8"/>
  <c r="O526" i="8"/>
  <c r="O527" i="8"/>
  <c r="O528" i="8"/>
  <c r="O529" i="8"/>
  <c r="O530" i="8"/>
  <c r="O531" i="8"/>
  <c r="AI524" i="8"/>
  <c r="AI525" i="8"/>
  <c r="AI526" i="8"/>
  <c r="AI527" i="8"/>
  <c r="AI528" i="8"/>
  <c r="AI529" i="8"/>
  <c r="AI530" i="8"/>
  <c r="AI531" i="8"/>
  <c r="AE525" i="8"/>
  <c r="AG525" i="8" s="1"/>
  <c r="R525" i="8" s="1"/>
  <c r="AE526" i="8"/>
  <c r="AG526" i="8" s="1"/>
  <c r="R526" i="8" s="1"/>
  <c r="AE527" i="8"/>
  <c r="AG527" i="8" s="1"/>
  <c r="R527" i="8" s="1"/>
  <c r="AE528" i="8"/>
  <c r="AG528" i="8" s="1"/>
  <c r="R528" i="8" s="1"/>
  <c r="AE529" i="8"/>
  <c r="AG529" i="8"/>
  <c r="R529" i="8" s="1"/>
  <c r="AE530" i="8"/>
  <c r="AG530" i="8" s="1"/>
  <c r="R530" i="8" s="1"/>
  <c r="AE531" i="8"/>
  <c r="AG531" i="8" s="1"/>
  <c r="R531" i="8" s="1"/>
  <c r="AD524" i="8"/>
  <c r="AD525" i="8"/>
  <c r="AF525" i="8" s="1"/>
  <c r="AH525" i="8" s="1"/>
  <c r="AD526" i="8"/>
  <c r="AF526" i="8" s="1"/>
  <c r="AH526" i="8" s="1"/>
  <c r="AD527" i="8"/>
  <c r="AF527" i="8" s="1"/>
  <c r="AH527" i="8" s="1"/>
  <c r="AD528" i="8"/>
  <c r="AF528" i="8" s="1"/>
  <c r="AH528" i="8" s="1"/>
  <c r="AD529" i="8"/>
  <c r="AF529" i="8" s="1"/>
  <c r="AH529" i="8" s="1"/>
  <c r="AD530" i="8"/>
  <c r="AF530" i="8" s="1"/>
  <c r="AH530" i="8" s="1"/>
  <c r="P524" i="8" l="1"/>
  <c r="Q535" i="8"/>
  <c r="P535" i="8" s="1"/>
  <c r="N535" i="8"/>
  <c r="Q537" i="8"/>
  <c r="P537" i="8" s="1"/>
  <c r="N537" i="8"/>
  <c r="Q533" i="8"/>
  <c r="P533" i="8" s="1"/>
  <c r="N533" i="8"/>
  <c r="Q534" i="8"/>
  <c r="P534" i="8" s="1"/>
  <c r="N534" i="8"/>
  <c r="Q536" i="8"/>
  <c r="P536" i="8" s="1"/>
  <c r="N536" i="8"/>
  <c r="AD531" i="8"/>
  <c r="AF531" i="8" s="1"/>
  <c r="AH531" i="8" s="1"/>
  <c r="N528" i="8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AD521" i="8"/>
  <c r="AF521" i="8" s="1"/>
  <c r="AH521" i="8" s="1"/>
  <c r="AI519" i="8"/>
  <c r="AI520" i="8"/>
  <c r="AI521" i="8"/>
  <c r="AI522" i="8"/>
  <c r="AI523" i="8"/>
  <c r="AI518" i="8"/>
  <c r="AE518" i="8"/>
  <c r="AG518" i="8" s="1"/>
  <c r="R518" i="8" s="1"/>
  <c r="AE519" i="8"/>
  <c r="AG519" i="8" s="1"/>
  <c r="R519" i="8" s="1"/>
  <c r="AE520" i="8"/>
  <c r="AG520" i="8"/>
  <c r="R520" i="8" s="1"/>
  <c r="AE521" i="8"/>
  <c r="AG521" i="8" s="1"/>
  <c r="R521" i="8" s="1"/>
  <c r="AE522" i="8"/>
  <c r="AG522" i="8" s="1"/>
  <c r="R522" i="8" s="1"/>
  <c r="AE523" i="8"/>
  <c r="AG523" i="8" s="1"/>
  <c r="R523" i="8" s="1"/>
  <c r="AD518" i="8"/>
  <c r="AF518" i="8" s="1"/>
  <c r="AH518" i="8" s="1"/>
  <c r="AD519" i="8"/>
  <c r="AF519" i="8" s="1"/>
  <c r="AH519" i="8" s="1"/>
  <c r="AD520" i="8"/>
  <c r="AF520" i="8" s="1"/>
  <c r="AH520" i="8" s="1"/>
  <c r="AD522" i="8"/>
  <c r="AF522" i="8" s="1"/>
  <c r="AH522" i="8" s="1"/>
  <c r="AD523" i="8"/>
  <c r="AF523" i="8" s="1"/>
  <c r="AH523" i="8" s="1"/>
  <c r="N531" i="8" l="1"/>
  <c r="Q531" i="8"/>
  <c r="P531" i="8" s="1"/>
  <c r="P517" i="8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E497" i="8"/>
  <c r="AG497" i="8" s="1"/>
  <c r="R497" i="8" s="1"/>
  <c r="AE498" i="8"/>
  <c r="AG498" i="8" s="1"/>
  <c r="R498" i="8" s="1"/>
  <c r="AE499" i="8"/>
  <c r="AG499" i="8" s="1"/>
  <c r="R499" i="8" s="1"/>
  <c r="AE500" i="8"/>
  <c r="AG500" i="8"/>
  <c r="R500" i="8" s="1"/>
  <c r="AE501" i="8"/>
  <c r="AG501" i="8" s="1"/>
  <c r="R501" i="8" s="1"/>
  <c r="AE502" i="8"/>
  <c r="AG502" i="8" s="1"/>
  <c r="R502" i="8" s="1"/>
  <c r="AE503" i="8"/>
  <c r="AG503" i="8" s="1"/>
  <c r="R503" i="8" s="1"/>
  <c r="AE504" i="8"/>
  <c r="AG504" i="8" s="1"/>
  <c r="R504" i="8" s="1"/>
  <c r="AE505" i="8"/>
  <c r="AG505" i="8" s="1"/>
  <c r="R505" i="8" s="1"/>
  <c r="AE506" i="8"/>
  <c r="AG506" i="8" s="1"/>
  <c r="R506" i="8" s="1"/>
  <c r="AE507" i="8"/>
  <c r="AG507" i="8" s="1"/>
  <c r="R507" i="8" s="1"/>
  <c r="AE508" i="8"/>
  <c r="AG508" i="8"/>
  <c r="R508" i="8" s="1"/>
  <c r="AE509" i="8"/>
  <c r="AG509" i="8" s="1"/>
  <c r="R509" i="8" s="1"/>
  <c r="R510" i="8"/>
  <c r="AE511" i="8"/>
  <c r="AG511" i="8" s="1"/>
  <c r="R511" i="8" s="1"/>
  <c r="AE512" i="8"/>
  <c r="AG512" i="8"/>
  <c r="R512" i="8" s="1"/>
  <c r="R513" i="8"/>
  <c r="R514" i="8"/>
  <c r="R515" i="8"/>
  <c r="AE516" i="8"/>
  <c r="AG516" i="8" s="1"/>
  <c r="R516" i="8" s="1"/>
  <c r="AD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D497" i="8"/>
  <c r="AF497" i="8" s="1"/>
  <c r="AH497" i="8" s="1"/>
  <c r="AD498" i="8"/>
  <c r="AF498" i="8" s="1"/>
  <c r="AH498" i="8" s="1"/>
  <c r="AD499" i="8"/>
  <c r="AF499" i="8" s="1"/>
  <c r="AH499" i="8" s="1"/>
  <c r="AD500" i="8"/>
  <c r="AF500" i="8" s="1"/>
  <c r="AH500" i="8" s="1"/>
  <c r="AD501" i="8"/>
  <c r="AF501" i="8" s="1"/>
  <c r="AH501" i="8" s="1"/>
  <c r="AD502" i="8"/>
  <c r="AF502" i="8" s="1"/>
  <c r="AH502" i="8" s="1"/>
  <c r="AD503" i="8"/>
  <c r="AF503" i="8" s="1"/>
  <c r="AH503" i="8" s="1"/>
  <c r="AD504" i="8"/>
  <c r="AF504" i="8" s="1"/>
  <c r="AH504" i="8" s="1"/>
  <c r="AD505" i="8"/>
  <c r="AF505" i="8" s="1"/>
  <c r="AH505" i="8" s="1"/>
  <c r="N505" i="8" s="1"/>
  <c r="AD506" i="8"/>
  <c r="AF506" i="8" s="1"/>
  <c r="AH506" i="8" s="1"/>
  <c r="N506" i="8" s="1"/>
  <c r="AD507" i="8"/>
  <c r="AF507" i="8" s="1"/>
  <c r="AH507" i="8" s="1"/>
  <c r="N507" i="8" s="1"/>
  <c r="AD508" i="8"/>
  <c r="AF508" i="8" s="1"/>
  <c r="AH508" i="8" s="1"/>
  <c r="AD509" i="8"/>
  <c r="AF509" i="8" s="1"/>
  <c r="AH509" i="8" s="1"/>
  <c r="AD511" i="8"/>
  <c r="AF511" i="8" s="1"/>
  <c r="AH511" i="8" s="1"/>
  <c r="AD512" i="8"/>
  <c r="AF512" i="8" s="1"/>
  <c r="AH512" i="8" s="1"/>
  <c r="AD513" i="8"/>
  <c r="AD514" i="8"/>
  <c r="AD515" i="8"/>
  <c r="AD516" i="8"/>
  <c r="AF516" i="8" s="1"/>
  <c r="AH516" i="8" s="1"/>
  <c r="N504" i="8" l="1"/>
  <c r="N503" i="8"/>
  <c r="N497" i="8"/>
  <c r="N509" i="8"/>
  <c r="N511" i="8"/>
  <c r="N500" i="8"/>
  <c r="N502" i="8"/>
  <c r="N499" i="8"/>
  <c r="N501" i="8"/>
  <c r="N508" i="8"/>
  <c r="N512" i="8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G482" i="8"/>
  <c r="R482" i="8" s="1"/>
  <c r="AH482" i="8"/>
  <c r="AG487" i="8"/>
  <c r="R487" i="8" s="1"/>
  <c r="AH487" i="8"/>
  <c r="Q487" i="8" s="1"/>
  <c r="AD490" i="8"/>
  <c r="AF490" i="8" s="1"/>
  <c r="AH490" i="8" s="1"/>
  <c r="AD491" i="8"/>
  <c r="AF491" i="8" s="1"/>
  <c r="AH491" i="8" s="1"/>
  <c r="AD492" i="8"/>
  <c r="AF492" i="8" s="1"/>
  <c r="AH492" i="8" s="1"/>
  <c r="AD493" i="8"/>
  <c r="AF493" i="8" s="1"/>
  <c r="AH493" i="8" s="1"/>
  <c r="AD494" i="8"/>
  <c r="AF494" i="8" s="1"/>
  <c r="AH494" i="8" s="1"/>
  <c r="AD495" i="8"/>
  <c r="AF495" i="8" s="1"/>
  <c r="AH495" i="8" s="1"/>
  <c r="AE490" i="8"/>
  <c r="AG490" i="8" s="1"/>
  <c r="R490" i="8" s="1"/>
  <c r="AE491" i="8"/>
  <c r="AG491" i="8" s="1"/>
  <c r="R491" i="8" s="1"/>
  <c r="AE492" i="8"/>
  <c r="AG492" i="8" s="1"/>
  <c r="R492" i="8" s="1"/>
  <c r="AE493" i="8"/>
  <c r="AG493" i="8" s="1"/>
  <c r="R493" i="8" s="1"/>
  <c r="AE494" i="8"/>
  <c r="AG494" i="8" s="1"/>
  <c r="R494" i="8" s="1"/>
  <c r="AE495" i="8"/>
  <c r="AG495" i="8" s="1"/>
  <c r="R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92" i="8" l="1"/>
  <c r="N491" i="8"/>
  <c r="N482" i="8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D485" i="8"/>
  <c r="AF485" i="8" s="1"/>
  <c r="AH485" i="8" s="1"/>
  <c r="N485" i="8" s="1"/>
  <c r="AE479" i="8"/>
  <c r="AG479" i="8" s="1"/>
  <c r="R479" i="8" s="1"/>
  <c r="AE480" i="8"/>
  <c r="AG480" i="8" s="1"/>
  <c r="R480" i="8" s="1"/>
  <c r="AE481" i="8"/>
  <c r="AG481" i="8" s="1"/>
  <c r="R481" i="8" s="1"/>
  <c r="AE483" i="8"/>
  <c r="AG483" i="8" s="1"/>
  <c r="R483" i="8" s="1"/>
  <c r="AE484" i="8"/>
  <c r="AG484" i="8" s="1"/>
  <c r="R484" i="8" s="1"/>
  <c r="AE485" i="8"/>
  <c r="AG485" i="8" s="1"/>
  <c r="R485" i="8" s="1"/>
  <c r="AE486" i="8"/>
  <c r="AG486" i="8" s="1"/>
  <c r="R486" i="8" s="1"/>
  <c r="AE488" i="8"/>
  <c r="AG488" i="8" s="1"/>
  <c r="R488" i="8" s="1"/>
  <c r="AE489" i="8"/>
  <c r="AG489" i="8" s="1"/>
  <c r="R489" i="8" s="1"/>
  <c r="AD483" i="8"/>
  <c r="AF483" i="8" s="1"/>
  <c r="AD484" i="8"/>
  <c r="AF484" i="8" s="1"/>
  <c r="AH484" i="8" s="1"/>
  <c r="N484" i="8" s="1"/>
  <c r="AD486" i="8"/>
  <c r="AF486" i="8" s="1"/>
  <c r="AH486" i="8" s="1"/>
  <c r="AD488" i="8"/>
  <c r="AF488" i="8" s="1"/>
  <c r="AH488" i="8" s="1"/>
  <c r="AD489" i="8"/>
  <c r="AF489" i="8" s="1"/>
  <c r="AH489" i="8" s="1"/>
  <c r="N489" i="8" s="1"/>
  <c r="DO11" i="4"/>
  <c r="Q488" i="8" l="1"/>
  <c r="P488" i="8" s="1"/>
  <c r="N488" i="8"/>
  <c r="Q486" i="8"/>
  <c r="P486" i="8" s="1"/>
  <c r="N486" i="8"/>
  <c r="Q484" i="8"/>
  <c r="P484" i="8" s="1"/>
  <c r="Q485" i="8"/>
  <c r="P485" i="8" s="1"/>
  <c r="AH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E476" i="8"/>
  <c r="AG476" i="8" s="1"/>
  <c r="R476" i="8" s="1"/>
  <c r="AE477" i="8"/>
  <c r="AG477" i="8" s="1"/>
  <c r="R477" i="8" s="1"/>
  <c r="AE478" i="8"/>
  <c r="AG478" i="8" s="1"/>
  <c r="R478" i="8" s="1"/>
  <c r="AD476" i="8"/>
  <c r="AF476" i="8" s="1"/>
  <c r="AH476" i="8" s="1"/>
  <c r="AD477" i="8"/>
  <c r="AF477" i="8" s="1"/>
  <c r="AH477" i="8" s="1"/>
  <c r="AD478" i="8"/>
  <c r="AF478" i="8" s="1"/>
  <c r="AH478" i="8" s="1"/>
  <c r="N478" i="8" s="1"/>
  <c r="AD479" i="8"/>
  <c r="AF479" i="8" s="1"/>
  <c r="AH479" i="8" s="1"/>
  <c r="N479" i="8" s="1"/>
  <c r="AD480" i="8"/>
  <c r="AF480" i="8" s="1"/>
  <c r="AH480" i="8" s="1"/>
  <c r="N480" i="8" s="1"/>
  <c r="AD481" i="8"/>
  <c r="AF481" i="8" s="1"/>
  <c r="AH481" i="8" s="1"/>
  <c r="N481" i="8" s="1"/>
  <c r="N477" i="8" l="1"/>
  <c r="N476" i="8"/>
  <c r="Q483" i="8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E469" i="8"/>
  <c r="AG469" i="8" s="1"/>
  <c r="R469" i="8" s="1"/>
  <c r="AE470" i="8"/>
  <c r="AG470" i="8" s="1"/>
  <c r="R470" i="8" s="1"/>
  <c r="AE471" i="8"/>
  <c r="AG471" i="8" s="1"/>
  <c r="R471" i="8" s="1"/>
  <c r="AE472" i="8"/>
  <c r="AG472" i="8" s="1"/>
  <c r="R472" i="8" s="1"/>
  <c r="AE473" i="8"/>
  <c r="AG473" i="8" s="1"/>
  <c r="R473" i="8" s="1"/>
  <c r="AE474" i="8"/>
  <c r="AG474" i="8" s="1"/>
  <c r="R474" i="8" s="1"/>
  <c r="AE475" i="8"/>
  <c r="AD468" i="8"/>
  <c r="AD469" i="8"/>
  <c r="AF469" i="8" s="1"/>
  <c r="AH469" i="8" s="1"/>
  <c r="N469" i="8" s="1"/>
  <c r="AD470" i="8"/>
  <c r="AF470" i="8" s="1"/>
  <c r="AH470" i="8" s="1"/>
  <c r="AD471" i="8"/>
  <c r="AF471" i="8" s="1"/>
  <c r="AH471" i="8" s="1"/>
  <c r="N471" i="8" s="1"/>
  <c r="AD472" i="8"/>
  <c r="AF472" i="8" s="1"/>
  <c r="AH472" i="8" s="1"/>
  <c r="AD473" i="8"/>
  <c r="AF473" i="8" s="1"/>
  <c r="AH473" i="8" s="1"/>
  <c r="AD474" i="8"/>
  <c r="AF474" i="8" s="1"/>
  <c r="AH474" i="8" s="1"/>
  <c r="N474" i="8" s="1"/>
  <c r="AD475" i="8"/>
  <c r="AF475" i="8" s="1"/>
  <c r="AH475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G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E462" i="8"/>
  <c r="AG462" i="8" s="1"/>
  <c r="R462" i="8" s="1"/>
  <c r="AE463" i="8"/>
  <c r="AG463" i="8" s="1"/>
  <c r="R463" i="8" s="1"/>
  <c r="AE464" i="8"/>
  <c r="AG464" i="8" s="1"/>
  <c r="R464" i="8" s="1"/>
  <c r="AE465" i="8"/>
  <c r="AG465" i="8" s="1"/>
  <c r="R465" i="8" s="1"/>
  <c r="AE466" i="8"/>
  <c r="AG466" i="8" s="1"/>
  <c r="R466" i="8" s="1"/>
  <c r="AE467" i="8"/>
  <c r="AG467" i="8" s="1"/>
  <c r="R467" i="8" s="1"/>
  <c r="AD467" i="8"/>
  <c r="AF467" i="8" s="1"/>
  <c r="AH467" i="8" s="1"/>
  <c r="AD462" i="8"/>
  <c r="AF462" i="8" s="1"/>
  <c r="AH462" i="8" s="1"/>
  <c r="AD463" i="8"/>
  <c r="AF463" i="8" s="1"/>
  <c r="AH463" i="8" s="1"/>
  <c r="AD464" i="8"/>
  <c r="AF464" i="8" s="1"/>
  <c r="AH464" i="8" s="1"/>
  <c r="AD465" i="8"/>
  <c r="AF465" i="8" s="1"/>
  <c r="AH465" i="8" s="1"/>
  <c r="AD466" i="8"/>
  <c r="AF466" i="8" s="1"/>
  <c r="AH466" i="8" s="1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E455" i="8"/>
  <c r="AG455" i="8" s="1"/>
  <c r="R455" i="8" s="1"/>
  <c r="AE456" i="8"/>
  <c r="AG456" i="8" s="1"/>
  <c r="R456" i="8" s="1"/>
  <c r="AE457" i="8"/>
  <c r="AG457" i="8" s="1"/>
  <c r="R457" i="8" s="1"/>
  <c r="AE458" i="8"/>
  <c r="AG458" i="8" s="1"/>
  <c r="R458" i="8" s="1"/>
  <c r="AE459" i="8"/>
  <c r="AG459" i="8" s="1"/>
  <c r="R459" i="8" s="1"/>
  <c r="AE460" i="8"/>
  <c r="AG460" i="8" s="1"/>
  <c r="R460" i="8" s="1"/>
  <c r="AD455" i="8"/>
  <c r="AF455" i="8" s="1"/>
  <c r="AH455" i="8" s="1"/>
  <c r="N455" i="8" s="1"/>
  <c r="AD456" i="8"/>
  <c r="AF456" i="8" s="1"/>
  <c r="AH456" i="8" s="1"/>
  <c r="AD457" i="8"/>
  <c r="AF457" i="8" s="1"/>
  <c r="AH457" i="8" s="1"/>
  <c r="AD458" i="8"/>
  <c r="AF458" i="8" s="1"/>
  <c r="AH458" i="8" s="1"/>
  <c r="AD459" i="8"/>
  <c r="AF459" i="8" s="1"/>
  <c r="AH459" i="8" s="1"/>
  <c r="AD460" i="8"/>
  <c r="AF460" i="8" s="1"/>
  <c r="AH460" i="8" s="1"/>
  <c r="N459" i="8" l="1"/>
  <c r="N458" i="8"/>
  <c r="N457" i="8"/>
  <c r="N456" i="8"/>
  <c r="N460" i="8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O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E448" i="8"/>
  <c r="AG448" i="8" s="1"/>
  <c r="R448" i="8" s="1"/>
  <c r="AE449" i="8"/>
  <c r="AG449" i="8" s="1"/>
  <c r="R449" i="8" s="1"/>
  <c r="AE450" i="8"/>
  <c r="AG450" i="8" s="1"/>
  <c r="R450" i="8" s="1"/>
  <c r="AE451" i="8"/>
  <c r="AG451" i="8" s="1"/>
  <c r="R451" i="8" s="1"/>
  <c r="AE452" i="8"/>
  <c r="AG452" i="8" s="1"/>
  <c r="R452" i="8" s="1"/>
  <c r="AF452" i="8"/>
  <c r="AH452" i="8" s="1"/>
  <c r="N452" i="8" s="1"/>
  <c r="AE453" i="8"/>
  <c r="AG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D448" i="8"/>
  <c r="AF448" i="8" s="1"/>
  <c r="AH448" i="8" s="1"/>
  <c r="AD449" i="8"/>
  <c r="AF449" i="8" s="1"/>
  <c r="AH449" i="8" s="1"/>
  <c r="AD450" i="8"/>
  <c r="AF450" i="8" s="1"/>
  <c r="AH450" i="8" s="1"/>
  <c r="AD451" i="8"/>
  <c r="AD452" i="8"/>
  <c r="N449" i="8" l="1"/>
  <c r="N448" i="8"/>
  <c r="N450" i="8"/>
  <c r="Q450" i="8"/>
  <c r="P450" i="8" s="1"/>
  <c r="Q449" i="8"/>
  <c r="P449" i="8" s="1"/>
  <c r="Q448" i="8"/>
  <c r="P448" i="8" s="1"/>
  <c r="Q452" i="8"/>
  <c r="P452" i="8" s="1"/>
  <c r="AD453" i="8"/>
  <c r="AF453" i="8" s="1"/>
  <c r="AH453" i="8" s="1"/>
  <c r="N453" i="8" s="1"/>
  <c r="AF451" i="8"/>
  <c r="AH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E441" i="8"/>
  <c r="AG441" i="8"/>
  <c r="R441" i="8" s="1"/>
  <c r="AE442" i="8"/>
  <c r="AG442" i="8" s="1"/>
  <c r="R442" i="8" s="1"/>
  <c r="AE443" i="8"/>
  <c r="AG443" i="8" s="1"/>
  <c r="R443" i="8" s="1"/>
  <c r="AE444" i="8"/>
  <c r="AG444" i="8" s="1"/>
  <c r="R444" i="8" s="1"/>
  <c r="O441" i="8"/>
  <c r="O442" i="8"/>
  <c r="O443" i="8"/>
  <c r="O444" i="8"/>
  <c r="Q453" i="8" l="1"/>
  <c r="P453" i="8" s="1"/>
  <c r="Q451" i="8"/>
  <c r="P451" i="8" s="1"/>
  <c r="AD438" i="8"/>
  <c r="AF438" i="8" s="1"/>
  <c r="AH438" i="8" s="1"/>
  <c r="AD439" i="8"/>
  <c r="AF439" i="8" s="1"/>
  <c r="AH439" i="8" s="1"/>
  <c r="AD440" i="8"/>
  <c r="AF440" i="8" s="1"/>
  <c r="AH440" i="8" s="1"/>
  <c r="AD441" i="8"/>
  <c r="AF441" i="8" s="1"/>
  <c r="AH441" i="8" s="1"/>
  <c r="AD442" i="8"/>
  <c r="AF442" i="8" s="1"/>
  <c r="AH442" i="8" s="1"/>
  <c r="N442" i="8" s="1"/>
  <c r="AD443" i="8"/>
  <c r="AF443" i="8" s="1"/>
  <c r="AH443" i="8" s="1"/>
  <c r="AD444" i="8"/>
  <c r="AF444" i="8" s="1"/>
  <c r="AH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E434" i="8"/>
  <c r="AG434" i="8" s="1"/>
  <c r="R434" i="8" s="1"/>
  <c r="AE435" i="8"/>
  <c r="AG435" i="8" s="1"/>
  <c r="R435" i="8" s="1"/>
  <c r="AE436" i="8"/>
  <c r="AG436" i="8" s="1"/>
  <c r="R436" i="8" s="1"/>
  <c r="AE437" i="8"/>
  <c r="AG437" i="8" s="1"/>
  <c r="R437" i="8" s="1"/>
  <c r="AE438" i="8"/>
  <c r="AG438" i="8" s="1"/>
  <c r="R438" i="8" s="1"/>
  <c r="AE439" i="8"/>
  <c r="AG439" i="8" s="1"/>
  <c r="R439" i="8" s="1"/>
  <c r="AE440" i="8"/>
  <c r="AG440" i="8" s="1"/>
  <c r="R440" i="8" s="1"/>
  <c r="AD434" i="8"/>
  <c r="AF434" i="8" s="1"/>
  <c r="AH434" i="8" s="1"/>
  <c r="N434" i="8" s="1"/>
  <c r="AD435" i="8"/>
  <c r="AF435" i="8" s="1"/>
  <c r="AH435" i="8" s="1"/>
  <c r="AD437" i="8"/>
  <c r="AF437" i="8" s="1"/>
  <c r="AH437" i="8" s="1"/>
  <c r="AD436" i="8"/>
  <c r="AF436" i="8" s="1"/>
  <c r="AH436" i="8" s="1"/>
  <c r="N435" i="8" l="1"/>
  <c r="N440" i="8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D427" i="8"/>
  <c r="AF427" i="8" s="1"/>
  <c r="AH427" i="8" s="1"/>
  <c r="AD428" i="8"/>
  <c r="AF428" i="8" s="1"/>
  <c r="AH428" i="8" s="1"/>
  <c r="AD429" i="8"/>
  <c r="AF429" i="8" s="1"/>
  <c r="AH429" i="8" s="1"/>
  <c r="AD430" i="8"/>
  <c r="AF430" i="8" s="1"/>
  <c r="AH430" i="8" s="1"/>
  <c r="AD431" i="8"/>
  <c r="AF431" i="8" s="1"/>
  <c r="AH431" i="8" s="1"/>
  <c r="R433" i="8"/>
  <c r="Q433" i="8"/>
  <c r="P433" i="8" s="1"/>
  <c r="O427" i="8"/>
  <c r="O428" i="8"/>
  <c r="O429" i="8"/>
  <c r="O430" i="8"/>
  <c r="O431" i="8"/>
  <c r="O432" i="8"/>
  <c r="O433" i="8"/>
  <c r="AE427" i="8"/>
  <c r="AG427" i="8" s="1"/>
  <c r="R427" i="8" s="1"/>
  <c r="AE428" i="8"/>
  <c r="AG428" i="8" s="1"/>
  <c r="R428" i="8" s="1"/>
  <c r="AE429" i="8"/>
  <c r="AG429" i="8" s="1"/>
  <c r="R429" i="8" s="1"/>
  <c r="AE430" i="8"/>
  <c r="AG430" i="8" s="1"/>
  <c r="R430" i="8" s="1"/>
  <c r="AE431" i="8"/>
  <c r="AG431" i="8" s="1"/>
  <c r="R431" i="8" s="1"/>
  <c r="AE432" i="8"/>
  <c r="AG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D432" i="8"/>
  <c r="AF432" i="8" s="1"/>
  <c r="AH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E423" i="8"/>
  <c r="AG423" i="8"/>
  <c r="R423" i="8" s="1"/>
  <c r="AE424" i="8"/>
  <c r="AG424" i="8" s="1"/>
  <c r="R424" i="8" s="1"/>
  <c r="AE425" i="8"/>
  <c r="AG425" i="8" s="1"/>
  <c r="R425" i="8" s="1"/>
  <c r="AD423" i="8"/>
  <c r="AF423" i="8" s="1"/>
  <c r="AH423" i="8" s="1"/>
  <c r="AD424" i="8"/>
  <c r="AF424" i="8" s="1"/>
  <c r="AH424" i="8" s="1"/>
  <c r="AD425" i="8"/>
  <c r="AF425" i="8" s="1"/>
  <c r="AH425" i="8" s="1"/>
  <c r="N425" i="8" l="1"/>
  <c r="Q423" i="8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G419" i="8"/>
  <c r="R419" i="8" s="1"/>
  <c r="AH419" i="8"/>
  <c r="AE420" i="8"/>
  <c r="AG420" i="8" s="1"/>
  <c r="R420" i="8" s="1"/>
  <c r="AE421" i="8"/>
  <c r="AG421" i="8" s="1"/>
  <c r="R421" i="8" s="1"/>
  <c r="AE422" i="8"/>
  <c r="AG422" i="8" s="1"/>
  <c r="AD422" i="8"/>
  <c r="AF422" i="8" s="1"/>
  <c r="AH422" i="8" s="1"/>
  <c r="Q422" i="8" s="1"/>
  <c r="AD421" i="8"/>
  <c r="AF421" i="8" s="1"/>
  <c r="AH421" i="8" s="1"/>
  <c r="AD420" i="8"/>
  <c r="AF420" i="8" s="1"/>
  <c r="AH420" i="8" s="1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E414" i="8"/>
  <c r="AG414" i="8" s="1"/>
  <c r="AE415" i="8"/>
  <c r="AG415" i="8" s="1"/>
  <c r="AE416" i="8"/>
  <c r="AG416" i="8" s="1"/>
  <c r="R416" i="8" s="1"/>
  <c r="AE417" i="8"/>
  <c r="AG417" i="8" s="1"/>
  <c r="AE418" i="8"/>
  <c r="AG418" i="8" s="1"/>
  <c r="AE413" i="8"/>
  <c r="AG413" i="8" s="1"/>
  <c r="AE375" i="8"/>
  <c r="AG375" i="8" s="1"/>
  <c r="AE376" i="8"/>
  <c r="AG376" i="8" s="1"/>
  <c r="AE377" i="8"/>
  <c r="AG377" i="8" s="1"/>
  <c r="AE378" i="8"/>
  <c r="AG378" i="8" s="1"/>
  <c r="AE379" i="8"/>
  <c r="AG379" i="8" s="1"/>
  <c r="AE380" i="8"/>
  <c r="AG380" i="8" s="1"/>
  <c r="AE381" i="8"/>
  <c r="AG381" i="8" s="1"/>
  <c r="AE382" i="8"/>
  <c r="AG382" i="8" s="1"/>
  <c r="AE383" i="8"/>
  <c r="AG383" i="8" s="1"/>
  <c r="AE384" i="8"/>
  <c r="AG384" i="8" s="1"/>
  <c r="AF384" i="8"/>
  <c r="AH384" i="8" s="1"/>
  <c r="AE385" i="8"/>
  <c r="AG385" i="8" s="1"/>
  <c r="AE386" i="8"/>
  <c r="AG386" i="8" s="1"/>
  <c r="AE387" i="8"/>
  <c r="AG387" i="8" s="1"/>
  <c r="AE388" i="8"/>
  <c r="AG388" i="8" s="1"/>
  <c r="AE389" i="8"/>
  <c r="AG389" i="8" s="1"/>
  <c r="AE390" i="8"/>
  <c r="AG390" i="8" s="1"/>
  <c r="AE391" i="8"/>
  <c r="AG391" i="8" s="1"/>
  <c r="AE392" i="8"/>
  <c r="AG392" i="8" s="1"/>
  <c r="AE393" i="8"/>
  <c r="AG393" i="8" s="1"/>
  <c r="AE394" i="8"/>
  <c r="AG394" i="8" s="1"/>
  <c r="AE395" i="8"/>
  <c r="AG395" i="8" s="1"/>
  <c r="AE396" i="8"/>
  <c r="AG396" i="8" s="1"/>
  <c r="AE397" i="8"/>
  <c r="AG397" i="8" s="1"/>
  <c r="AE398" i="8"/>
  <c r="AG398" i="8" s="1"/>
  <c r="AF398" i="8"/>
  <c r="AH398" i="8" s="1"/>
  <c r="AE399" i="8"/>
  <c r="AG399" i="8" s="1"/>
  <c r="AE400" i="8"/>
  <c r="AG400" i="8" s="1"/>
  <c r="AE401" i="8"/>
  <c r="AG401" i="8" s="1"/>
  <c r="AE402" i="8"/>
  <c r="AG402" i="8" s="1"/>
  <c r="AE403" i="8"/>
  <c r="AG403" i="8" s="1"/>
  <c r="AE404" i="8"/>
  <c r="AG404" i="8" s="1"/>
  <c r="AE405" i="8"/>
  <c r="AG405" i="8" s="1"/>
  <c r="AE406" i="8"/>
  <c r="AG406" i="8" s="1"/>
  <c r="AE407" i="8"/>
  <c r="AG407" i="8" s="1"/>
  <c r="AE408" i="8"/>
  <c r="AG408" i="8" s="1"/>
  <c r="AE409" i="8"/>
  <c r="AG409" i="8" s="1"/>
  <c r="AE410" i="8"/>
  <c r="AG410" i="8" s="1"/>
  <c r="AE411" i="8"/>
  <c r="AG411" i="8" s="1"/>
  <c r="AE412" i="8"/>
  <c r="AG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D416" i="8"/>
  <c r="AF416" i="8" s="1"/>
  <c r="AH416" i="8" s="1"/>
  <c r="AD417" i="8"/>
  <c r="AF417" i="8" s="1"/>
  <c r="AH417" i="8" s="1"/>
  <c r="AD418" i="8"/>
  <c r="AF418" i="8" s="1"/>
  <c r="AH418" i="8" s="1"/>
  <c r="Q418" i="8" s="1"/>
  <c r="N417" i="8" l="1"/>
  <c r="N418" i="8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AD412" i="8"/>
  <c r="AF412" i="8" s="1"/>
  <c r="AH412" i="8" s="1"/>
  <c r="Q412" i="8" s="1"/>
  <c r="AD413" i="8"/>
  <c r="AD414" i="8"/>
  <c r="AF414" i="8" s="1"/>
  <c r="AH414" i="8" s="1"/>
  <c r="AD415" i="8"/>
  <c r="AF415" i="8" s="1"/>
  <c r="AH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AD410" i="8"/>
  <c r="AF410" i="8" s="1"/>
  <c r="AH410" i="8" s="1"/>
  <c r="AD411" i="8"/>
  <c r="AF411" i="8" s="1"/>
  <c r="AH411" i="8" s="1"/>
  <c r="AF413" i="8" l="1"/>
  <c r="AH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D405" i="8"/>
  <c r="AF405" i="8" s="1"/>
  <c r="AH405" i="8" s="1"/>
  <c r="N405" i="8" s="1"/>
  <c r="AO11" i="4"/>
  <c r="AP11" i="4"/>
  <c r="AQ11" i="4"/>
  <c r="AR11" i="4"/>
  <c r="AS11" i="4"/>
  <c r="AT11" i="4"/>
  <c r="AU11" i="4"/>
  <c r="AD409" i="8"/>
  <c r="AD408" i="8"/>
  <c r="AD407" i="8"/>
  <c r="AD406" i="8"/>
  <c r="Q405" i="8" l="1"/>
  <c r="P405" i="8" s="1"/>
  <c r="Q413" i="8"/>
  <c r="P413" i="8" s="1"/>
  <c r="AF409" i="8"/>
  <c r="AH409" i="8" s="1"/>
  <c r="Q409" i="8" s="1"/>
  <c r="AF406" i="8"/>
  <c r="AH406" i="8" s="1"/>
  <c r="N406" i="8" s="1"/>
  <c r="AF407" i="8"/>
  <c r="AH407" i="8" s="1"/>
  <c r="N407" i="8" s="1"/>
  <c r="AF408" i="8"/>
  <c r="AH408" i="8" s="1"/>
  <c r="N408" i="8" s="1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Q398" i="8" l="1"/>
  <c r="P398" i="8" s="1"/>
  <c r="N398" i="8"/>
  <c r="AD401" i="8"/>
  <c r="AD399" i="8"/>
  <c r="AF399" i="8" s="1"/>
  <c r="AH399" i="8" s="1"/>
  <c r="AD400" i="8"/>
  <c r="AF400" i="8" s="1"/>
  <c r="AH400" i="8" s="1"/>
  <c r="AD402" i="8"/>
  <c r="AD403" i="8"/>
  <c r="AD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F404" i="8" l="1"/>
  <c r="AH404" i="8" s="1"/>
  <c r="N404" i="8" s="1"/>
  <c r="AF402" i="8"/>
  <c r="AH402" i="8" s="1"/>
  <c r="N402" i="8" s="1"/>
  <c r="AF401" i="8"/>
  <c r="AH401" i="8" s="1"/>
  <c r="N401" i="8" s="1"/>
  <c r="AF403" i="8"/>
  <c r="AH403" i="8" s="1"/>
  <c r="N403" i="8" s="1"/>
  <c r="N399" i="8"/>
  <c r="Q399" i="8"/>
  <c r="P399" i="8" s="1"/>
  <c r="N400" i="8"/>
  <c r="Q400" i="8"/>
  <c r="P400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4" i="8" l="1"/>
  <c r="P404" i="8" s="1"/>
  <c r="Q401" i="8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D391" i="8"/>
  <c r="AD392" i="8"/>
  <c r="AF392" i="8" s="1"/>
  <c r="AH392" i="8" s="1"/>
  <c r="AD393" i="8"/>
  <c r="AF393" i="8" s="1"/>
  <c r="AH393" i="8" s="1"/>
  <c r="AD395" i="8"/>
  <c r="AD396" i="8"/>
  <c r="AD397" i="8"/>
  <c r="R391" i="8"/>
  <c r="R392" i="8"/>
  <c r="R393" i="8"/>
  <c r="R394" i="8"/>
  <c r="R395" i="8"/>
  <c r="R396" i="8"/>
  <c r="AF397" i="8" l="1"/>
  <c r="AH397" i="8" s="1"/>
  <c r="N397" i="8" s="1"/>
  <c r="AF396" i="8"/>
  <c r="AH396" i="8" s="1"/>
  <c r="Q396" i="8" s="1"/>
  <c r="P396" i="8" s="1"/>
  <c r="AF391" i="8"/>
  <c r="AH391" i="8" s="1"/>
  <c r="Q391" i="8" s="1"/>
  <c r="P391" i="8" s="1"/>
  <c r="AF395" i="8"/>
  <c r="AH395" i="8" s="1"/>
  <c r="N395" i="8" s="1"/>
  <c r="Q393" i="8"/>
  <c r="P393" i="8" s="1"/>
  <c r="N393" i="8"/>
  <c r="AD394" i="8"/>
  <c r="AF394" i="8" s="1"/>
  <c r="AH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AD388" i="8"/>
  <c r="AF388" i="8" s="1"/>
  <c r="AH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AD385" i="8"/>
  <c r="AD386" i="8"/>
  <c r="AF386" i="8" s="1"/>
  <c r="AH386" i="8" s="1"/>
  <c r="Q386" i="8" s="1"/>
  <c r="AD387" i="8"/>
  <c r="AF387" i="8" s="1"/>
  <c r="AH387" i="8" s="1"/>
  <c r="AD389" i="8"/>
  <c r="AF389" i="8" s="1"/>
  <c r="AH389" i="8" s="1"/>
  <c r="AD390" i="8"/>
  <c r="AF390" i="8" s="1"/>
  <c r="AH390" i="8" s="1"/>
  <c r="AF385" i="8" l="1"/>
  <c r="AH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39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54" i="8"/>
  <c r="AE255" i="8"/>
  <c r="AE256" i="8"/>
  <c r="AE257" i="8"/>
  <c r="AE258" i="8"/>
  <c r="AE259" i="8"/>
  <c r="AE260" i="8"/>
  <c r="AE261" i="8"/>
  <c r="AE262" i="8"/>
  <c r="AE263" i="8"/>
  <c r="AE264" i="8"/>
  <c r="AE265" i="8"/>
  <c r="AE266" i="8"/>
  <c r="AE267" i="8"/>
  <c r="AE268" i="8"/>
  <c r="AE269" i="8"/>
  <c r="AE270" i="8"/>
  <c r="AE271" i="8"/>
  <c r="AE272" i="8"/>
  <c r="AE273" i="8"/>
  <c r="AE274" i="8"/>
  <c r="AE275" i="8"/>
  <c r="AE276" i="8"/>
  <c r="AE277" i="8"/>
  <c r="AE278" i="8"/>
  <c r="AE279" i="8"/>
  <c r="AE280" i="8"/>
  <c r="AE281" i="8"/>
  <c r="AE282" i="8"/>
  <c r="AE283" i="8"/>
  <c r="AE284" i="8"/>
  <c r="AE285" i="8"/>
  <c r="AE286" i="8"/>
  <c r="AE287" i="8"/>
  <c r="AE288" i="8"/>
  <c r="AE289" i="8"/>
  <c r="AE290" i="8"/>
  <c r="AE291" i="8"/>
  <c r="AE292" i="8"/>
  <c r="AE293" i="8"/>
  <c r="AE294" i="8"/>
  <c r="AE295" i="8"/>
  <c r="AE296" i="8"/>
  <c r="AE297" i="8"/>
  <c r="AE298" i="8"/>
  <c r="AE299" i="8"/>
  <c r="AE300" i="8"/>
  <c r="AE301" i="8"/>
  <c r="AE302" i="8"/>
  <c r="AE303" i="8"/>
  <c r="AE304" i="8"/>
  <c r="AE305" i="8"/>
  <c r="AE306" i="8"/>
  <c r="AE307" i="8"/>
  <c r="AE308" i="8"/>
  <c r="AE309" i="8"/>
  <c r="AE310" i="8"/>
  <c r="AE311" i="8"/>
  <c r="AE312" i="8"/>
  <c r="AE313" i="8"/>
  <c r="AE314" i="8"/>
  <c r="AE315" i="8"/>
  <c r="AE316" i="8"/>
  <c r="AE317" i="8"/>
  <c r="AE318" i="8"/>
  <c r="AE319" i="8"/>
  <c r="AE320" i="8"/>
  <c r="AE321" i="8"/>
  <c r="AE322" i="8"/>
  <c r="AE323" i="8"/>
  <c r="AE324" i="8"/>
  <c r="AE325" i="8"/>
  <c r="AE326" i="8"/>
  <c r="AE327" i="8"/>
  <c r="AE328" i="8"/>
  <c r="AE329" i="8"/>
  <c r="AE330" i="8"/>
  <c r="AE331" i="8"/>
  <c r="AE332" i="8"/>
  <c r="AE333" i="8"/>
  <c r="AE334" i="8"/>
  <c r="AE335" i="8"/>
  <c r="AE336" i="8"/>
  <c r="AE337" i="8"/>
  <c r="AE338" i="8"/>
  <c r="AE339" i="8"/>
  <c r="AE340" i="8"/>
  <c r="AE341" i="8"/>
  <c r="AE342" i="8"/>
  <c r="AE343" i="8"/>
  <c r="AE344" i="8"/>
  <c r="AE345" i="8"/>
  <c r="AE346" i="8"/>
  <c r="AE347" i="8"/>
  <c r="AE348" i="8"/>
  <c r="AE349" i="8"/>
  <c r="AE350" i="8"/>
  <c r="AE351" i="8"/>
  <c r="AE352" i="8"/>
  <c r="AE353" i="8"/>
  <c r="AE354" i="8"/>
  <c r="AE355" i="8"/>
  <c r="AE356" i="8"/>
  <c r="AE357" i="8"/>
  <c r="AE358" i="8"/>
  <c r="AE359" i="8"/>
  <c r="AE360" i="8"/>
  <c r="AE361" i="8"/>
  <c r="AE362" i="8"/>
  <c r="AE363" i="8"/>
  <c r="AE364" i="8"/>
  <c r="AE365" i="8"/>
  <c r="AE366" i="8"/>
  <c r="AE367" i="8"/>
  <c r="AE368" i="8"/>
  <c r="AE369" i="8"/>
  <c r="AE370" i="8"/>
  <c r="AE371" i="8"/>
  <c r="AE372" i="8"/>
  <c r="AE373" i="8"/>
  <c r="AE374" i="8"/>
  <c r="R379" i="8"/>
  <c r="AE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D377" i="8"/>
  <c r="AF377" i="8" s="1"/>
  <c r="AH377" i="8" s="1"/>
  <c r="AD378" i="8"/>
  <c r="AD379" i="8"/>
  <c r="AF379" i="8" s="1"/>
  <c r="AH379" i="8" s="1"/>
  <c r="AD380" i="8"/>
  <c r="AD381" i="8"/>
  <c r="AD383" i="8"/>
  <c r="S11" i="5"/>
  <c r="R11" i="5"/>
  <c r="Q11" i="5"/>
  <c r="P11" i="5"/>
  <c r="O11" i="5"/>
  <c r="N11" i="5"/>
  <c r="AF381" i="8" l="1"/>
  <c r="AH381" i="8" s="1"/>
  <c r="Q381" i="8" s="1"/>
  <c r="AF378" i="8"/>
  <c r="AH378" i="8" s="1"/>
  <c r="N378" i="8" s="1"/>
  <c r="AF380" i="8"/>
  <c r="AH380" i="8" s="1"/>
  <c r="Q380" i="8" s="1"/>
  <c r="AF383" i="8"/>
  <c r="AH383" i="8" s="1"/>
  <c r="N383" i="8" s="1"/>
  <c r="N379" i="8"/>
  <c r="Q379" i="8"/>
  <c r="P379" i="8" s="1"/>
  <c r="AD382" i="8"/>
  <c r="AF382" i="8" s="1"/>
  <c r="AH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6" i="8"/>
  <c r="AF117" i="8"/>
  <c r="AF118" i="8"/>
  <c r="AF119" i="8"/>
  <c r="AF120" i="8"/>
  <c r="AF121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G371" i="8"/>
  <c r="R371" i="8" s="1"/>
  <c r="AG372" i="8"/>
  <c r="R372" i="8" s="1"/>
  <c r="AG373" i="8"/>
  <c r="R373" i="8" s="1"/>
  <c r="AG374" i="8"/>
  <c r="R374" i="8" s="1"/>
  <c r="R375" i="8"/>
  <c r="R376" i="8"/>
  <c r="R377" i="8"/>
  <c r="AD371" i="8"/>
  <c r="AF371" i="8" s="1"/>
  <c r="AH371" i="8" s="1"/>
  <c r="AD372" i="8"/>
  <c r="AF372" i="8" s="1"/>
  <c r="AH372" i="8" s="1"/>
  <c r="AD373" i="8"/>
  <c r="AF373" i="8" s="1"/>
  <c r="AH373" i="8" s="1"/>
  <c r="AD374" i="8"/>
  <c r="AF374" i="8" s="1"/>
  <c r="AH374" i="8" s="1"/>
  <c r="AD375" i="8"/>
  <c r="AF375" i="8" s="1"/>
  <c r="AH375" i="8" s="1"/>
  <c r="AD376" i="8"/>
  <c r="AF376" i="8" s="1"/>
  <c r="AH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G365" i="8"/>
  <c r="AG366" i="8"/>
  <c r="AG368" i="8"/>
  <c r="AG369" i="8"/>
  <c r="AG364" i="8"/>
  <c r="AG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D364" i="8"/>
  <c r="AF364" i="8" s="1"/>
  <c r="AD365" i="8"/>
  <c r="AF365" i="8" s="1"/>
  <c r="AD366" i="8"/>
  <c r="AF366" i="8" s="1"/>
  <c r="AD367" i="8"/>
  <c r="AD368" i="8"/>
  <c r="AF368" i="8" s="1"/>
  <c r="AD369" i="8"/>
  <c r="AF369" i="8" s="1"/>
  <c r="AD370" i="8"/>
  <c r="AH364" i="8" l="1"/>
  <c r="AH369" i="8"/>
  <c r="AH368" i="8"/>
  <c r="AH366" i="8"/>
  <c r="AH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G357" i="8"/>
  <c r="R357" i="8" s="1"/>
  <c r="AG358" i="8"/>
  <c r="R358" i="8" s="1"/>
  <c r="AG359" i="8"/>
  <c r="R359" i="8" s="1"/>
  <c r="AG360" i="8"/>
  <c r="R360" i="8" s="1"/>
  <c r="AG361" i="8"/>
  <c r="R361" i="8" s="1"/>
  <c r="AG362" i="8"/>
  <c r="R362" i="8" s="1"/>
  <c r="R363" i="8"/>
  <c r="AD357" i="8"/>
  <c r="AF357" i="8" s="1"/>
  <c r="AD358" i="8"/>
  <c r="AF358" i="8" s="1"/>
  <c r="AD359" i="8"/>
  <c r="AF359" i="8" s="1"/>
  <c r="AD360" i="8"/>
  <c r="AF360" i="8" s="1"/>
  <c r="AD361" i="8"/>
  <c r="AF361" i="8" s="1"/>
  <c r="AD362" i="8"/>
  <c r="AF362" i="8" s="1"/>
  <c r="AD363" i="8"/>
  <c r="AF363" i="8" s="1"/>
  <c r="AH361" i="8" l="1"/>
  <c r="AH359" i="8"/>
  <c r="AH357" i="8"/>
  <c r="AH363" i="8"/>
  <c r="AH362" i="8"/>
  <c r="AH360" i="8"/>
  <c r="AH358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R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H3" i="8"/>
  <c r="AH4" i="8"/>
  <c r="AH5" i="8"/>
  <c r="AH6" i="8"/>
  <c r="AH7" i="8"/>
  <c r="AH8" i="8"/>
  <c r="AH9" i="8"/>
  <c r="AH10" i="8"/>
  <c r="Q10" i="8" s="1"/>
  <c r="AH11" i="8"/>
  <c r="AH12" i="8"/>
  <c r="AH13" i="8"/>
  <c r="AH14" i="8"/>
  <c r="Q14" i="8" s="1"/>
  <c r="AH15" i="8"/>
  <c r="AH16" i="8"/>
  <c r="AH17" i="8"/>
  <c r="AH18" i="8"/>
  <c r="AH19" i="8"/>
  <c r="AH20" i="8"/>
  <c r="AH21" i="8"/>
  <c r="Q21" i="8" s="1"/>
  <c r="AH22" i="8"/>
  <c r="Q22" i="8" s="1"/>
  <c r="AH23" i="8"/>
  <c r="AH24" i="8"/>
  <c r="AH25" i="8"/>
  <c r="AH26" i="8"/>
  <c r="Q26" i="8" s="1"/>
  <c r="AH27" i="8"/>
  <c r="AH28" i="8"/>
  <c r="AH29" i="8"/>
  <c r="AH30" i="8"/>
  <c r="AH31" i="8"/>
  <c r="AH32" i="8"/>
  <c r="AH33" i="8"/>
  <c r="AH34" i="8"/>
  <c r="Q34" i="8" s="1"/>
  <c r="AH35" i="8"/>
  <c r="AH36" i="8"/>
  <c r="AH37" i="8"/>
  <c r="AH38" i="8"/>
  <c r="Q38" i="8" s="1"/>
  <c r="AH39" i="8"/>
  <c r="AH40" i="8"/>
  <c r="AH41" i="8"/>
  <c r="AH42" i="8"/>
  <c r="Q42" i="8" s="1"/>
  <c r="AH43" i="8"/>
  <c r="AH44" i="8"/>
  <c r="AH45" i="8"/>
  <c r="Q45" i="8" s="1"/>
  <c r="AH46" i="8"/>
  <c r="Q46" i="8" s="1"/>
  <c r="AH47" i="8"/>
  <c r="AH48" i="8"/>
  <c r="AH49" i="8"/>
  <c r="AH50" i="8"/>
  <c r="Q50" i="8" s="1"/>
  <c r="AH51" i="8"/>
  <c r="AH52" i="8"/>
  <c r="AH53" i="8"/>
  <c r="AH54" i="8"/>
  <c r="Q54" i="8" s="1"/>
  <c r="AH55" i="8"/>
  <c r="AH56" i="8"/>
  <c r="AH57" i="8"/>
  <c r="AH58" i="8"/>
  <c r="Q58" i="8" s="1"/>
  <c r="AH59" i="8"/>
  <c r="AH60" i="8"/>
  <c r="AH61" i="8"/>
  <c r="AH62" i="8"/>
  <c r="Q62" i="8" s="1"/>
  <c r="AH63" i="8"/>
  <c r="AH64" i="8"/>
  <c r="AH65" i="8"/>
  <c r="AH66" i="8"/>
  <c r="Q66" i="8" s="1"/>
  <c r="AH67" i="8"/>
  <c r="AH68" i="8"/>
  <c r="AH69" i="8"/>
  <c r="Q69" i="8" s="1"/>
  <c r="AH70" i="8"/>
  <c r="Q70" i="8" s="1"/>
  <c r="AH71" i="8"/>
  <c r="AH72" i="8"/>
  <c r="AH73" i="8"/>
  <c r="AH74" i="8"/>
  <c r="Q74" i="8" s="1"/>
  <c r="AH75" i="8"/>
  <c r="AH76" i="8"/>
  <c r="AH77" i="8"/>
  <c r="AH78" i="8"/>
  <c r="AH79" i="8"/>
  <c r="AH80" i="8"/>
  <c r="AH81" i="8"/>
  <c r="AH82" i="8"/>
  <c r="Q82" i="8" s="1"/>
  <c r="AH83" i="8"/>
  <c r="AH84" i="8"/>
  <c r="AH85" i="8"/>
  <c r="AH86" i="8"/>
  <c r="Q86" i="8" s="1"/>
  <c r="AH87" i="8"/>
  <c r="AH88" i="8"/>
  <c r="Q88" i="8" s="1"/>
  <c r="AH89" i="8"/>
  <c r="Q89" i="8" s="1"/>
  <c r="AH93" i="8"/>
  <c r="AH94" i="8"/>
  <c r="AH95" i="8"/>
  <c r="AH96" i="8"/>
  <c r="AH97" i="8"/>
  <c r="AH98" i="8"/>
  <c r="Q98" i="8" s="1"/>
  <c r="AH99" i="8"/>
  <c r="AH100" i="8"/>
  <c r="Q100" i="8" s="1"/>
  <c r="AH101" i="8"/>
  <c r="AH102" i="8"/>
  <c r="AH103" i="8"/>
  <c r="AH104" i="8"/>
  <c r="AH105" i="8"/>
  <c r="Q105" i="8" s="1"/>
  <c r="AH106" i="8"/>
  <c r="Q106" i="8" s="1"/>
  <c r="AH107" i="8"/>
  <c r="AH108" i="8"/>
  <c r="AH109" i="8"/>
  <c r="AH110" i="8"/>
  <c r="Q110" i="8" s="1"/>
  <c r="AH111" i="8"/>
  <c r="AH112" i="8"/>
  <c r="Q112" i="8" s="1"/>
  <c r="AH113" i="8"/>
  <c r="AH114" i="8"/>
  <c r="AH116" i="8"/>
  <c r="AH117" i="8"/>
  <c r="Q117" i="8" s="1"/>
  <c r="AH118" i="8"/>
  <c r="AH119" i="8"/>
  <c r="AH120" i="8"/>
  <c r="AH121" i="8"/>
  <c r="Q122" i="8"/>
  <c r="AH123" i="8"/>
  <c r="AH124" i="8"/>
  <c r="Q124" i="8" s="1"/>
  <c r="AH125" i="8"/>
  <c r="AH126" i="8"/>
  <c r="Q126" i="8" s="1"/>
  <c r="AH127" i="8"/>
  <c r="AH128" i="8"/>
  <c r="AH129" i="8"/>
  <c r="AH130" i="8"/>
  <c r="AH131" i="8"/>
  <c r="AH132" i="8"/>
  <c r="AH133" i="8"/>
  <c r="AH134" i="8"/>
  <c r="Q134" i="8" s="1"/>
  <c r="AH135" i="8"/>
  <c r="AH136" i="8"/>
  <c r="Q136" i="8" s="1"/>
  <c r="AH137" i="8"/>
  <c r="AH138" i="8"/>
  <c r="Q138" i="8" s="1"/>
  <c r="AH139" i="8"/>
  <c r="AH140" i="8"/>
  <c r="AH141" i="8"/>
  <c r="AH142" i="8"/>
  <c r="Q142" i="8" s="1"/>
  <c r="AH143" i="8"/>
  <c r="AH144" i="8"/>
  <c r="AH145" i="8"/>
  <c r="AH146" i="8"/>
  <c r="Q146" i="8" s="1"/>
  <c r="AH147" i="8"/>
  <c r="AH148" i="8"/>
  <c r="AH149" i="8"/>
  <c r="AH150" i="8"/>
  <c r="AH151" i="8"/>
  <c r="AH152" i="8"/>
  <c r="AH153" i="8"/>
  <c r="AH154" i="8"/>
  <c r="Q154" i="8" s="1"/>
  <c r="AH155" i="8"/>
  <c r="AH156" i="8"/>
  <c r="AH157" i="8"/>
  <c r="Q158" i="8"/>
  <c r="AH162" i="8"/>
  <c r="AH163" i="8"/>
  <c r="AH164" i="8"/>
  <c r="AH165" i="8"/>
  <c r="Q165" i="8" s="1"/>
  <c r="AH166" i="8"/>
  <c r="AH167" i="8"/>
  <c r="AH168" i="8"/>
  <c r="AH169" i="8"/>
  <c r="AH170" i="8"/>
  <c r="Q170" i="8" s="1"/>
  <c r="AH171" i="8"/>
  <c r="AH172" i="8"/>
  <c r="Q172" i="8" s="1"/>
  <c r="AH173" i="8"/>
  <c r="AH174" i="8"/>
  <c r="Q174" i="8" s="1"/>
  <c r="AH175" i="8"/>
  <c r="AH176" i="8"/>
  <c r="AH177" i="8"/>
  <c r="Q177" i="8" s="1"/>
  <c r="AH178" i="8"/>
  <c r="AH179" i="8"/>
  <c r="AH180" i="8"/>
  <c r="AH181" i="8"/>
  <c r="AH182" i="8"/>
  <c r="Q182" i="8" s="1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Q194" i="8" s="1"/>
  <c r="AH195" i="8"/>
  <c r="AH196" i="8"/>
  <c r="Q196" i="8" s="1"/>
  <c r="Q197" i="8"/>
  <c r="AH198" i="8"/>
  <c r="AH199" i="8"/>
  <c r="AH200" i="8"/>
  <c r="AH201" i="8"/>
  <c r="AH202" i="8"/>
  <c r="Q202" i="8" s="1"/>
  <c r="AH203" i="8"/>
  <c r="AH204" i="8"/>
  <c r="AH205" i="8"/>
  <c r="AH206" i="8"/>
  <c r="Q206" i="8" s="1"/>
  <c r="AH207" i="8"/>
  <c r="AH208" i="8"/>
  <c r="Q208" i="8" s="1"/>
  <c r="AH209" i="8"/>
  <c r="AH210" i="8"/>
  <c r="AH211" i="8"/>
  <c r="AH212" i="8"/>
  <c r="AH213" i="8"/>
  <c r="Q213" i="8" s="1"/>
  <c r="AH214" i="8"/>
  <c r="Q214" i="8" s="1"/>
  <c r="AH215" i="8"/>
  <c r="AH216" i="8"/>
  <c r="AH217" i="8"/>
  <c r="AH218" i="8"/>
  <c r="Q218" i="8" s="1"/>
  <c r="AH219" i="8"/>
  <c r="AH220" i="8"/>
  <c r="Q220" i="8" s="1"/>
  <c r="AH221" i="8"/>
  <c r="AH222" i="8"/>
  <c r="Q222" i="8" s="1"/>
  <c r="AH223" i="8"/>
  <c r="AH224" i="8"/>
  <c r="AH225" i="8"/>
  <c r="AH226" i="8"/>
  <c r="Q226" i="8" s="1"/>
  <c r="AH227" i="8"/>
  <c r="AH228" i="8"/>
  <c r="AH229" i="8"/>
  <c r="AH230" i="8"/>
  <c r="Q230" i="8" s="1"/>
  <c r="AH231" i="8"/>
  <c r="AH232" i="8"/>
  <c r="AH233" i="8"/>
  <c r="AH234" i="8"/>
  <c r="AH235" i="8"/>
  <c r="AH236" i="8"/>
  <c r="AH237" i="8"/>
  <c r="AH238" i="8"/>
  <c r="Q238" i="8" s="1"/>
  <c r="AH239" i="8"/>
  <c r="AH240" i="8"/>
  <c r="AH241" i="8"/>
  <c r="AH242" i="8"/>
  <c r="Q242" i="8" s="1"/>
  <c r="AH243" i="8"/>
  <c r="AH244" i="8"/>
  <c r="Q244" i="8" s="1"/>
  <c r="AH245" i="8"/>
  <c r="AH246" i="8"/>
  <c r="Q246" i="8" s="1"/>
  <c r="AH247" i="8"/>
  <c r="AH248" i="8"/>
  <c r="AH249" i="8"/>
  <c r="Q249" i="8" s="1"/>
  <c r="AH250" i="8"/>
  <c r="AH251" i="8"/>
  <c r="AH252" i="8"/>
  <c r="AH253" i="8"/>
  <c r="AH254" i="8"/>
  <c r="Q254" i="8" s="1"/>
  <c r="AH255" i="8"/>
  <c r="AH256" i="8"/>
  <c r="Q256" i="8" s="1"/>
  <c r="AH257" i="8"/>
  <c r="Q257" i="8" s="1"/>
  <c r="AH258" i="8"/>
  <c r="Q258" i="8" s="1"/>
  <c r="AH259" i="8"/>
  <c r="AH260" i="8"/>
  <c r="AH261" i="8"/>
  <c r="Q261" i="8" s="1"/>
  <c r="AH262" i="8"/>
  <c r="Q262" i="8" s="1"/>
  <c r="AH263" i="8"/>
  <c r="AH264" i="8"/>
  <c r="AH265" i="8"/>
  <c r="AH266" i="8"/>
  <c r="Q266" i="8" s="1"/>
  <c r="AH267" i="8"/>
  <c r="AH268" i="8"/>
  <c r="Q268" i="8" s="1"/>
  <c r="AH269" i="8"/>
  <c r="AH270" i="8"/>
  <c r="AH271" i="8"/>
  <c r="AH272" i="8"/>
  <c r="AH273" i="8"/>
  <c r="AH274" i="8"/>
  <c r="Q274" i="8" s="1"/>
  <c r="AH275" i="8"/>
  <c r="AH276" i="8"/>
  <c r="AH277" i="8"/>
  <c r="AH278" i="8"/>
  <c r="Q278" i="8" s="1"/>
  <c r="AH279" i="8"/>
  <c r="AH280" i="8"/>
  <c r="Q280" i="8" s="1"/>
  <c r="AH281" i="8"/>
  <c r="AH282" i="8"/>
  <c r="Q282" i="8" s="1"/>
  <c r="AH283" i="8"/>
  <c r="AH284" i="8"/>
  <c r="AH285" i="8"/>
  <c r="AH286" i="8"/>
  <c r="AH287" i="8"/>
  <c r="AH288" i="8"/>
  <c r="AH289" i="8"/>
  <c r="AH290" i="8"/>
  <c r="Q290" i="8" s="1"/>
  <c r="AH291" i="8"/>
  <c r="AH292" i="8"/>
  <c r="AH293" i="8"/>
  <c r="AH294" i="8"/>
  <c r="Q294" i="8" s="1"/>
  <c r="AH295" i="8"/>
  <c r="AH296" i="8"/>
  <c r="AH297" i="8"/>
  <c r="AH298" i="8"/>
  <c r="Q298" i="8" s="1"/>
  <c r="AH299" i="8"/>
  <c r="AH300" i="8"/>
  <c r="AH301" i="8"/>
  <c r="AH302" i="8"/>
  <c r="Q302" i="8" s="1"/>
  <c r="AH303" i="8"/>
  <c r="AH304" i="8"/>
  <c r="AH305" i="8"/>
  <c r="AH306" i="8"/>
  <c r="AH307" i="8"/>
  <c r="AH308" i="8"/>
  <c r="AH309" i="8"/>
  <c r="AH310" i="8"/>
  <c r="Q310" i="8" s="1"/>
  <c r="AH311" i="8"/>
  <c r="AH312" i="8"/>
  <c r="AH313" i="8"/>
  <c r="AH314" i="8"/>
  <c r="Q314" i="8" s="1"/>
  <c r="AH315" i="8"/>
  <c r="AH316" i="8"/>
  <c r="Q316" i="8" s="1"/>
  <c r="AH317" i="8"/>
  <c r="AH318" i="8"/>
  <c r="AH319" i="8"/>
  <c r="AH320" i="8"/>
  <c r="AH321" i="8"/>
  <c r="AH322" i="8"/>
  <c r="AH323" i="8"/>
  <c r="AH324" i="8"/>
  <c r="AH325" i="8"/>
  <c r="AH326" i="8"/>
  <c r="Q326" i="8" s="1"/>
  <c r="AH327" i="8"/>
  <c r="AH328" i="8"/>
  <c r="AH329" i="8"/>
  <c r="AH330" i="8"/>
  <c r="AH331" i="8"/>
  <c r="AH332" i="8"/>
  <c r="AH333" i="8"/>
  <c r="AH334" i="8"/>
  <c r="Q334" i="8" s="1"/>
  <c r="AH335" i="8"/>
  <c r="AH336" i="8"/>
  <c r="AH337" i="8"/>
  <c r="AH338" i="8"/>
  <c r="Q338" i="8" s="1"/>
  <c r="AH339" i="8"/>
  <c r="AH340" i="8"/>
  <c r="Q340" i="8" s="1"/>
  <c r="AH341" i="8"/>
  <c r="AH342" i="8"/>
  <c r="AH343" i="8"/>
  <c r="AH344" i="8"/>
  <c r="AH345" i="8"/>
  <c r="Q345" i="8" s="1"/>
  <c r="AH346" i="8"/>
  <c r="Q346" i="8" s="1"/>
  <c r="AH347" i="8"/>
  <c r="AH348" i="8"/>
  <c r="AH349" i="8"/>
  <c r="AH350" i="8"/>
  <c r="Q350" i="8" s="1"/>
  <c r="AH351" i="8"/>
  <c r="AH352" i="8"/>
  <c r="Q352" i="8" s="1"/>
  <c r="AH353" i="8"/>
  <c r="AH354" i="8"/>
  <c r="Q354" i="8" s="1"/>
  <c r="AH355" i="8"/>
  <c r="AH356" i="8"/>
  <c r="AG3" i="8"/>
  <c r="R3" i="8" s="1"/>
  <c r="AG4" i="8"/>
  <c r="R4" i="8" s="1"/>
  <c r="AG5" i="8"/>
  <c r="R5" i="8" s="1"/>
  <c r="AG6" i="8"/>
  <c r="R6" i="8" s="1"/>
  <c r="AG7" i="8"/>
  <c r="R7" i="8" s="1"/>
  <c r="AG8" i="8"/>
  <c r="R8" i="8" s="1"/>
  <c r="AG9" i="8"/>
  <c r="R9" i="8" s="1"/>
  <c r="AG10" i="8"/>
  <c r="R10" i="8" s="1"/>
  <c r="AG11" i="8"/>
  <c r="AG12" i="8"/>
  <c r="AG13" i="8"/>
  <c r="AG14" i="8"/>
  <c r="AG15" i="8"/>
  <c r="R15" i="8" s="1"/>
  <c r="AG16" i="8"/>
  <c r="R16" i="8" s="1"/>
  <c r="AG17" i="8"/>
  <c r="R17" i="8" s="1"/>
  <c r="AG18" i="8"/>
  <c r="R18" i="8" s="1"/>
  <c r="AG19" i="8"/>
  <c r="R19" i="8" s="1"/>
  <c r="AG20" i="8"/>
  <c r="R20" i="8" s="1"/>
  <c r="AG21" i="8"/>
  <c r="AG22" i="8"/>
  <c r="R22" i="8" s="1"/>
  <c r="AG23" i="8"/>
  <c r="R23" i="8" s="1"/>
  <c r="AG24" i="8"/>
  <c r="R24" i="8" s="1"/>
  <c r="AG25" i="8"/>
  <c r="AG26" i="8"/>
  <c r="AG27" i="8"/>
  <c r="R27" i="8" s="1"/>
  <c r="AG28" i="8"/>
  <c r="R28" i="8" s="1"/>
  <c r="AG29" i="8"/>
  <c r="R29" i="8" s="1"/>
  <c r="AG30" i="8"/>
  <c r="R30" i="8" s="1"/>
  <c r="AG31" i="8"/>
  <c r="R31" i="8" s="1"/>
  <c r="AG32" i="8"/>
  <c r="R32" i="8" s="1"/>
  <c r="AG33" i="8"/>
  <c r="R33" i="8" s="1"/>
  <c r="AG34" i="8"/>
  <c r="AG35" i="8"/>
  <c r="AG36" i="8"/>
  <c r="R36" i="8" s="1"/>
  <c r="AG37" i="8"/>
  <c r="AG38" i="8"/>
  <c r="AG39" i="8"/>
  <c r="R39" i="8" s="1"/>
  <c r="AG40" i="8"/>
  <c r="R40" i="8" s="1"/>
  <c r="AG41" i="8"/>
  <c r="R41" i="8" s="1"/>
  <c r="AG42" i="8"/>
  <c r="R42" i="8" s="1"/>
  <c r="AG43" i="8"/>
  <c r="R43" i="8" s="1"/>
  <c r="AG44" i="8"/>
  <c r="R44" i="8" s="1"/>
  <c r="AG45" i="8"/>
  <c r="AG46" i="8"/>
  <c r="AG47" i="8"/>
  <c r="AG48" i="8"/>
  <c r="R48" i="8" s="1"/>
  <c r="AG49" i="8"/>
  <c r="R49" i="8" s="1"/>
  <c r="AG50" i="8"/>
  <c r="AG51" i="8"/>
  <c r="R51" i="8" s="1"/>
  <c r="AG52" i="8"/>
  <c r="R52" i="8" s="1"/>
  <c r="AG53" i="8"/>
  <c r="R53" i="8" s="1"/>
  <c r="AG54" i="8"/>
  <c r="R54" i="8" s="1"/>
  <c r="AG55" i="8"/>
  <c r="R55" i="8" s="1"/>
  <c r="AG56" i="8"/>
  <c r="R56" i="8" s="1"/>
  <c r="AG57" i="8"/>
  <c r="R57" i="8" s="1"/>
  <c r="AG58" i="8"/>
  <c r="R58" i="8" s="1"/>
  <c r="AG59" i="8"/>
  <c r="AG60" i="8"/>
  <c r="AG61" i="8"/>
  <c r="AG62" i="8"/>
  <c r="AG63" i="8"/>
  <c r="R63" i="8" s="1"/>
  <c r="AG64" i="8"/>
  <c r="R64" i="8" s="1"/>
  <c r="AG65" i="8"/>
  <c r="R65" i="8" s="1"/>
  <c r="AG66" i="8"/>
  <c r="R66" i="8" s="1"/>
  <c r="AG67" i="8"/>
  <c r="R67" i="8" s="1"/>
  <c r="AG68" i="8"/>
  <c r="R68" i="8" s="1"/>
  <c r="AG69" i="8"/>
  <c r="R69" i="8" s="1"/>
  <c r="AG70" i="8"/>
  <c r="R70" i="8" s="1"/>
  <c r="AG71" i="8"/>
  <c r="R71" i="8" s="1"/>
  <c r="AG72" i="8"/>
  <c r="R72" i="8" s="1"/>
  <c r="AG73" i="8"/>
  <c r="AG74" i="8"/>
  <c r="R74" i="8" s="1"/>
  <c r="AG75" i="8"/>
  <c r="R75" i="8" s="1"/>
  <c r="AG76" i="8"/>
  <c r="R76" i="8" s="1"/>
  <c r="AG77" i="8"/>
  <c r="R77" i="8" s="1"/>
  <c r="AG78" i="8"/>
  <c r="R78" i="8" s="1"/>
  <c r="AG79" i="8"/>
  <c r="R79" i="8" s="1"/>
  <c r="AG80" i="8"/>
  <c r="R80" i="8" s="1"/>
  <c r="AG81" i="8"/>
  <c r="R81" i="8" s="1"/>
  <c r="AG82" i="8"/>
  <c r="AG83" i="8"/>
  <c r="AG84" i="8"/>
  <c r="R84" i="8" s="1"/>
  <c r="AG85" i="8"/>
  <c r="AG86" i="8"/>
  <c r="AG87" i="8"/>
  <c r="R87" i="8" s="1"/>
  <c r="AG88" i="8"/>
  <c r="R88" i="8" s="1"/>
  <c r="AG89" i="8"/>
  <c r="R89" i="8" s="1"/>
  <c r="R90" i="8"/>
  <c r="R91" i="8"/>
  <c r="AG93" i="8"/>
  <c r="R93" i="8" s="1"/>
  <c r="AG94" i="8"/>
  <c r="R94" i="8" s="1"/>
  <c r="AG95" i="8"/>
  <c r="R95" i="8" s="1"/>
  <c r="AG96" i="8"/>
  <c r="AG97" i="8"/>
  <c r="R97" i="8" s="1"/>
  <c r="AG98" i="8"/>
  <c r="AG99" i="8"/>
  <c r="R99" i="8" s="1"/>
  <c r="AG100" i="8"/>
  <c r="R100" i="8" s="1"/>
  <c r="AG101" i="8"/>
  <c r="R101" i="8" s="1"/>
  <c r="AG102" i="8"/>
  <c r="R102" i="8" s="1"/>
  <c r="AG103" i="8"/>
  <c r="R103" i="8" s="1"/>
  <c r="AG104" i="8"/>
  <c r="R104" i="8" s="1"/>
  <c r="AG105" i="8"/>
  <c r="R105" i="8" s="1"/>
  <c r="AG106" i="8"/>
  <c r="R106" i="8" s="1"/>
  <c r="AG107" i="8"/>
  <c r="R107" i="8" s="1"/>
  <c r="AG108" i="8"/>
  <c r="AG109" i="8"/>
  <c r="AG110" i="8"/>
  <c r="AG111" i="8"/>
  <c r="R111" i="8" s="1"/>
  <c r="AG112" i="8"/>
  <c r="R112" i="8" s="1"/>
  <c r="AG113" i="8"/>
  <c r="R113" i="8" s="1"/>
  <c r="AG114" i="8"/>
  <c r="R114" i="8" s="1"/>
  <c r="R115" i="8"/>
  <c r="AG116" i="8"/>
  <c r="R116" i="8" s="1"/>
  <c r="AG117" i="8"/>
  <c r="R117" i="8" s="1"/>
  <c r="AG118" i="8"/>
  <c r="R118" i="8" s="1"/>
  <c r="AG119" i="8"/>
  <c r="R119" i="8" s="1"/>
  <c r="AG120" i="8"/>
  <c r="R120" i="8" s="1"/>
  <c r="AG121" i="8"/>
  <c r="AG123" i="8"/>
  <c r="R123" i="8" s="1"/>
  <c r="AG124" i="8"/>
  <c r="R124" i="8" s="1"/>
  <c r="AG125" i="8"/>
  <c r="R125" i="8" s="1"/>
  <c r="AG126" i="8"/>
  <c r="R126" i="8" s="1"/>
  <c r="AG127" i="8"/>
  <c r="R127" i="8" s="1"/>
  <c r="AG128" i="8"/>
  <c r="R128" i="8" s="1"/>
  <c r="AG129" i="8"/>
  <c r="R129" i="8" s="1"/>
  <c r="AG130" i="8"/>
  <c r="R130" i="8" s="1"/>
  <c r="AG131" i="8"/>
  <c r="AG132" i="8"/>
  <c r="R132" i="8" s="1"/>
  <c r="AG133" i="8"/>
  <c r="AG134" i="8"/>
  <c r="AG135" i="8"/>
  <c r="R135" i="8" s="1"/>
  <c r="AG136" i="8"/>
  <c r="R136" i="8" s="1"/>
  <c r="AG137" i="8"/>
  <c r="R137" i="8" s="1"/>
  <c r="AG138" i="8"/>
  <c r="R138" i="8" s="1"/>
  <c r="AG139" i="8"/>
  <c r="R139" i="8" s="1"/>
  <c r="AG140" i="8"/>
  <c r="R140" i="8" s="1"/>
  <c r="AG141" i="8"/>
  <c r="R141" i="8" s="1"/>
  <c r="AG142" i="8"/>
  <c r="AG143" i="8"/>
  <c r="AG144" i="8"/>
  <c r="AG145" i="8"/>
  <c r="R145" i="8" s="1"/>
  <c r="AG146" i="8"/>
  <c r="R146" i="8" s="1"/>
  <c r="AG147" i="8"/>
  <c r="R147" i="8" s="1"/>
  <c r="AG148" i="8"/>
  <c r="R148" i="8" s="1"/>
  <c r="AG149" i="8"/>
  <c r="R149" i="8" s="1"/>
  <c r="AG150" i="8"/>
  <c r="R150" i="8" s="1"/>
  <c r="AG151" i="8"/>
  <c r="R151" i="8" s="1"/>
  <c r="AG152" i="8"/>
  <c r="R152" i="8" s="1"/>
  <c r="AG153" i="8"/>
  <c r="R153" i="8" s="1"/>
  <c r="AG154" i="8"/>
  <c r="AG155" i="8"/>
  <c r="AG156" i="8"/>
  <c r="AG157" i="8"/>
  <c r="R159" i="8"/>
  <c r="R160" i="8"/>
  <c r="R161" i="8"/>
  <c r="AG162" i="8"/>
  <c r="R162" i="8" s="1"/>
  <c r="AG163" i="8"/>
  <c r="R163" i="8" s="1"/>
  <c r="AG164" i="8"/>
  <c r="R164" i="8" s="1"/>
  <c r="AG165" i="8"/>
  <c r="R165" i="8" s="1"/>
  <c r="AG166" i="8"/>
  <c r="R166" i="8" s="1"/>
  <c r="AG167" i="8"/>
  <c r="R167" i="8" s="1"/>
  <c r="AG168" i="8"/>
  <c r="R168" i="8" s="1"/>
  <c r="AG169" i="8"/>
  <c r="AG170" i="8"/>
  <c r="AG171" i="8"/>
  <c r="R171" i="8" s="1"/>
  <c r="AG172" i="8"/>
  <c r="R172" i="8" s="1"/>
  <c r="AG173" i="8"/>
  <c r="R173" i="8" s="1"/>
  <c r="AG174" i="8"/>
  <c r="R174" i="8" s="1"/>
  <c r="AG175" i="8"/>
  <c r="R175" i="8" s="1"/>
  <c r="AG176" i="8"/>
  <c r="R176" i="8" s="1"/>
  <c r="AG177" i="8"/>
  <c r="R177" i="8" s="1"/>
  <c r="AG178" i="8"/>
  <c r="R178" i="8" s="1"/>
  <c r="AG179" i="8"/>
  <c r="R179" i="8" s="1"/>
  <c r="AG180" i="8"/>
  <c r="R180" i="8" s="1"/>
  <c r="AG181" i="8"/>
  <c r="AG182" i="8"/>
  <c r="AG183" i="8"/>
  <c r="R183" i="8" s="1"/>
  <c r="AG184" i="8"/>
  <c r="R184" i="8" s="1"/>
  <c r="AG185" i="8"/>
  <c r="R185" i="8" s="1"/>
  <c r="AG186" i="8"/>
  <c r="R186" i="8" s="1"/>
  <c r="AG187" i="8"/>
  <c r="R187" i="8" s="1"/>
  <c r="AG188" i="8"/>
  <c r="R188" i="8" s="1"/>
  <c r="AG189" i="8"/>
  <c r="R189" i="8" s="1"/>
  <c r="AG190" i="8"/>
  <c r="R190" i="8" s="1"/>
  <c r="AG191" i="8"/>
  <c r="R191" i="8" s="1"/>
  <c r="AG192" i="8"/>
  <c r="R192" i="8" s="1"/>
  <c r="AG193" i="8"/>
  <c r="R193" i="8" s="1"/>
  <c r="AG194" i="8"/>
  <c r="AG195" i="8"/>
  <c r="R195" i="8" s="1"/>
  <c r="AG196" i="8"/>
  <c r="R196" i="8" s="1"/>
  <c r="R197" i="8"/>
  <c r="AG198" i="8"/>
  <c r="R198" i="8" s="1"/>
  <c r="AG199" i="8"/>
  <c r="R199" i="8" s="1"/>
  <c r="AG200" i="8"/>
  <c r="R200" i="8" s="1"/>
  <c r="AG201" i="8"/>
  <c r="R201" i="8" s="1"/>
  <c r="AG202" i="8"/>
  <c r="R202" i="8" s="1"/>
  <c r="AG203" i="8"/>
  <c r="R203" i="8" s="1"/>
  <c r="AG204" i="8"/>
  <c r="AG205" i="8"/>
  <c r="AG206" i="8"/>
  <c r="AG207" i="8"/>
  <c r="R207" i="8" s="1"/>
  <c r="AG208" i="8"/>
  <c r="R208" i="8" s="1"/>
  <c r="AG209" i="8"/>
  <c r="R209" i="8" s="1"/>
  <c r="AG210" i="8"/>
  <c r="R210" i="8" s="1"/>
  <c r="AG211" i="8"/>
  <c r="R211" i="8" s="1"/>
  <c r="AG212" i="8"/>
  <c r="R212" i="8" s="1"/>
  <c r="AG213" i="8"/>
  <c r="R213" i="8" s="1"/>
  <c r="AG214" i="8"/>
  <c r="R214" i="8" s="1"/>
  <c r="AG215" i="8"/>
  <c r="R215" i="8" s="1"/>
  <c r="AG216" i="8"/>
  <c r="R216" i="8" s="1"/>
  <c r="AG217" i="8"/>
  <c r="AG218" i="8"/>
  <c r="AG219" i="8"/>
  <c r="R219" i="8" s="1"/>
  <c r="AG220" i="8"/>
  <c r="R220" i="8" s="1"/>
  <c r="AG221" i="8"/>
  <c r="R221" i="8" s="1"/>
  <c r="AG222" i="8"/>
  <c r="R222" i="8" s="1"/>
  <c r="AG223" i="8"/>
  <c r="R223" i="8" s="1"/>
  <c r="AG224" i="8"/>
  <c r="R224" i="8" s="1"/>
  <c r="AG225" i="8"/>
  <c r="R225" i="8" s="1"/>
  <c r="AG226" i="8"/>
  <c r="R226" i="8" s="1"/>
  <c r="AG227" i="8"/>
  <c r="AG228" i="8"/>
  <c r="R228" i="8" s="1"/>
  <c r="AG229" i="8"/>
  <c r="AG230" i="8"/>
  <c r="AG231" i="8"/>
  <c r="R231" i="8" s="1"/>
  <c r="AG232" i="8"/>
  <c r="R232" i="8" s="1"/>
  <c r="AG233" i="8"/>
  <c r="R233" i="8" s="1"/>
  <c r="AG234" i="8"/>
  <c r="R234" i="8" s="1"/>
  <c r="AG235" i="8"/>
  <c r="R235" i="8" s="1"/>
  <c r="AG236" i="8"/>
  <c r="R236" i="8" s="1"/>
  <c r="AG237" i="8"/>
  <c r="R237" i="8" s="1"/>
  <c r="AG238" i="8"/>
  <c r="R238" i="8" s="1"/>
  <c r="AG239" i="8"/>
  <c r="AG240" i="8"/>
  <c r="AG241" i="8"/>
  <c r="R241" i="8" s="1"/>
  <c r="AG242" i="8"/>
  <c r="AG243" i="8"/>
  <c r="R243" i="8" s="1"/>
  <c r="AG244" i="8"/>
  <c r="R244" i="8" s="1"/>
  <c r="AG245" i="8"/>
  <c r="R245" i="8" s="1"/>
  <c r="AG246" i="8"/>
  <c r="R246" i="8" s="1"/>
  <c r="AG247" i="8"/>
  <c r="R247" i="8" s="1"/>
  <c r="AG248" i="8"/>
  <c r="R248" i="8" s="1"/>
  <c r="AG249" i="8"/>
  <c r="R249" i="8" s="1"/>
  <c r="AG250" i="8"/>
  <c r="R250" i="8" s="1"/>
  <c r="AG251" i="8"/>
  <c r="AG252" i="8"/>
  <c r="AG253" i="8"/>
  <c r="AG254" i="8"/>
  <c r="AG255" i="8"/>
  <c r="R255" i="8" s="1"/>
  <c r="AG256" i="8"/>
  <c r="R256" i="8" s="1"/>
  <c r="AG257" i="8"/>
  <c r="R257" i="8" s="1"/>
  <c r="AG258" i="8"/>
  <c r="R258" i="8" s="1"/>
  <c r="AG259" i="8"/>
  <c r="R259" i="8" s="1"/>
  <c r="AG260" i="8"/>
  <c r="R260" i="8" s="1"/>
  <c r="AG261" i="8"/>
  <c r="AG262" i="8"/>
  <c r="R262" i="8" s="1"/>
  <c r="AG263" i="8"/>
  <c r="R263" i="8" s="1"/>
  <c r="AG264" i="8"/>
  <c r="R264" i="8" s="1"/>
  <c r="AG265" i="8"/>
  <c r="AG266" i="8"/>
  <c r="AG267" i="8"/>
  <c r="R267" i="8" s="1"/>
  <c r="AG268" i="8"/>
  <c r="R268" i="8" s="1"/>
  <c r="AG269" i="8"/>
  <c r="R269" i="8" s="1"/>
  <c r="AG270" i="8"/>
  <c r="R270" i="8" s="1"/>
  <c r="AG271" i="8"/>
  <c r="R271" i="8" s="1"/>
  <c r="AG272" i="8"/>
  <c r="R272" i="8" s="1"/>
  <c r="AG273" i="8"/>
  <c r="R273" i="8" s="1"/>
  <c r="AG274" i="8"/>
  <c r="AG275" i="8"/>
  <c r="AG276" i="8"/>
  <c r="R276" i="8" s="1"/>
  <c r="AG277" i="8"/>
  <c r="AG278" i="8"/>
  <c r="AG279" i="8"/>
  <c r="R279" i="8" s="1"/>
  <c r="AG280" i="8"/>
  <c r="R280" i="8" s="1"/>
  <c r="AG281" i="8"/>
  <c r="R281" i="8" s="1"/>
  <c r="AG282" i="8"/>
  <c r="R282" i="8" s="1"/>
  <c r="AG283" i="8"/>
  <c r="R283" i="8" s="1"/>
  <c r="AG284" i="8"/>
  <c r="R284" i="8" s="1"/>
  <c r="AG285" i="8"/>
  <c r="R285" i="8" s="1"/>
  <c r="AG286" i="8"/>
  <c r="R286" i="8" s="1"/>
  <c r="AG287" i="8"/>
  <c r="R287" i="8" s="1"/>
  <c r="AG288" i="8"/>
  <c r="AG289" i="8"/>
  <c r="AG290" i="8"/>
  <c r="AG291" i="8"/>
  <c r="R291" i="8" s="1"/>
  <c r="AG292" i="8"/>
  <c r="R292" i="8" s="1"/>
  <c r="AG293" i="8"/>
  <c r="R293" i="8" s="1"/>
  <c r="AG294" i="8"/>
  <c r="R294" i="8" s="1"/>
  <c r="AG295" i="8"/>
  <c r="R295" i="8" s="1"/>
  <c r="AG296" i="8"/>
  <c r="R296" i="8" s="1"/>
  <c r="AG297" i="8"/>
  <c r="R297" i="8" s="1"/>
  <c r="AG298" i="8"/>
  <c r="R298" i="8" s="1"/>
  <c r="AG299" i="8"/>
  <c r="R299" i="8" s="1"/>
  <c r="AG300" i="8"/>
  <c r="AG301" i="8"/>
  <c r="AG302" i="8"/>
  <c r="AG303" i="8"/>
  <c r="R303" i="8" s="1"/>
  <c r="AG304" i="8"/>
  <c r="R304" i="8" s="1"/>
  <c r="AG305" i="8"/>
  <c r="R305" i="8" s="1"/>
  <c r="AG306" i="8"/>
  <c r="R306" i="8" s="1"/>
  <c r="AG307" i="8"/>
  <c r="R307" i="8" s="1"/>
  <c r="AG308" i="8"/>
  <c r="R308" i="8" s="1"/>
  <c r="AG309" i="8"/>
  <c r="R309" i="8" s="1"/>
  <c r="AG310" i="8"/>
  <c r="R310" i="8" s="1"/>
  <c r="AG311" i="8"/>
  <c r="R311" i="8" s="1"/>
  <c r="AG312" i="8"/>
  <c r="R312" i="8" s="1"/>
  <c r="AG313" i="8"/>
  <c r="AG314" i="8"/>
  <c r="AG315" i="8"/>
  <c r="R315" i="8" s="1"/>
  <c r="AG316" i="8"/>
  <c r="R316" i="8" s="1"/>
  <c r="AG317" i="8"/>
  <c r="R317" i="8" s="1"/>
  <c r="AG318" i="8"/>
  <c r="R318" i="8" s="1"/>
  <c r="AG319" i="8"/>
  <c r="R319" i="8" s="1"/>
  <c r="AG320" i="8"/>
  <c r="R320" i="8" s="1"/>
  <c r="AG321" i="8"/>
  <c r="R321" i="8" s="1"/>
  <c r="AG322" i="8"/>
  <c r="R322" i="8" s="1"/>
  <c r="AG323" i="8"/>
  <c r="AG324" i="8"/>
  <c r="R324" i="8" s="1"/>
  <c r="AG325" i="8"/>
  <c r="AG326" i="8"/>
  <c r="AG327" i="8"/>
  <c r="R327" i="8" s="1"/>
  <c r="AG328" i="8"/>
  <c r="R328" i="8" s="1"/>
  <c r="AG329" i="8"/>
  <c r="R329" i="8" s="1"/>
  <c r="AG330" i="8"/>
  <c r="R330" i="8" s="1"/>
  <c r="AG331" i="8"/>
  <c r="R331" i="8" s="1"/>
  <c r="AG332" i="8"/>
  <c r="R332" i="8" s="1"/>
  <c r="AG333" i="8"/>
  <c r="R333" i="8" s="1"/>
  <c r="AG334" i="8"/>
  <c r="AG335" i="8"/>
  <c r="AG336" i="8"/>
  <c r="R336" i="8" s="1"/>
  <c r="AG337" i="8"/>
  <c r="R337" i="8" s="1"/>
  <c r="AG338" i="8"/>
  <c r="AG339" i="8"/>
  <c r="R339" i="8" s="1"/>
  <c r="AG340" i="8"/>
  <c r="R340" i="8" s="1"/>
  <c r="AG341" i="8"/>
  <c r="R341" i="8" s="1"/>
  <c r="AG342" i="8"/>
  <c r="R342" i="8" s="1"/>
  <c r="AG343" i="8"/>
  <c r="R343" i="8" s="1"/>
  <c r="AG344" i="8"/>
  <c r="R344" i="8" s="1"/>
  <c r="AG345" i="8"/>
  <c r="R345" i="8" s="1"/>
  <c r="AG346" i="8"/>
  <c r="R346" i="8" s="1"/>
  <c r="AG347" i="8"/>
  <c r="AG348" i="8"/>
  <c r="AG349" i="8"/>
  <c r="AG350" i="8"/>
  <c r="AG351" i="8"/>
  <c r="R351" i="8" s="1"/>
  <c r="AG352" i="8"/>
  <c r="R352" i="8" s="1"/>
  <c r="AG353" i="8"/>
  <c r="R353" i="8" s="1"/>
  <c r="AG354" i="8"/>
  <c r="R354" i="8" s="1"/>
  <c r="AG355" i="8"/>
  <c r="R355" i="8" s="1"/>
  <c r="AG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<sst xmlns="http://schemas.openxmlformats.org/spreadsheetml/2006/main" count="15005" uniqueCount="2689">
  <si>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</si>
  <si>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</si>
  <si>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</si>
  <si>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</si>
  <si>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</si>
  <si>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</si>
  <si>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</si>
  <si>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</si>
  <si>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</si>
  <si>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</si>
  <si>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</si>
  <si>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</si>
  <si>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</si>
  <si>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</si>
  <si>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</si>
  <si>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</si>
  <si>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</si>
  <si>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</si>
  <si>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</si>
  <si>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</si>
  <si>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</si>
  <si>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</si>
  <si>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</si>
  <si>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</si>
  <si>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</si>
  <si>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</si>
  <si>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</si>
  <si>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</si>
  <si>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</si>
  <si>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</si>
  <si>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</si>
  <si>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</si>
  <si>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</si>
  <si>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</si>
  <si>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</si>
  <si>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</si>
  <si>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</si>
  <si>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</si>
  <si>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</si>
  <si>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</si>
  <si>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</si>
  <si>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</si>
  <si>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</si>
  <si>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</si>
  <si>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</si>
  <si>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</si>
  <si>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</si>
  <si>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</si>
  <si>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</si>
  <si>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</si>
  <si>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</si>
  <si>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</si>
  <si>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</si>
  <si>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</si>
  <si>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</si>
  <si>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</si>
  <si>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</si>
  <si>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</si>
  <si>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</si>
  <si>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</si>
  <si>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</si>
  <si>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</si>
  <si>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</si>
  <si>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</si>
  <si>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</si>
  <si>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</si>
  <si>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</si>
  <si>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</si>
  <si>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</si>
  <si>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</si>
  <si>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</si>
  <si>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</si>
  <si>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</si>
  <si>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</si>
  <si>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</si>
  <si>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</si>
  <si>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</si>
  <si>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</si>
  <si>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</si>
  <si>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</si>
  <si>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</si>
  <si>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</si>
  <si>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</si>
  <si>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</si>
  <si>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</si>
  <si>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</si>
  <si>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</si>
  <si>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</si>
  <si>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</si>
  <si>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</si>
  <si>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</si>
  <si>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</si>
  <si>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</si>
  <si>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</si>
  <si>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</si>
  <si>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</si>
  <si>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</si>
  <si>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</si>
  <si>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</si>
  <si>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</si>
  <si>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</si>
  <si>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</si>
  <si>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</si>
  <si>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</si>
  <si>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</si>
  <si>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</si>
  <si>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</si>
  <si>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</si>
  <si>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</si>
  <si>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</si>
  <si>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</si>
  <si>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</si>
  <si>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</si>
  <si>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</si>
  <si>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</si>
  <si>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</si>
  <si>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</si>
  <si>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</si>
  <si>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</si>
  <si>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</si>
  <si>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</si>
  <si>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</si>
  <si>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</si>
  <si>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</si>
  <si>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</si>
  <si>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</si>
  <si>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</si>
  <si>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</si>
  <si>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</si>
  <si>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</si>
  <si>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</si>
  <si>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</si>
  <si>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</si>
  <si>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</si>
  <si>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</si>
  <si>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</si>
  <si>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</si>
  <si>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</si>
  <si>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</si>
  <si>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</si>
  <si>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</si>
  <si>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</si>
  <si>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</si>
  <si>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</si>
  <si>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</si>
  <si>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</si>
  <si>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</si>
  <si>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</si>
  <si>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</si>
  <si>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</si>
  <si>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</si>
  <si>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</si>
  <si>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</si>
  <si>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</si>
  <si>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</si>
  <si>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</si>
  <si>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</si>
  <si>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</si>
  <si>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</si>
  <si>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</si>
  <si>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</si>
  <si>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</si>
  <si>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</si>
  <si>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</si>
  <si>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</si>
  <si>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</si>
  <si>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</si>
  <si>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</si>
  <si>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</si>
  <si>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</si>
  <si>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</si>
  <si>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</si>
  <si>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</si>
  <si>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</si>
  <si>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</si>
  <si>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</si>
  <si>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</si>
  <si>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</si>
  <si>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</si>
  <si>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</si>
  <si>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</si>
  <si>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</si>
  <si>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</si>
  <si>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</si>
  <si>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</si>
  <si>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</si>
  <si>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</si>
  <si>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</si>
  <si>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</si>
  <si>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</si>
  <si>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</si>
  <si>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</si>
  <si>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</si>
  <si>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</si>
  <si>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</si>
  <si>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</si>
  <si>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</si>
  <si>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</si>
  <si>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</si>
  <si>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</si>
  <si>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</si>
  <si>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</si>
  <si>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</si>
  <si>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</si>
  <si>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</si>
  <si>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</si>
  <si>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</si>
  <si>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</si>
  <si>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</si>
  <si>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</si>
  <si>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</si>
  <si>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</si>
  <si>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</si>
  <si>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</si>
  <si>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</si>
  <si>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</si>
  <si>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</si>
  <si>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</si>
  <si>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</si>
  <si>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</si>
  <si>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</si>
  <si>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</si>
  <si>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</si>
  <si>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</si>
  <si>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</si>
  <si>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</si>
  <si>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</si>
  <si>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</si>
  <si>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</si>
  <si>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</si>
  <si>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</si>
  <si>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</si>
  <si>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</si>
  <si>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</si>
  <si>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</si>
  <si>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</si>
  <si>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</si>
  <si>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</si>
  <si>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</si>
  <si>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</si>
  <si>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</si>
  <si>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</si>
  <si>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</si>
  <si>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</si>
  <si>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</si>
  <si>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</si>
  <si>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</si>
  <si>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</si>
  <si>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</si>
  <si>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</si>
  <si>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</si>
  <si>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</si>
  <si>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</si>
  <si>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</si>
  <si>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</si>
  <si>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</si>
  <si>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</si>
  <si>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</si>
  <si>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</si>
  <si>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</si>
  <si>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</si>
  <si>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</si>
  <si>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</si>
  <si>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</si>
  <si>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</si>
  <si>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</si>
  <si>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</si>
  <si>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</si>
  <si>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</si>
  <si>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</si>
  <si>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</si>
  <si>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</si>
  <si>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</si>
  <si>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</si>
  <si>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</si>
  <si>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</si>
  <si>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</si>
  <si>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</si>
  <si>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</si>
  <si>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</si>
  <si>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</si>
  <si>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</si>
  <si>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</si>
  <si>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</si>
  <si>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</si>
  <si>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</si>
  <si>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</si>
  <si>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</si>
  <si>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</si>
  <si>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</si>
  <si>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</si>
  <si>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</si>
  <si>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</si>
  <si>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</si>
  <si>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</si>
  <si>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</si>
  <si>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</si>
  <si>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</si>
  <si>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</si>
  <si>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</si>
  <si>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</si>
  <si>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</si>
  <si>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</si>
  <si>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</si>
  <si>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</si>
  <si>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</si>
  <si>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</si>
  <si>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</si>
  <si>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</si>
  <si>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</si>
  <si>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</si>
  <si>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</si>
  <si>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</si>
  <si>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</si>
  <si>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</si>
  <si>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</si>
  <si>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</si>
  <si>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</si>
  <si>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</si>
  <si>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</si>
  <si>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</si>
  <si>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</si>
  <si>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</si>
  <si>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</si>
  <si>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</si>
  <si>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</si>
  <si>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</si>
  <si>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</si>
  <si>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</si>
  <si>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</si>
  <si>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</si>
  <si>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</si>
  <si>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</si>
  <si>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</si>
  <si>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</si>
  <si>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</si>
  <si>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</si>
  <si>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</si>
  <si>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</si>
  <si>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</si>
  <si>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</si>
  <si>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</si>
  <si>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</si>
  <si>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</si>
  <si>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</si>
  <si>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</si>
  <si>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</si>
  <si>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</si>
  <si>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</si>
  <si>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</si>
  <si>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</si>
  <si>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</si>
  <si>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</si>
  <si>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</si>
  <si>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</si>
  <si>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</si>
  <si>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</si>
  <si>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</si>
  <si>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</si>
  <si>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</si>
  <si>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</si>
  <si>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</si>
  <si>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</si>
  <si>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</si>
  <si>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</si>
  <si>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</si>
  <si>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</si>
  <si>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</si>
  <si>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</si>
  <si>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</si>
  <si>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</si>
  <si>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</si>
  <si>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</si>
  <si>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</si>
  <si>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</si>
  <si>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</si>
  <si>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</si>
  <si>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</si>
  <si>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</si>
  <si>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</si>
  <si>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</si>
  <si>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</si>
  <si>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</si>
  <si>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</si>
  <si>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</si>
  <si>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</si>
  <si>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</si>
  <si>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</si>
  <si>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</si>
  <si>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</si>
  <si>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</si>
  <si>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</si>
  <si>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</si>
  <si>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</si>
  <si>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</si>
  <si>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</si>
  <si>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</si>
  <si>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</si>
  <si>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</si>
  <si>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</si>
  <si>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</si>
  <si>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</si>
  <si>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</si>
  <si>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</si>
  <si>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</si>
  <si>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</si>
  <si>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</si>
  <si>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</si>
  <si>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</si>
  <si>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</si>
  <si>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</si>
  <si>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</si>
  <si>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</si>
  <si>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</si>
  <si>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</si>
  <si>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</si>
  <si>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</si>
  <si>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</si>
  <si>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</si>
  <si>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</si>
  <si>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</si>
  <si>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</si>
  <si>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</si>
  <si>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</si>
  <si>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</si>
  <si>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</si>
  <si>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</si>
  <si>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</si>
  <si>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</si>
  <si>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</si>
  <si>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</si>
  <si>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</si>
  <si>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</si>
  <si>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</si>
  <si>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</si>
  <si>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</si>
  <si>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</si>
  <si>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</si>
  <si>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</si>
  <si>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</si>
  <si>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</si>
  <si>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</si>
  <si>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</si>
  <si>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</si>
  <si>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</si>
  <si>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</si>
  <si>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</si>
  <si>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</si>
  <si>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</si>
  <si>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</si>
  <si>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</si>
  <si>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</si>
  <si>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</si>
  <si>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</si>
  <si>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</si>
  <si>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</si>
  <si>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</si>
  <si>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</si>
  <si>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</si>
  <si>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</si>
  <si>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</si>
  <si>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</si>
  <si>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</si>
  <si>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</si>
  <si>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</si>
  <si>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</si>
  <si>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</si>
  <si>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</si>
  <si>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</si>
  <si>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</si>
  <si>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</si>
  <si>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</si>
  <si>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</si>
  <si>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</si>
  <si>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</si>
  <si>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</si>
  <si>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</si>
  <si>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</si>
  <si>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</si>
  <si>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</si>
  <si>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</si>
  <si>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</si>
  <si>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</si>
  <si>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</si>
  <si>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</si>
  <si>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</si>
  <si>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</si>
  <si>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</si>
  <si>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</si>
  <si>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</si>
  <si>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</si>
  <si>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</si>
  <si>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</si>
  <si>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</si>
  <si>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</si>
  <si>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</si>
  <si>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</si>
  <si>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</si>
  <si>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</si>
  <si>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</si>
  <si>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</si>
  <si>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</si>
  <si>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</si>
  <si>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</si>
  <si>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</si>
  <si>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</si>
  <si>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</si>
  <si>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</si>
  <si>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</si>
  <si>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</si>
  <si>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</si>
  <si>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</si>
  <si>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</si>
  <si>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</si>
  <si>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</si>
  <si>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</si>
  <si>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</si>
  <si>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</si>
  <si>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</si>
  <si>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</si>
  <si>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</si>
  <si>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</si>
  <si>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</si>
  <si>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</si>
  <si>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</si>
  <si>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</si>
  <si>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</si>
  <si>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</si>
  <si>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</si>
  <si>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</si>
  <si>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</si>
  <si>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</si>
  <si>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</si>
  <si>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</si>
  <si>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</si>
  <si>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</si>
  <si>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</si>
  <si>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</si>
  <si>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</si>
  <si>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</si>
  <si>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</si>
  <si>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</si>
  <si>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</si>
  <si>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</si>
  <si>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</si>
  <si>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</si>
  <si>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</si>
  <si>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</si>
  <si>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</si>
  <si>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</si>
  <si>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</si>
  <si>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</si>
  <si>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</si>
  <si>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</si>
  <si>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</si>
  <si>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</si>
  <si>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</si>
  <si>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</si>
  <si>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</si>
  <si>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</si>
  <si>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</si>
  <si>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</si>
  <si>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</si>
  <si>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</si>
  <si>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</si>
  <si>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</si>
  <si>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</si>
  <si>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</si>
  <si>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</si>
  <si>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</si>
  <si>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</si>
  <si>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</si>
  <si>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</si>
  <si>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</si>
  <si>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</si>
  <si>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</si>
  <si>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</si>
  <si>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</si>
  <si>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</si>
  <si>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</si>
  <si>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</si>
  <si>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</si>
  <si>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</si>
  <si>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</si>
  <si>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</si>
  <si>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</si>
  <si>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</si>
  <si>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</si>
  <si>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</si>
  <si>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</si>
  <si>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</si>
  <si>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303650</t>
  </si>
  <si>
    <t>CAFER ALİ SAVTAK</t>
  </si>
  <si>
    <t>158836</t>
  </si>
  <si>
    <t>CAN GÜLER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</si>
  <si>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</si>
  <si>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</si>
  <si>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</si>
  <si>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</si>
  <si>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</si>
  <si>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</si>
  <si>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</si>
  <si>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</si>
  <si>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</si>
  <si>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</si>
  <si>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</si>
  <si>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</si>
  <si>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</si>
  <si>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</si>
  <si>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</si>
  <si>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</si>
  <si>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</si>
  <si>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</si>
  <si>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</si>
  <si>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187504</t>
  </si>
  <si>
    <t>DEMET AKTAŞ</t>
  </si>
  <si>
    <t>194879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</si>
  <si>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</si>
  <si>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</si>
  <si>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</si>
  <si>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</si>
  <si>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</si>
  <si>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</si>
  <si>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</si>
  <si>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</si>
  <si>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</si>
  <si>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</si>
  <si>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</si>
  <si>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</si>
  <si>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</si>
  <si>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</si>
  <si>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</si>
  <si>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</si>
  <si>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</si>
  <si>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</si>
  <si>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</si>
  <si>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</si>
  <si>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</si>
  <si>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</si>
  <si>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</si>
  <si>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</si>
  <si>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</si>
  <si>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</si>
  <si>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</si>
  <si>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</si>
  <si>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</si>
  <si>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</si>
  <si>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</si>
  <si>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</si>
  <si>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</si>
  <si>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</si>
  <si>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</si>
  <si>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</si>
  <si>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</si>
  <si>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</si>
  <si>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</si>
  <si>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</si>
  <si>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</si>
  <si>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</si>
  <si>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</si>
  <si>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</si>
  <si>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</si>
  <si>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</si>
  <si>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</si>
  <si>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</si>
  <si>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</si>
  <si>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</si>
  <si>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</si>
  <si>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</si>
  <si>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</si>
  <si>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</si>
  <si>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</si>
  <si>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</si>
  <si>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</si>
  <si>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</si>
  <si>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</si>
  <si>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</si>
  <si>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</si>
  <si>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</si>
  <si>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</si>
  <si>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</si>
  <si>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</si>
  <si>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</si>
  <si>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</si>
  <si>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</si>
  <si>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</si>
  <si>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</si>
  <si>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</si>
  <si>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</si>
  <si>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</si>
  <si>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</si>
  <si>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</si>
  <si>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</si>
  <si>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</si>
  <si>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</si>
  <si>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</si>
  <si>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</si>
  <si>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</si>
  <si>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</si>
  <si>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</si>
  <si>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</si>
  <si>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</si>
  <si>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</si>
  <si>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</si>
  <si>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</si>
  <si>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</si>
  <si>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</si>
  <si>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</si>
  <si>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</si>
  <si>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</si>
  <si>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</si>
  <si>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</si>
  <si>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</si>
  <si>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</si>
  <si>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</si>
  <si>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</si>
  <si>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</si>
  <si>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</si>
  <si>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</si>
  <si>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</si>
  <si>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</si>
  <si>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</si>
  <si>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</si>
  <si>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</si>
  <si>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</si>
  <si>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</si>
  <si>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</si>
  <si>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</si>
  <si>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</si>
  <si>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</si>
  <si>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</si>
  <si>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</si>
  <si>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</si>
  <si>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</si>
  <si>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</si>
  <si>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</si>
  <si>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</si>
  <si>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</si>
  <si>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</si>
  <si>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</si>
  <si>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</si>
  <si>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</si>
  <si>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</si>
  <si>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</si>
  <si>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</si>
  <si>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</si>
  <si>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</si>
  <si>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</si>
  <si>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</si>
  <si>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</si>
  <si>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</si>
  <si>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</si>
  <si>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</si>
  <si>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</si>
  <si>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</si>
  <si>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</si>
  <si>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</si>
  <si>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</si>
  <si>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</si>
  <si>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</si>
  <si>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</si>
  <si>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</si>
  <si>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</si>
  <si>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</si>
  <si>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</si>
  <si>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</si>
  <si>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</si>
  <si>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</si>
  <si>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</si>
  <si>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</si>
  <si>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</si>
  <si>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</si>
  <si>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</si>
  <si>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</si>
  <si>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</si>
  <si>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</si>
  <si>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</si>
  <si>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</si>
  <si>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</si>
  <si>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</si>
  <si>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</si>
  <si>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</si>
  <si>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</si>
  <si>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</si>
  <si>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</si>
  <si>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</si>
  <si>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</si>
  <si>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</si>
  <si>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</si>
  <si>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</si>
  <si>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</si>
  <si>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</si>
  <si>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</si>
  <si>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</si>
  <si>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</si>
  <si>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</si>
  <si>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</si>
  <si>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</si>
  <si>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</si>
  <si>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</si>
  <si>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</si>
  <si>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</si>
  <si>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</si>
  <si>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</si>
  <si>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</si>
  <si>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</si>
  <si>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</si>
  <si>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</si>
  <si>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</si>
  <si>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</si>
  <si>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</si>
  <si>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</si>
  <si>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</si>
  <si>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</si>
  <si>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</si>
  <si>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</si>
  <si>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</si>
  <si>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</si>
  <si>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</si>
  <si>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</si>
  <si>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</si>
  <si>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</si>
  <si>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</si>
  <si>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</si>
  <si>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</si>
  <si>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</si>
  <si>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</si>
  <si>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</si>
  <si>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</si>
  <si>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</si>
  <si>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</si>
  <si>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</si>
  <si>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</si>
  <si>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</si>
  <si>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</si>
  <si>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</si>
  <si>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</si>
  <si>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</si>
  <si>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</si>
  <si>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</si>
  <si>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</si>
  <si>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</si>
  <si>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</si>
  <si>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</si>
  <si>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</si>
  <si>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</si>
  <si>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</si>
  <si>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</si>
  <si>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</si>
  <si>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</si>
  <si>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</si>
  <si>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</si>
  <si>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</si>
  <si>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</si>
  <si>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</si>
  <si>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</si>
  <si>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</si>
  <si>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</si>
  <si>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</si>
  <si>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</si>
  <si>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</si>
  <si>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</si>
  <si>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</si>
  <si>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</si>
  <si>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</si>
  <si>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</si>
  <si>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</si>
  <si>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</si>
  <si>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</si>
  <si>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</si>
  <si>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</si>
  <si>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</si>
  <si>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</si>
  <si>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</si>
  <si>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</si>
  <si>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</si>
  <si>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</si>
  <si>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</si>
  <si>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</si>
  <si>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</si>
  <si>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</si>
  <si>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</si>
  <si>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</si>
  <si>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</si>
  <si>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</si>
  <si>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</si>
  <si>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</si>
  <si>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</si>
  <si>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</si>
  <si>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</si>
  <si>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</si>
  <si>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</si>
  <si>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</si>
  <si>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</si>
  <si>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</si>
  <si>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</si>
  <si>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</si>
  <si>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</si>
  <si>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</si>
  <si>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</si>
  <si>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</si>
  <si>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</si>
  <si>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</si>
  <si>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</si>
  <si>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</si>
  <si>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</si>
  <si>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</si>
  <si>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</si>
  <si>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</si>
  <si>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</si>
  <si>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</si>
  <si>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</si>
  <si>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</si>
  <si>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</si>
  <si>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</si>
  <si>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</si>
  <si>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</si>
  <si>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</si>
  <si>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</si>
  <si>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</si>
  <si>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</si>
  <si>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</si>
  <si>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</si>
  <si>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</si>
  <si>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</si>
  <si>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</si>
  <si>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</si>
  <si>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</si>
  <si>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</si>
  <si>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</si>
  <si>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</si>
  <si>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</si>
  <si>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</si>
  <si>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</si>
  <si>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</si>
  <si>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</si>
  <si>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</si>
  <si>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</si>
  <si>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</si>
  <si>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</si>
  <si>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</si>
  <si>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</si>
  <si>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</si>
  <si>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</si>
  <si>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</si>
  <si>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</si>
  <si>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</si>
  <si>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</si>
  <si>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</si>
  <si>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</si>
  <si>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</si>
  <si>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</si>
  <si>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</si>
  <si>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</si>
  <si>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</si>
  <si>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</si>
  <si>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</si>
  <si>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</si>
  <si>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</si>
  <si>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</si>
  <si>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</si>
  <si>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</si>
  <si>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</si>
  <si>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</si>
  <si>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</si>
  <si>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</si>
  <si>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</si>
  <si>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</si>
  <si>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</si>
  <si>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</si>
  <si>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</si>
  <si>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</si>
  <si>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</si>
  <si>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</si>
  <si>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</si>
  <si>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</si>
  <si>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</si>
  <si>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</si>
  <si>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</si>
  <si>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</si>
  <si>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</si>
  <si>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</si>
  <si>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</si>
  <si>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</si>
  <si>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</si>
  <si>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</si>
  <si>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</si>
  <si>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</si>
  <si>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</si>
  <si>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</si>
  <si>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</si>
  <si>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</si>
  <si>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</si>
  <si>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</si>
  <si>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</si>
  <si>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</si>
  <si>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</si>
  <si>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</si>
  <si>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</si>
  <si>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</si>
  <si>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</si>
  <si>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</si>
  <si>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</si>
  <si>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</si>
  <si>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</si>
  <si>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</si>
  <si>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</si>
  <si>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</si>
  <si>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</si>
  <si>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</si>
  <si>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</si>
  <si>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</si>
  <si>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</si>
  <si>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</si>
  <si>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</si>
  <si>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</si>
  <si>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</si>
  <si>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</si>
  <si>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</si>
  <si>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</si>
  <si>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</si>
  <si>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</si>
  <si>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</si>
  <si>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</si>
  <si>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</si>
  <si>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</si>
  <si>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</si>
  <si>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</si>
  <si>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</si>
  <si>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</si>
  <si>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</si>
  <si>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</si>
  <si>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</si>
  <si>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</si>
  <si>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</si>
  <si>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</si>
  <si>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</si>
  <si>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</si>
  <si>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</si>
  <si>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</si>
  <si>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</si>
  <si>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</si>
  <si>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</si>
  <si>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</si>
  <si>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</si>
  <si>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</si>
  <si>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</si>
  <si>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</si>
  <si>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</si>
  <si>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</si>
  <si>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</si>
  <si>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</si>
  <si>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</si>
  <si>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</si>
  <si>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</si>
  <si>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</si>
  <si>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</si>
  <si>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</si>
  <si>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</si>
  <si>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</si>
  <si>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</si>
  <si>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</si>
  <si>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</si>
  <si>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</si>
  <si>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</si>
  <si>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</si>
  <si>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</si>
  <si>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</si>
  <si>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</si>
  <si>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</si>
  <si>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</si>
  <si>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</si>
  <si>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</si>
  <si>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</si>
  <si>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</si>
  <si>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</si>
  <si>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</si>
  <si>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</si>
  <si>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</si>
  <si>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</si>
  <si>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</si>
  <si>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</si>
  <si>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</si>
  <si>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</si>
  <si>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</si>
  <si>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</si>
  <si>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</si>
  <si>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</si>
  <si>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</si>
  <si>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</si>
  <si>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</si>
  <si>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</si>
  <si>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</si>
  <si>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</si>
  <si>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</si>
  <si>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</si>
  <si>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</si>
  <si>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</si>
  <si>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</si>
  <si>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</si>
  <si>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</si>
  <si>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</si>
  <si>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</si>
  <si>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</si>
  <si>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</si>
  <si>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</si>
  <si>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</si>
  <si>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</si>
  <si>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</si>
  <si>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</si>
  <si>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</si>
  <si>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293170</t>
  </si>
  <si>
    <t>ÖZLEM KURT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</si>
  <si>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</si>
  <si>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</si>
  <si>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</si>
  <si>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</si>
  <si>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</si>
  <si>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</si>
  <si>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</si>
  <si>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</si>
  <si>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</si>
  <si>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</si>
  <si>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</si>
  <si>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</si>
  <si>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</si>
  <si>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</si>
  <si>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</si>
  <si>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</si>
  <si>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</si>
  <si>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</si>
  <si>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</si>
  <si>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</si>
  <si>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</si>
  <si>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</si>
  <si>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</si>
  <si>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</si>
  <si>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</si>
  <si>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</si>
  <si>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</si>
  <si>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</si>
  <si>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</si>
  <si>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</si>
  <si>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</si>
  <si>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</si>
  <si>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</si>
  <si>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</si>
  <si>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</si>
  <si>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</si>
  <si>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</si>
  <si>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</si>
  <si>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</si>
  <si>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</si>
  <si>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</si>
  <si>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</si>
  <si>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</si>
  <si>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</si>
  <si>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</si>
  <si>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</si>
  <si>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</si>
  <si>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</si>
  <si>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</si>
  <si>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</si>
  <si>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</si>
  <si>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</si>
  <si>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</si>
  <si>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</si>
  <si>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</si>
  <si>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</si>
  <si>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</si>
  <si>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</si>
  <si>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</si>
  <si>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</si>
  <si>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</si>
  <si>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</si>
  <si>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</si>
  <si>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</si>
  <si>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</si>
  <si>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</si>
  <si>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</si>
  <si>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</si>
  <si>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</si>
  <si>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</si>
  <si>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</si>
  <si>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</si>
  <si>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</si>
  <si>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</si>
  <si>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</si>
  <si>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</si>
  <si>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</si>
  <si>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</si>
  <si>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</si>
  <si>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</si>
  <si>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</si>
  <si>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</si>
  <si>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</si>
  <si>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</si>
  <si>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</si>
  <si>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194579</t>
  </si>
  <si>
    <t>SEMRA ŞAHİN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</si>
  <si>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</si>
  <si>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</si>
  <si>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</si>
  <si>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</si>
  <si>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</si>
  <si>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</si>
  <si>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</si>
  <si>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</si>
  <si>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</si>
  <si>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</si>
  <si>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</si>
  <si>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</si>
  <si>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</si>
  <si>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</si>
  <si>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</si>
  <si>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</si>
  <si>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</si>
  <si>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</si>
  <si>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</si>
  <si>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</si>
  <si>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</si>
  <si>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</si>
  <si>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</si>
  <si>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</si>
  <si>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</si>
  <si>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</si>
  <si>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</si>
  <si>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</si>
  <si>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</si>
  <si>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</si>
  <si>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</si>
  <si>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</si>
  <si>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</si>
  <si>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</si>
  <si>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</si>
  <si>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</si>
  <si>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</si>
  <si>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</si>
  <si>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</si>
  <si>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</si>
  <si>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</si>
  <si>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</si>
  <si>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</si>
  <si>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</si>
  <si>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</si>
  <si>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</si>
  <si>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</si>
  <si>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</si>
  <si>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</si>
  <si>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</si>
  <si>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</si>
  <si>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</si>
  <si>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</si>
  <si>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</si>
  <si>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</si>
  <si>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</si>
  <si>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</si>
  <si>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</si>
  <si>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</si>
  <si>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</si>
  <si>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</si>
  <si>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</si>
  <si>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</si>
  <si>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</si>
  <si>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</si>
  <si>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</si>
  <si>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</si>
  <si>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</si>
  <si>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</si>
  <si>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</si>
  <si>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</si>
  <si>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</si>
  <si>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</si>
  <si>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</si>
  <si>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</si>
  <si>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</si>
  <si>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</si>
  <si>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</si>
  <si>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</si>
  <si>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</si>
  <si>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</si>
  <si>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</si>
  <si>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</si>
  <si>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</si>
  <si>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</si>
  <si>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</si>
  <si>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</si>
  <si>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</si>
  <si>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</si>
  <si>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</si>
  <si>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</si>
  <si>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</si>
  <si>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</si>
  <si>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</si>
  <si>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293511</t>
  </si>
  <si>
    <t>132168</t>
  </si>
  <si>
    <t>TUNÇER COŞKUN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</si>
  <si>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</si>
  <si>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</si>
  <si>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</si>
  <si>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</si>
  <si>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</si>
  <si>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</si>
  <si>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</si>
  <si>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</si>
  <si>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</si>
  <si>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</si>
  <si>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</si>
  <si>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</si>
  <si>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</si>
  <si>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</si>
  <si>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</si>
  <si>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</si>
  <si>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</si>
  <si>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</si>
  <si>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</si>
  <si>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</si>
  <si>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</si>
  <si>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</si>
  <si>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</si>
  <si>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</si>
  <si>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</si>
  <si>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</si>
  <si>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</si>
  <si>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</si>
  <si>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</si>
  <si>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</si>
  <si>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</si>
  <si>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</si>
  <si>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</si>
  <si>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</si>
  <si>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</si>
  <si>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</si>
  <si>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</si>
  <si>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</si>
  <si>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</si>
  <si>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</si>
  <si>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</si>
  <si>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</si>
  <si>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</si>
  <si>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</si>
  <si>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</si>
  <si>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</si>
  <si>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</si>
  <si>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</si>
  <si>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</si>
  <si>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</si>
  <si>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</si>
  <si>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</si>
  <si>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</si>
  <si>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</si>
  <si>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</si>
  <si>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</si>
  <si>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</si>
  <si>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</si>
  <si>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</si>
  <si>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229215</t>
  </si>
  <si>
    <t>YUSUF SEZEN</t>
  </si>
  <si>
    <t>111571</t>
  </si>
  <si>
    <t>YÜCEL DELGE</t>
  </si>
  <si>
    <t>81717</t>
  </si>
  <si>
    <t>YÜCEL POLAT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</si>
  <si>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</si>
  <si>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</si>
  <si>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</si>
  <si>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</si>
  <si>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</si>
  <si>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</si>
  <si>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</si>
  <si>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</si>
  <si>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</si>
  <si>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</si>
  <si>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</si>
  <si>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</si>
  <si>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</si>
  <si>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</si>
  <si>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</si>
  <si>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</si>
  <si>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</si>
  <si>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</si>
  <si>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</si>
  <si>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</si>
  <si>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</si>
  <si>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</si>
  <si>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</si>
  <si>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</si>
  <si>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</si>
  <si>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</si>
  <si>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</si>
  <si>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</si>
  <si>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</si>
  <si>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</si>
  <si>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</si>
  <si>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</si>
  <si>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</si>
  <si>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</si>
  <si>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</si>
  <si>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</si>
  <si>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</si>
  <si>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</si>
  <si>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</si>
  <si>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</si>
  <si>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</si>
  <si>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</si>
  <si>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</si>
  <si>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</si>
  <si>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</si>
  <si>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</si>
  <si>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</si>
  <si>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</si>
  <si>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</si>
  <si>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</si>
  <si>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</si>
  <si>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</si>
  <si>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</si>
  <si>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</si>
  <si>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</si>
  <si>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</si>
  <si>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</si>
  <si>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</si>
  <si>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</si>
  <si>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</si>
  <si>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</si>
  <si>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</si>
  <si>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</si>
  <si>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</si>
  <si>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</si>
  <si>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</si>
  <si>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</si>
  <si>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</si>
  <si>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</si>
  <si>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</si>
  <si>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</si>
  <si>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</si>
  <si>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</si>
  <si>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</si>
  <si>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</si>
  <si>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</si>
  <si>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</si>
  <si>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</si>
  <si>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</si>
  <si>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</si>
  <si>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</si>
  <si>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</si>
  <si>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</si>
  <si>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</si>
  <si>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</si>
  <si>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</si>
  <si>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</si>
  <si>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</si>
  <si>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</si>
  <si>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</si>
  <si>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</si>
  <si>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GAMZENUR UZUNBAY</t>
  </si>
  <si>
    <t>HACER AYHAN</t>
  </si>
  <si>
    <t>İLKNUR CAN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</si>
  <si>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</si>
  <si>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</si>
  <si>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</si>
  <si>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</si>
  <si>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</si>
  <si>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</si>
  <si>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</si>
  <si>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</si>
  <si>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</si>
  <si>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</si>
  <si>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</si>
  <si>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</si>
  <si>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</si>
  <si>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</si>
  <si>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</si>
  <si>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</si>
  <si>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</si>
  <si>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</si>
  <si>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</si>
  <si>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</si>
  <si>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</si>
  <si>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AZİME AKTAŞ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</si>
  <si>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</si>
  <si>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</si>
  <si>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</si>
  <si>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</si>
  <si>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</si>
  <si>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</si>
  <si>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</si>
  <si>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</si>
  <si>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</si>
  <si>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</si>
  <si>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</si>
  <si>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</si>
  <si>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</si>
  <si>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</si>
  <si>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</si>
  <si>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</si>
  <si>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</si>
  <si>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</si>
  <si>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</si>
  <si>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</si>
  <si>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</si>
  <si>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</si>
  <si>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</si>
  <si>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</si>
  <si>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</si>
  <si>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</si>
  <si>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</si>
  <si>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</si>
  <si>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</si>
  <si>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</si>
  <si>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</si>
  <si>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</si>
  <si>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</si>
  <si>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</si>
  <si>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</si>
  <si>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</si>
  <si>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</si>
  <si>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</si>
  <si>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</si>
  <si>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</si>
  <si>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</si>
  <si>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</si>
  <si>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</si>
  <si>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</si>
  <si>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</si>
  <si>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</si>
  <si>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</si>
  <si>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</si>
  <si>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</si>
  <si>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</si>
  <si>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</si>
  <si>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</si>
  <si>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</si>
  <si>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</si>
  <si>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</si>
  <si>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</si>
  <si>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</si>
  <si>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</si>
  <si>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</si>
  <si>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</si>
  <si>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</si>
  <si>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</si>
  <si>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</si>
  <si>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</si>
  <si>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</si>
  <si>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</si>
  <si>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</si>
  <si>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</si>
  <si>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</si>
  <si>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</si>
  <si>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</si>
  <si>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</si>
  <si>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</si>
  <si>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</si>
  <si>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</si>
  <si>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</si>
  <si>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</si>
  <si>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</si>
  <si>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</si>
  <si>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</si>
  <si>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</si>
  <si>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</si>
  <si>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</si>
  <si>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</si>
  <si>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</si>
  <si>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</si>
  <si>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</si>
  <si>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</si>
  <si>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</si>
  <si>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</si>
  <si>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</si>
  <si>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</si>
  <si>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</si>
  <si>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</si>
  <si>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</si>
  <si>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</si>
  <si>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</si>
  <si>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</si>
  <si>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</si>
  <si>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</si>
  <si>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</si>
  <si>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</si>
  <si>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</si>
  <si>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</si>
  <si>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</si>
  <si>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</si>
  <si>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</si>
  <si>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</si>
  <si>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</si>
  <si>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</si>
  <si>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</si>
  <si>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</si>
  <si>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</si>
  <si>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</si>
  <si>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</si>
  <si>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</si>
  <si>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</si>
  <si>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</si>
  <si>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</si>
  <si>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</si>
  <si>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</si>
  <si>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</si>
  <si>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</si>
  <si>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</si>
  <si>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</si>
  <si>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</si>
  <si>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</si>
  <si>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</si>
  <si>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</si>
  <si>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</si>
  <si>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</si>
  <si>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</si>
  <si>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</si>
  <si>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</si>
  <si>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</si>
  <si>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</si>
  <si>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</si>
  <si>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</si>
  <si>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</si>
  <si>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</si>
  <si>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</si>
  <si>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</si>
  <si>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</si>
  <si>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</si>
  <si>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</si>
  <si>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</si>
  <si>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</si>
  <si>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</si>
  <si>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</si>
  <si>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</si>
  <si>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</si>
  <si>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</si>
  <si>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</si>
  <si>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</si>
  <si>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</si>
  <si>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</si>
  <si>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</si>
  <si>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</si>
  <si>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</si>
  <si>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</si>
  <si>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</si>
  <si>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</si>
  <si>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</si>
  <si>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</si>
  <si>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</si>
  <si>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</si>
  <si>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</si>
  <si>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</si>
  <si>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</si>
  <si>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</si>
  <si>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</si>
  <si>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</si>
  <si>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</si>
  <si>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</si>
  <si>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</si>
  <si>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</si>
  <si>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</si>
  <si>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</si>
  <si>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</si>
  <si>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</si>
  <si>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</si>
  <si>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</si>
  <si>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</si>
  <si>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</si>
  <si>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</si>
  <si>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</si>
  <si>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</si>
  <si>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</si>
  <si>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</si>
  <si>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</si>
  <si>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</si>
  <si>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</si>
  <si>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</si>
  <si>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</si>
  <si>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</si>
  <si>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</si>
  <si>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</si>
  <si>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</si>
  <si>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</si>
  <si>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</si>
  <si>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</si>
  <si>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</si>
  <si>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</si>
  <si>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</si>
  <si>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</si>
  <si>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</si>
  <si>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</si>
  <si>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</si>
  <si>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</si>
  <si>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</si>
  <si>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</si>
  <si>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</si>
  <si>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</si>
  <si>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</si>
  <si>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</si>
  <si>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</si>
  <si>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</si>
  <si>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</si>
  <si>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</si>
  <si>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</si>
  <si>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</si>
  <si>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</si>
  <si>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</si>
  <si>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</si>
  <si>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</si>
  <si>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</si>
  <si>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</si>
  <si>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</si>
  <si>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</si>
  <si>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</si>
  <si>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</si>
  <si>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</si>
  <si>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</si>
  <si>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</si>
  <si>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</si>
  <si>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</si>
  <si>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</si>
  <si>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</si>
  <si>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</si>
  <si>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</si>
  <si>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</si>
  <si>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</si>
  <si>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</si>
  <si>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</si>
  <si>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</si>
  <si>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</si>
  <si>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</si>
  <si>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</si>
  <si>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</si>
  <si>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</si>
  <si>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</si>
  <si>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</si>
  <si>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</si>
  <si>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</si>
  <si>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</si>
  <si>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</si>
  <si>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</si>
  <si>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</si>
  <si>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</si>
  <si>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</si>
  <si>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</si>
  <si>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</si>
  <si>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</si>
  <si>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</si>
  <si>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</si>
  <si>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</si>
  <si>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</si>
  <si>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</si>
  <si>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</si>
  <si>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</si>
  <si>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</si>
  <si>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</si>
  <si>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</si>
  <si>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</si>
  <si>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</si>
  <si>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</si>
  <si>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</si>
  <si>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</si>
  <si>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</si>
  <si>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</si>
  <si>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</si>
  <si>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</si>
  <si>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</si>
  <si>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</si>
  <si>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</si>
  <si>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</si>
  <si>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</si>
  <si>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</si>
  <si>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</si>
  <si>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</si>
  <si>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</si>
  <si>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</si>
  <si>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</si>
  <si>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</si>
  <si>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</si>
  <si>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</si>
  <si>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</si>
  <si>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</si>
  <si>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</si>
  <si>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</si>
  <si>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</si>
  <si>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</si>
  <si>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</si>
  <si>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</si>
  <si>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</si>
  <si>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</si>
  <si>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</si>
  <si>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</si>
  <si>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</si>
  <si>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</si>
  <si>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</si>
  <si>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</si>
  <si>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</si>
  <si>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</si>
  <si>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</si>
  <si>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</si>
  <si>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</si>
  <si>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</si>
  <si>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</si>
  <si>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</si>
  <si>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</si>
  <si>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</si>
  <si>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</si>
  <si>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</si>
  <si>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</si>
  <si>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</si>
  <si>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</si>
  <si>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</si>
  <si>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</si>
  <si>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</si>
  <si>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</si>
  <si>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</si>
  <si>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</si>
  <si>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</si>
  <si>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</si>
  <si>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</si>
  <si>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</si>
  <si>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</si>
  <si>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</si>
  <si>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</si>
  <si>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</si>
  <si>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</si>
  <si>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</si>
  <si>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</si>
  <si>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</si>
  <si>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</si>
  <si>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</si>
  <si>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</si>
  <si>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</si>
  <si>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</si>
  <si>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</si>
  <si>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</si>
  <si>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</si>
  <si>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</si>
  <si>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</si>
  <si>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</si>
  <si>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</si>
  <si>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</si>
  <si>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</si>
  <si>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</si>
  <si>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</si>
  <si>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</si>
  <si>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</si>
  <si>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</si>
  <si>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</si>
  <si>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</si>
  <si>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</si>
  <si>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</si>
  <si>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</si>
  <si>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</si>
  <si>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</si>
  <si>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</si>
  <si>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</si>
  <si>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</si>
  <si>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</si>
  <si>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</si>
  <si>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</si>
  <si>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</si>
  <si>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</si>
  <si>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</si>
  <si>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</si>
  <si>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</si>
  <si>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</si>
  <si>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</si>
  <si>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</si>
  <si>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</si>
  <si>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</si>
  <si>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</si>
  <si>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</si>
  <si>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</si>
  <si>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</si>
  <si>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</si>
  <si>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</si>
  <si>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</si>
  <si>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</si>
  <si>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</si>
  <si>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</si>
  <si>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</si>
  <si>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</si>
  <si>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</si>
  <si>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</si>
  <si>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</si>
  <si>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</si>
  <si>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</si>
  <si>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</si>
  <si>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</si>
  <si>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</si>
  <si>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</si>
  <si>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</si>
  <si>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</si>
  <si>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</si>
  <si>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</si>
  <si>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</si>
  <si>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</si>
  <si>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</si>
  <si>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</si>
  <si>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</si>
  <si>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</si>
  <si>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</si>
  <si>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</si>
  <si>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</si>
  <si>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</si>
  <si>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</si>
  <si>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</si>
  <si>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</si>
  <si>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</si>
  <si>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</si>
  <si>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</si>
  <si>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</si>
  <si>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</si>
  <si>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</si>
  <si>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</si>
  <si>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</si>
  <si>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</si>
  <si>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</si>
  <si>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</si>
  <si>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</si>
  <si>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</si>
  <si>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</si>
  <si>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</si>
  <si>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</si>
  <si>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</si>
  <si>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</si>
  <si>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</si>
  <si>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</si>
  <si>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</si>
  <si>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</si>
  <si>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</si>
  <si>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</si>
  <si>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</si>
  <si>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</si>
  <si>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</si>
  <si>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</si>
  <si>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</si>
  <si>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</si>
  <si>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</si>
  <si>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</si>
  <si>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</si>
  <si>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</si>
  <si>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</si>
  <si>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</si>
  <si>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</si>
  <si>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</si>
  <si>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</si>
  <si>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</si>
  <si>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</si>
  <si>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</si>
  <si>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</si>
  <si>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</si>
  <si>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</si>
  <si>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</si>
  <si>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</si>
  <si>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</si>
  <si>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</si>
  <si>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</si>
  <si>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</si>
  <si>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</si>
  <si>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</si>
  <si>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</si>
  <si>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</si>
  <si>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</si>
  <si>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</si>
  <si>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</si>
  <si>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</si>
  <si>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</si>
  <si>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</si>
  <si>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</si>
  <si>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</si>
  <si>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</si>
  <si>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</si>
  <si>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</si>
  <si>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</si>
  <si>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</si>
  <si>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</si>
  <si>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</si>
  <si>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</si>
  <si>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</si>
  <si>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</si>
  <si>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</si>
  <si>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</si>
  <si>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</si>
  <si>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</si>
  <si>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</si>
  <si>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</si>
  <si>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</si>
  <si>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</si>
  <si>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</si>
  <si>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</si>
  <si>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</si>
  <si>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</si>
  <si>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</si>
  <si>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</si>
  <si>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</si>
  <si>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</si>
  <si>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</si>
  <si>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</si>
  <si>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</si>
  <si>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</si>
  <si>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</si>
  <si>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</si>
  <si>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</si>
  <si>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</si>
  <si>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</si>
  <si>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</si>
  <si>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</si>
  <si>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</si>
  <si>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</si>
  <si>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</si>
  <si>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</si>
  <si>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</si>
  <si>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</si>
  <si>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</si>
  <si>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</si>
  <si>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</si>
  <si>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</si>
  <si>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</si>
  <si>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</si>
  <si>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</si>
  <si>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</si>
  <si>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</si>
  <si>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</si>
  <si>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</si>
  <si>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</si>
  <si>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</si>
  <si>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</si>
  <si>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</si>
  <si>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</si>
  <si>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</si>
  <si>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</si>
  <si>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</si>
  <si>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</si>
  <si>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</si>
  <si>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</si>
  <si>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</si>
  <si>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</si>
  <si>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</si>
  <si>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</si>
  <si>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</si>
  <si>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</si>
  <si>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</si>
  <si>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</si>
  <si>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</si>
  <si>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</si>
  <si>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</si>
  <si>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</si>
  <si>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</si>
  <si>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</si>
  <si>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</si>
  <si>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</si>
  <si>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</si>
  <si>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</si>
  <si>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</si>
  <si>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</si>
  <si>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</si>
  <si>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</si>
  <si>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</si>
  <si>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</si>
  <si>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</si>
  <si>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</si>
  <si>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</si>
  <si>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</si>
  <si>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</si>
  <si>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</si>
  <si>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</si>
  <si>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</si>
  <si>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</si>
  <si>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</si>
  <si>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</si>
  <si>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</si>
  <si>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</si>
  <si>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</si>
  <si>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</si>
  <si>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</si>
  <si>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</si>
  <si>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</si>
  <si>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</si>
  <si>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</si>
  <si>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</si>
  <si>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</si>
  <si>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</si>
  <si>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</si>
  <si>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</si>
  <si>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</si>
  <si>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</si>
  <si>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</si>
  <si>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</si>
  <si>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</si>
  <si>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</si>
  <si>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</si>
  <si>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</si>
  <si>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</si>
  <si>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</si>
  <si>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</si>
  <si>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</si>
  <si>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</si>
  <si>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</si>
  <si>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</si>
  <si>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</si>
  <si>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</si>
  <si>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</si>
  <si>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</si>
  <si>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</si>
  <si>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</si>
  <si>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</si>
  <si>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</si>
  <si>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</si>
  <si>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</si>
  <si>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</si>
  <si>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</si>
  <si>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</si>
  <si>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</si>
  <si>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</si>
  <si>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</si>
  <si>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</si>
  <si>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</si>
  <si>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</si>
  <si>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</si>
  <si>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</si>
  <si>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</si>
  <si>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</si>
  <si>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</si>
  <si>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</si>
  <si>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</si>
  <si>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</si>
  <si>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</si>
  <si>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</si>
  <si>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</si>
  <si>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</si>
  <si>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</si>
  <si>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</si>
  <si>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</si>
  <si>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</si>
  <si>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</si>
  <si>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</si>
  <si>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</si>
  <si>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</si>
  <si>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</si>
  <si>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</si>
  <si>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</si>
  <si>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</si>
  <si>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</si>
  <si>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</si>
  <si>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</si>
  <si>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</si>
  <si>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</si>
  <si>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</si>
  <si>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</si>
  <si>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</si>
  <si>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</si>
  <si>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</si>
  <si>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</si>
  <si>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</si>
  <si>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</si>
  <si>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</si>
  <si>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</si>
  <si>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</si>
  <si>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</si>
  <si>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</si>
  <si>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</si>
  <si>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</si>
  <si>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</si>
  <si>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</si>
  <si>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</si>
  <si>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</si>
  <si>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</si>
  <si>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</si>
  <si>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</si>
  <si>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</si>
  <si>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</si>
  <si>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</si>
  <si>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</si>
  <si>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</si>
  <si>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</si>
  <si>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</si>
  <si>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</si>
  <si>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</si>
  <si>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</si>
  <si>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</si>
  <si>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</si>
  <si>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</si>
  <si>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</si>
  <si>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</si>
  <si>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</si>
  <si>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</si>
  <si>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</si>
  <si>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</si>
  <si>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</si>
  <si>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</si>
  <si>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</si>
  <si>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</si>
  <si>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</si>
  <si>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</si>
  <si>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</si>
  <si>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</si>
  <si>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</si>
  <si>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</si>
  <si>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</si>
  <si>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</si>
  <si>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</si>
  <si>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</si>
  <si>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</si>
  <si>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</si>
  <si>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</si>
  <si>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</si>
  <si>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</si>
  <si>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</si>
  <si>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</si>
  <si>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</si>
  <si>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</si>
  <si>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</si>
  <si>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</si>
  <si>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</si>
  <si>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</si>
  <si>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</si>
  <si>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</si>
  <si>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</si>
  <si>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</si>
  <si>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</si>
  <si>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</si>
  <si>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</si>
  <si>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</si>
  <si>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</si>
  <si>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</si>
  <si>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</si>
  <si>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</si>
  <si>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</si>
  <si>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</si>
  <si>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</si>
  <si>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</si>
  <si>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</si>
  <si>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</si>
  <si>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</si>
  <si>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</si>
  <si>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</si>
  <si>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</si>
  <si>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</si>
  <si>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</si>
  <si>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</si>
  <si>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</si>
  <si>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</si>
  <si>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</si>
  <si>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</si>
  <si>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</si>
  <si>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</si>
  <si>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</si>
  <si>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</si>
  <si>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</si>
  <si>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</si>
  <si>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</si>
  <si>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</si>
  <si>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</si>
  <si>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</si>
  <si>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</si>
  <si>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</si>
  <si>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</si>
  <si>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</si>
  <si>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</si>
  <si>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</si>
  <si>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</si>
  <si>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</si>
  <si>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</si>
  <si>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</si>
  <si>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</si>
  <si>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</si>
  <si>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</si>
  <si>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</si>
  <si>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</si>
  <si>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</si>
  <si>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</si>
  <si>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</si>
  <si>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</si>
  <si>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</si>
  <si>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</si>
  <si>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</si>
  <si>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</si>
  <si>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</si>
  <si>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</si>
  <si>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</si>
  <si>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</si>
  <si>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</si>
  <si>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</si>
  <si>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</si>
  <si>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</si>
  <si>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</si>
  <si>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</si>
  <si>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</si>
  <si>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</si>
  <si>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</si>
  <si>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</si>
  <si>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</si>
  <si>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</si>
  <si>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</si>
  <si>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</si>
  <si>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</si>
  <si>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</si>
  <si>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</si>
  <si>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</si>
  <si>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</si>
  <si>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</si>
  <si>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</si>
  <si>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</si>
  <si>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</si>
  <si>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</si>
  <si>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</si>
  <si>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</si>
  <si>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</si>
  <si>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</si>
  <si>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</si>
  <si>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</si>
  <si>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</si>
  <si>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</si>
  <si>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</si>
  <si>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</si>
  <si>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</si>
  <si>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</si>
  <si>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</si>
  <si>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</si>
  <si>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</si>
  <si>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</si>
  <si>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</si>
  <si>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</si>
  <si>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</si>
  <si>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</si>
  <si>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SERDAR ÖZER</t>
  </si>
  <si>
    <t>ÖZLEM HAKYEMEZ</t>
  </si>
  <si>
    <t>ROJBİN DEMİR</t>
  </si>
  <si>
    <t>NEŞE İLA</t>
  </si>
  <si>
    <t>NURTEN ŞENER</t>
  </si>
  <si>
    <t>SEDAT AKTAŞ</t>
  </si>
  <si>
    <t>CEYLAN DEMİR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</si>
  <si>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</si>
  <si>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</si>
  <si>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</si>
  <si>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</si>
  <si>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</si>
  <si>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</si>
  <si>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</si>
  <si>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</si>
  <si>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</si>
  <si>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</si>
  <si>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</si>
  <si>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</si>
  <si>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SEDEF ÇİNER</t>
  </si>
  <si>
    <t>FURKAN ULUTAŞ</t>
  </si>
  <si>
    <t>HAKAN YAŞAR</t>
  </si>
  <si>
    <t>HARUN GÜLTEKİN</t>
  </si>
  <si>
    <t>340589</t>
  </si>
  <si>
    <t>291517</t>
  </si>
  <si>
    <t>340592</t>
  </si>
  <si>
    <t>340623</t>
  </si>
  <si>
    <t>239764</t>
  </si>
  <si>
    <t>340534</t>
  </si>
  <si>
    <t>340533</t>
  </si>
  <si>
    <t>340581</t>
  </si>
  <si>
    <t>340536</t>
  </si>
  <si>
    <t>340549</t>
  </si>
  <si>
    <t>277855</t>
  </si>
  <si>
    <t>340551</t>
  </si>
  <si>
    <t>340558</t>
  </si>
  <si>
    <t>340777</t>
  </si>
  <si>
    <t>340750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</si>
  <si>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</si>
  <si>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</si>
  <si>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</si>
  <si>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</si>
  <si>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</si>
  <si>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</si>
  <si>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</si>
  <si>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</si>
  <si>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</si>
  <si>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</si>
  <si>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</si>
  <si>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</si>
  <si>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341143</t>
  </si>
  <si>
    <t>341156</t>
  </si>
  <si>
    <t>341157</t>
  </si>
  <si>
    <t>341094</t>
  </si>
  <si>
    <t>MUHAMMET DİNÇ</t>
  </si>
  <si>
    <t>FERHAT YILDIZ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</si>
  <si>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</si>
  <si>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</si>
  <si>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</si>
  <si>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</si>
  <si>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</si>
  <si>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</si>
  <si>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</si>
  <si>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</si>
  <si>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</si>
  <si>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MELEK ERDEM</t>
  </si>
  <si>
    <t>SEVAL ABAY</t>
  </si>
  <si>
    <t>RAVZA AYDİN</t>
  </si>
  <si>
    <t>BERFİN OKCU</t>
  </si>
  <si>
    <t>ŞEYMA EZGİN</t>
  </si>
  <si>
    <t>SEMANUR ABAY</t>
  </si>
  <si>
    <t>İLAYDA ÖZEN</t>
  </si>
  <si>
    <t>HEDİYE ÖZDEMİR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</si>
  <si>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</si>
  <si>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</si>
  <si>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</si>
  <si>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</si>
  <si>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</si>
  <si>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</si>
  <si>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</si>
  <si>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</si>
  <si>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</si>
  <si>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</si>
  <si>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</si>
  <si>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</si>
  <si>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</si>
  <si>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</si>
  <si>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</si>
  <si>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</si>
  <si>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</si>
  <si>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BERFİN AKTAĞ</t>
  </si>
  <si>
    <t>MELEK ASLAN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</si>
  <si>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</si>
  <si>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</si>
  <si>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</si>
  <si>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</si>
  <si>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</si>
  <si>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</si>
  <si>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</si>
  <si>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</si>
  <si>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</si>
  <si>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</si>
  <si>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</si>
  <si>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</si>
  <si>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</si>
  <si>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</si>
  <si>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ofis</t>
  </si>
  <si>
    <t>341702</t>
  </si>
  <si>
    <t>341646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</si>
  <si>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</si>
  <si>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</si>
  <si>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</si>
  <si>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</si>
  <si>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</si>
  <si>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</si>
  <si>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</si>
  <si>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</si>
  <si>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</si>
  <si>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</si>
  <si>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265405</t>
  </si>
  <si>
    <t>344496</t>
  </si>
  <si>
    <t>344505</t>
  </si>
  <si>
    <t>344509</t>
  </si>
  <si>
    <t>249251</t>
  </si>
  <si>
    <t>344511</t>
  </si>
  <si>
    <t>296228</t>
  </si>
  <si>
    <t>278343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</si>
  <si>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</si>
  <si>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</si>
  <si>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</si>
  <si>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</si>
  <si>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</si>
  <si>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</si>
  <si>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</si>
  <si>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</si>
  <si>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</si>
  <si>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</si>
  <si>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344604</t>
  </si>
  <si>
    <t>344612</t>
  </si>
  <si>
    <t>322534</t>
  </si>
  <si>
    <t>344725</t>
  </si>
  <si>
    <t>344842</t>
  </si>
  <si>
    <t>345530</t>
  </si>
  <si>
    <t>345529</t>
  </si>
  <si>
    <t>345093</t>
  </si>
  <si>
    <t>345095</t>
  </si>
  <si>
    <t>345428</t>
  </si>
  <si>
    <t>345091</t>
  </si>
  <si>
    <t>296109</t>
  </si>
  <si>
    <t>345085</t>
  </si>
  <si>
    <t>296214</t>
  </si>
  <si>
    <t>345080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</si>
  <si>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</si>
  <si>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</si>
  <si>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</si>
  <si>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</si>
  <si>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</si>
  <si>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</si>
  <si>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</si>
  <si>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</si>
  <si>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INTERNET DEPO KARGO</t>
  </si>
  <si>
    <t>INTERNET DEPO MUSTERI IADE</t>
  </si>
  <si>
    <t>INTERNET DEPO SORTER VE PAKETLEME</t>
  </si>
  <si>
    <t>INTERNET DEPO TOPLAMA</t>
  </si>
  <si>
    <t>Crossborder</t>
  </si>
  <si>
    <t>Müşteri Çıkış Adet</t>
  </si>
  <si>
    <t>verilen</t>
  </si>
  <si>
    <t>INTERNET DEPO ADRES KONTROL VE VAS</t>
  </si>
  <si>
    <t>Görev Alanı</t>
  </si>
  <si>
    <t>Saha</t>
  </si>
  <si>
    <t>Boş Koltuk</t>
  </si>
  <si>
    <t>ÖZGÜR SANCAR</t>
  </si>
  <si>
    <t>DEMET ŞAHİN</t>
  </si>
  <si>
    <t>DOĞUKAN KILIÇ</t>
  </si>
  <si>
    <t>MUHAMMET ALKAN</t>
  </si>
  <si>
    <t>MUHAMMET SAİT YILAN</t>
  </si>
  <si>
    <t>CANAN MEŞE</t>
  </si>
  <si>
    <t>SERAP GEVREK</t>
  </si>
  <si>
    <t>BERFİN KARAKAŞ</t>
  </si>
  <si>
    <t>ZEYNEP ÖZDEMİR</t>
  </si>
  <si>
    <t>HÜSEYİN CULFA</t>
  </si>
  <si>
    <t>KADİR MENTEŞ</t>
  </si>
  <si>
    <t>ŞEVVAL COŞKUN</t>
  </si>
  <si>
    <t>CAN DENİZ YILDIRIM</t>
  </si>
  <si>
    <t>BİLAL CEYLAN</t>
  </si>
  <si>
    <t>MUSTAFA İHSAN ÖZTEMEL</t>
  </si>
  <si>
    <t>EMRE ÇETİN</t>
  </si>
  <si>
    <t>ÖMER ŞAHİN</t>
  </si>
  <si>
    <t>MEHMET REŞAT DEMİR</t>
  </si>
  <si>
    <t>UMUT CAN AYDIN</t>
  </si>
  <si>
    <t>BARAN ERGEN</t>
  </si>
  <si>
    <t>MUHAMMET RIZA AÇIKÇA</t>
  </si>
  <si>
    <t>CANER YİĞİT</t>
  </si>
  <si>
    <t>ABDULLAH EYÜP GÜLÜN</t>
  </si>
  <si>
    <t>BURCU KARAKAŞ</t>
  </si>
  <si>
    <t>LOKMAN UYĞUR</t>
  </si>
  <si>
    <t>ADİLE KAYA</t>
  </si>
  <si>
    <t>ŞÜKRAN KARABULUT</t>
  </si>
  <si>
    <t>SONGÜL AYDIN</t>
  </si>
  <si>
    <t>AHMET EFE KARAKAYA</t>
  </si>
  <si>
    <t>NARİN SÜNDÜZ</t>
  </si>
  <si>
    <t>MERYEM ASLI CAN DEMİRAL</t>
  </si>
  <si>
    <t>MERVE ÜNALAN</t>
  </si>
  <si>
    <t>İSHAK IĞDIR</t>
  </si>
  <si>
    <t>FATMA LEYLA KALAFAT</t>
  </si>
  <si>
    <t>BAHAR METE</t>
  </si>
  <si>
    <t>SEMA ARİ</t>
  </si>
  <si>
    <t>AHMET MELİH GELİBOLU</t>
  </si>
  <si>
    <t>ZEYNEP GÜVEN</t>
  </si>
  <si>
    <t>ARJİN ÖZKAN</t>
  </si>
  <si>
    <t>ARİF KAYA</t>
  </si>
  <si>
    <t>SERAP MADEN</t>
  </si>
  <si>
    <t>ELİF DEMİR</t>
  </si>
  <si>
    <t>AYŞE ÇAĞLAR</t>
  </si>
  <si>
    <t>MERVE VANLI</t>
  </si>
  <si>
    <t>NEHİR ALTINTAŞ</t>
  </si>
  <si>
    <t>HÜLYA UZUN</t>
  </si>
  <si>
    <t>YAĞMUR YAREN ERDOĞAN</t>
  </si>
  <si>
    <t>SEVGİ ALTAY</t>
  </si>
  <si>
    <t>ESRA IĞDIR</t>
  </si>
  <si>
    <t>ARZU SERBEST</t>
  </si>
  <si>
    <t>SÜLEYMAN KONUKÇU</t>
  </si>
  <si>
    <t>FATİH DİRİ</t>
  </si>
  <si>
    <t>İSA ASLAN</t>
  </si>
  <si>
    <t>ŞİRVAN SÖNMEZ</t>
  </si>
  <si>
    <t>CAN GÜNEŞ</t>
  </si>
  <si>
    <t>AHMET YAŞAR</t>
  </si>
  <si>
    <t>ENES TAYIS</t>
  </si>
  <si>
    <t>ASLI ARSLAN</t>
  </si>
  <si>
    <t>EREN CEBECİ</t>
  </si>
  <si>
    <t>KEREM ÜSTÜN</t>
  </si>
  <si>
    <t>HASAN GÜN</t>
  </si>
  <si>
    <t>MEHMET CAN BAYRAM</t>
  </si>
  <si>
    <t>ABDULLAH YAMAN</t>
  </si>
  <si>
    <t>EDANUR KULU</t>
  </si>
  <si>
    <t>MELİSA DÜŞKÜN</t>
  </si>
  <si>
    <t>AYŞE BALTA</t>
  </si>
  <si>
    <t>EDANUR TAYFUN</t>
  </si>
  <si>
    <t>MERYEM ARVAS</t>
  </si>
  <si>
    <t>HİRANUR ALDIM</t>
  </si>
  <si>
    <t>SUDE ÖZDEMİR</t>
  </si>
  <si>
    <t>RECEP ALTIN</t>
  </si>
  <si>
    <t>CANDAR GÜNER</t>
  </si>
  <si>
    <t>SEVİLCAN DER</t>
  </si>
  <si>
    <t>BUSE BAKIŞ</t>
  </si>
  <si>
    <t>HELİN KADAN</t>
  </si>
  <si>
    <t>ZELİHA TARTAR</t>
  </si>
  <si>
    <t>ALEYNA TURAN</t>
  </si>
  <si>
    <t>DİDEM YALÇIN</t>
  </si>
  <si>
    <t>HÜLYA ARTAN</t>
  </si>
  <si>
    <t>ZEYNEP TAŞDEMİR</t>
  </si>
  <si>
    <t>SÜMEYYE ALPHAN</t>
  </si>
  <si>
    <t>UMUT CAN YILANCI</t>
  </si>
  <si>
    <t>EMRAH ŞENEL</t>
  </si>
  <si>
    <t>ESMANUR TURAN</t>
  </si>
  <si>
    <t>ÇAĞLA AKKAYA</t>
  </si>
  <si>
    <t>NERGİZ BEYGUR</t>
  </si>
  <si>
    <t>YAĞMUR SARIKAYA</t>
  </si>
  <si>
    <t>FERHAT KILIÇKARA</t>
  </si>
  <si>
    <t>MERVE NUR YALVAÇ</t>
  </si>
  <si>
    <t>YUSUF TAĞMAN</t>
  </si>
  <si>
    <t>TANER AYDOĞAN</t>
  </si>
  <si>
    <t>HİCRAN DEMİRKAN</t>
  </si>
  <si>
    <t>TUĞBA CANPOLAT</t>
  </si>
  <si>
    <t>GAMZENUR GENEL</t>
  </si>
  <si>
    <t>Kırp</t>
  </si>
  <si>
    <t>43575</t>
  </si>
  <si>
    <t>350315</t>
  </si>
  <si>
    <t>347451</t>
  </si>
  <si>
    <t>346465</t>
  </si>
  <si>
    <t>298971</t>
  </si>
  <si>
    <t>349918</t>
  </si>
  <si>
    <t>350056</t>
  </si>
  <si>
    <t>349902</t>
  </si>
  <si>
    <t>350043</t>
  </si>
  <si>
    <t>350046</t>
  </si>
  <si>
    <t>350082</t>
  </si>
  <si>
    <t>350048</t>
  </si>
  <si>
    <t>350053</t>
  </si>
  <si>
    <t>350055</t>
  </si>
  <si>
    <t>349989</t>
  </si>
  <si>
    <t>349993</t>
  </si>
  <si>
    <t>350034</t>
  </si>
  <si>
    <t>350037</t>
  </si>
  <si>
    <t>350040</t>
  </si>
  <si>
    <t>266743</t>
  </si>
  <si>
    <t>349984</t>
  </si>
  <si>
    <t>349991</t>
  </si>
  <si>
    <t>299080</t>
  </si>
  <si>
    <t>349986</t>
  </si>
  <si>
    <t>350128</t>
  </si>
  <si>
    <t>350368</t>
  </si>
  <si>
    <t>293600</t>
  </si>
  <si>
    <t>350317</t>
  </si>
  <si>
    <t>350342</t>
  </si>
  <si>
    <t>350349</t>
  </si>
  <si>
    <t>350327</t>
  </si>
  <si>
    <t>350364</t>
  </si>
  <si>
    <t>349506</t>
  </si>
  <si>
    <t>349574</t>
  </si>
  <si>
    <t>350319</t>
  </si>
  <si>
    <t>350321</t>
  </si>
  <si>
    <t>350356</t>
  </si>
  <si>
    <t>350367</t>
  </si>
  <si>
    <t>350344</t>
  </si>
  <si>
    <t>350717</t>
  </si>
  <si>
    <t>350719</t>
  </si>
  <si>
    <t>350720</t>
  </si>
  <si>
    <t>350721</t>
  </si>
  <si>
    <t>350544</t>
  </si>
  <si>
    <t>350724</t>
  </si>
  <si>
    <t>350728</t>
  </si>
  <si>
    <t>350730</t>
  </si>
  <si>
    <t>350731</t>
  </si>
  <si>
    <t>350732</t>
  </si>
  <si>
    <t>350722</t>
  </si>
  <si>
    <t>350550</t>
  </si>
  <si>
    <t>350553</t>
  </si>
  <si>
    <t>350570</t>
  </si>
  <si>
    <t>350716</t>
  </si>
  <si>
    <t>350725</t>
  </si>
  <si>
    <t>350562</t>
  </si>
  <si>
    <t>350790</t>
  </si>
  <si>
    <t>350926</t>
  </si>
  <si>
    <t>350928</t>
  </si>
  <si>
    <t>350929</t>
  </si>
  <si>
    <t>350947</t>
  </si>
  <si>
    <t>350950</t>
  </si>
  <si>
    <t>350930</t>
  </si>
  <si>
    <t>350932</t>
  </si>
  <si>
    <t>350933</t>
  </si>
  <si>
    <t>350934</t>
  </si>
  <si>
    <t>350935</t>
  </si>
  <si>
    <t>350963</t>
  </si>
  <si>
    <t>350958</t>
  </si>
  <si>
    <t>350669</t>
  </si>
  <si>
    <t>350667</t>
  </si>
  <si>
    <t>351235</t>
  </si>
  <si>
    <t>234560</t>
  </si>
  <si>
    <t>351240</t>
  </si>
  <si>
    <t>350936</t>
  </si>
  <si>
    <t>350939</t>
  </si>
  <si>
    <t>351305</t>
  </si>
  <si>
    <t>351251</t>
  </si>
  <si>
    <t>351254</t>
  </si>
  <si>
    <t>351258</t>
  </si>
  <si>
    <t>351231</t>
  </si>
  <si>
    <t>351232</t>
  </si>
  <si>
    <t>351263</t>
  </si>
  <si>
    <t>351294</t>
  </si>
  <si>
    <t>351296</t>
  </si>
  <si>
    <t>297538</t>
  </si>
  <si>
    <t>351304</t>
  </si>
  <si>
    <t>351260</t>
  </si>
  <si>
    <t>351216</t>
  </si>
  <si>
    <t>351230</t>
  </si>
  <si>
    <t>351245</t>
  </si>
  <si>
    <t>351247</t>
  </si>
  <si>
    <t>351250</t>
  </si>
  <si>
    <t>Toplam 10.08</t>
  </si>
  <si>
    <t>Toplam 11.08</t>
  </si>
  <si>
    <t>Toplam 12.08</t>
  </si>
  <si>
    <t>Toplam 13.08</t>
  </si>
  <si>
    <t>Toplam 14.08</t>
  </si>
  <si>
    <t>Toplam 15.08</t>
  </si>
  <si>
    <t>Toplam 16.08</t>
  </si>
  <si>
    <t>alınan</t>
  </si>
  <si>
    <t>destek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</si>
</sst>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4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0" fontId="19" fillId="17" borderId="17" xfId="0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14" fontId="19" fillId="17" borderId="17" xfId="0" applyNumberFormat="1" applyFont="1" applyFill="1" applyBorder="1"/>
    <xf numFmtId="0" fontId="19" fillId="17" borderId="18" xfId="0" applyFont="1" applyFill="1" applyBorder="1" applyAlignment="1">
      <alignment horizontal="left"/>
    </xf>
    <xf numFmtId="164" fontId="19" fillId="17" borderId="18" xfId="0" applyNumberFormat="1" applyFont="1" applyFill="1" applyBorder="1"/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435.05695871799338</c:v>
                </c:pt>
                <c:pt idx="1">
                  <c:v>506.06184556977536</c:v>
                </c:pt>
                <c:pt idx="2">
                  <c:v>448.19576719576719</c:v>
                </c:pt>
                <c:pt idx="3">
                  <c:v>411.9782011357392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437.55713830126501</c:v>
                </c:pt>
                <c:pt idx="1">
                  <c:v>432.77864880273665</c:v>
                </c:pt>
                <c:pt idx="2">
                  <c:v>434.62338963641571</c:v>
                </c:pt>
                <c:pt idx="3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110.57793348825888</c:v>
                </c:pt>
                <c:pt idx="1">
                  <c:v>114.03877495418321</c:v>
                </c:pt>
                <c:pt idx="2">
                  <c:v>120.66995493693757</c:v>
                </c:pt>
                <c:pt idx="3">
                  <c:v>117.24004973304739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96.47941766638192</c:v>
                </c:pt>
                <c:pt idx="1">
                  <c:v>100.90138171078999</c:v>
                </c:pt>
                <c:pt idx="2">
                  <c:v>93.668569513640051</c:v>
                </c:pt>
                <c:pt idx="3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93.28373069504201</c:v>
                </c:pt>
                <c:pt idx="1">
                  <c:v>90.630432672845629</c:v>
                </c:pt>
                <c:pt idx="2">
                  <c:v>85.496925339697682</c:v>
                </c:pt>
                <c:pt idx="3">
                  <c:v>90.880133356490958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79.581505517120391</c:v>
                </c:pt>
                <c:pt idx="1">
                  <c:v>72.450799168713388</c:v>
                </c:pt>
                <c:pt idx="2">
                  <c:v>75.556905350933036</c:v>
                </c:pt>
                <c:pt idx="3">
                  <c:v>72.643699704259063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87.789247311827964</c:v>
                </c:pt>
                <c:pt idx="1">
                  <c:v>54.457452041318241</c:v>
                </c:pt>
                <c:pt idx="2">
                  <c:v>54.783333333333331</c:v>
                </c:pt>
                <c:pt idx="3">
                  <c:v>75.421754385964917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51.682145192936559</c:v>
                </c:pt>
                <c:pt idx="1">
                  <c:v>33.770074283692963</c:v>
                </c:pt>
                <c:pt idx="2">
                  <c:v>31.732723112128149</c:v>
                </c:pt>
                <c:pt idx="3">
                  <c:v>54.341712824882826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119.08009538504699</c:v>
                </c:pt>
                <c:pt idx="1">
                  <c:v>128.33128745757818</c:v>
                </c:pt>
                <c:pt idx="2">
                  <c:v>124.38624543972681</c:v>
                </c:pt>
                <c:pt idx="3">
                  <c:v>131.03180161509326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115.30762687836688</c:v>
                </c:pt>
                <c:pt idx="1">
                  <c:v>123.49198988195614</c:v>
                </c:pt>
                <c:pt idx="2">
                  <c:v>121.01768419023756</c:v>
                </c:pt>
                <c:pt idx="3">
                  <c:v>104.84800205576256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840.97790655559584</c:v>
                </c:pt>
                <c:pt idx="1">
                  <c:v>810.08236208236212</c:v>
                </c:pt>
                <c:pt idx="2">
                  <c:v>763.68158640226625</c:v>
                </c:pt>
                <c:pt idx="3">
                  <c:v>585.7883597883598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558.81739566361694</c:v>
                </c:pt>
                <c:pt idx="1">
                  <c:v>622.72162333544713</c:v>
                </c:pt>
                <c:pt idx="2">
                  <c:v>632.19877983770664</c:v>
                </c:pt>
                <c:pt idx="3">
                  <c:v>596.56507317073169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16.637306894166475</c:v>
                </c:pt>
                <c:pt idx="1">
                  <c:v>22.41268743788082</c:v>
                </c:pt>
                <c:pt idx="2">
                  <c:v>20.453011634396599</c:v>
                </c:pt>
                <c:pt idx="3">
                  <c:v>22.984310018903589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25.377364037236649</c:v>
                </c:pt>
                <c:pt idx="1">
                  <c:v>27.006839211479143</c:v>
                </c:pt>
                <c:pt idx="2">
                  <c:v>28.822292946488044</c:v>
                </c:pt>
                <c:pt idx="3">
                  <c:v>26.504642712959228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38.675318555037975</c:v>
                </c:pt>
                <c:pt idx="1">
                  <c:v>38.3251422219316</c:v>
                </c:pt>
                <c:pt idx="2">
                  <c:v>38.505019231682418</c:v>
                </c:pt>
                <c:pt idx="3">
                  <c:v>39.850123002698901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35.202278755254085</c:v>
                </c:pt>
                <c:pt idx="1">
                  <c:v>32.378857933214782</c:v>
                </c:pt>
                <c:pt idx="2">
                  <c:v>34.691707506944326</c:v>
                </c:pt>
                <c:pt idx="3">
                  <c:v>31.569402707904246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37.835577855996853</c:v>
                </c:pt>
                <c:pt idx="1">
                  <c:v>37.747422403862004</c:v>
                </c:pt>
                <c:pt idx="2">
                  <c:v>36.708317542450757</c:v>
                </c:pt>
                <c:pt idx="3">
                  <c:v>38.831031310537995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30. Hafta</c:v>
                </c:pt>
                <c:pt idx="1">
                  <c:v>31. Hafta</c:v>
                </c:pt>
                <c:pt idx="2">
                  <c:v>32. Hafta</c:v>
                </c:pt>
                <c:pt idx="3">
                  <c:v>33.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34.736173849188454</c:v>
                </c:pt>
                <c:pt idx="1">
                  <c:v>32.378857933214782</c:v>
                </c:pt>
                <c:pt idx="2">
                  <c:v>34.416134255004927</c:v>
                </c:pt>
                <c:pt idx="3">
                  <c:v>31.458365595953399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HG1" zoomScaleNormal="100" workbookViewId="0">
      <selection activeCell="HP12" sqref="HP12:HP15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839278.85032785067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P9" s="7">
        <v>4342</v>
      </c>
      <c r="HQ9" s="7">
        <v>4616.9166666666661</v>
      </c>
      <c r="HR9" s="7">
        <v>4954.6666666666661</v>
      </c>
      <c r="HS9" s="7">
        <v>5170</v>
      </c>
      <c r="HT9" s="7">
        <v>5472.25</v>
      </c>
      <c r="HU9" s="7">
        <v>5061.166666666667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31046448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HP10" s="7">
        <v>134438</v>
      </c>
      <c r="HQ10" s="7">
        <v>145103</v>
      </c>
      <c r="HR10" s="7">
        <v>149963</v>
      </c>
      <c r="HS10" s="7">
        <v>178642</v>
      </c>
      <c r="HT10" s="7">
        <v>167111</v>
      </c>
      <c r="HU10" s="7">
        <v>159734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36.991815042011616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HV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P11" s="7">
        <f t="shared" si="18"/>
        <v>30.962229387379089</v>
      </c>
      <c r="HQ11" s="7">
        <f t="shared" si="18"/>
        <v>31.428550800498172</v>
      </c>
      <c r="HR11" s="7">
        <f t="shared" si="18"/>
        <v>30.267020990312169</v>
      </c>
      <c r="HS11" s="7">
        <f t="shared" si="18"/>
        <v>34.553578336557059</v>
      </c>
      <c r="HT11" s="7">
        <f t="shared" si="18"/>
        <v>30.537895746722096</v>
      </c>
      <c r="HU11" s="7">
        <f t="shared" si="18"/>
        <v>31.560707346790924</v>
      </c>
      <c r="HV11" s="7" t="str">
        <f t="shared" si="18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HJ12" s="20"/>
      <c r="HP12" s="20"/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HJ13" s="20"/>
      <c r="HP13" s="20"/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  <c r="HJ14" s="20"/>
      <c r="HP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  <c r="HI15" s="7"/>
      <c r="HJ15" s="7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</row>
    <row r="17" spans="4:197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97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</row>
    <row r="19" spans="4:197">
      <c r="P19" s="22"/>
      <c r="V19" s="7"/>
      <c r="Y19" s="21"/>
      <c r="EK19" s="7"/>
      <c r="GM19" s="31"/>
      <c r="GO19" s="20"/>
    </row>
    <row r="20" spans="4:197">
      <c r="P20" s="22"/>
      <c r="V20" s="7"/>
      <c r="Y20" s="21"/>
      <c r="GO20" s="20"/>
    </row>
    <row r="21" spans="4:197">
      <c r="P21" s="22"/>
      <c r="V21" s="7"/>
      <c r="Y21" s="21"/>
    </row>
    <row r="22" spans="4:197">
      <c r="P22" s="22"/>
      <c r="V22" s="7"/>
      <c r="Y22" s="21"/>
      <c r="GM22" s="31"/>
    </row>
    <row r="23" spans="4:197">
      <c r="P23" s="22"/>
      <c r="V23" s="7"/>
      <c r="Y23" s="21"/>
    </row>
    <row r="24" spans="4:197">
      <c r="P24" s="22"/>
      <c r="V24" s="7"/>
      <c r="Y24" s="21"/>
    </row>
    <row r="25" spans="4:197">
      <c r="P25" s="22"/>
      <c r="V25" s="7"/>
      <c r="Y25" s="21"/>
    </row>
    <row r="26" spans="4:197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HK1" zoomScaleNormal="100" workbookViewId="0">
      <selection activeCell="HP12" sqref="HP12:HP17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818759.12062046409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29703355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36.278502738986887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HV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MW15" s="20"/>
      <c r="MX15" s="47"/>
    </row>
    <row r="16" spans="1:367">
      <c r="P16" s="22"/>
      <c r="V16" s="7"/>
      <c r="AG16" s="7"/>
      <c r="MV16" s="20"/>
      <c r="MW16" s="20"/>
      <c r="MX16" s="47"/>
    </row>
    <row r="17" spans="16:362">
      <c r="P17" s="22"/>
      <c r="V17" s="7"/>
      <c r="Y17" s="21"/>
      <c r="MW17" s="20"/>
      <c r="MX17" s="47"/>
    </row>
    <row r="18" spans="16:362">
      <c r="P18" s="22"/>
      <c r="V18" s="7"/>
      <c r="Y18" s="21"/>
      <c r="MW18" s="20"/>
      <c r="MX18" s="7"/>
    </row>
    <row r="19" spans="16:362">
      <c r="P19" s="22"/>
      <c r="V19" s="7"/>
      <c r="Y19" s="21"/>
      <c r="EK19" s="7"/>
      <c r="MW19" s="20"/>
      <c r="MX19" s="47"/>
    </row>
    <row r="20" spans="16:362">
      <c r="P20" s="22"/>
      <c r="V20" s="7"/>
      <c r="Y20" s="21"/>
      <c r="MW20" s="20"/>
      <c r="MX20" s="47"/>
    </row>
    <row r="21" spans="16:362">
      <c r="P21" s="22"/>
      <c r="V21" s="7"/>
      <c r="Y21" s="21"/>
      <c r="MW21" s="20"/>
      <c r="MX21" s="47"/>
    </row>
    <row r="22" spans="16:362">
      <c r="P22" s="22"/>
      <c r="V22" s="7"/>
      <c r="Y22" s="21"/>
      <c r="MW22" s="20"/>
      <c r="MX22" s="47"/>
    </row>
    <row r="23" spans="16:362">
      <c r="P23" s="22"/>
      <c r="V23" s="7"/>
      <c r="Y23" s="21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F671"/>
  <sheetViews>
    <sheetView topLeftCell="V1" zoomScale="60" zoomScaleNormal="60" workbookViewId="0">
      <pane ySplit="1" topLeftCell="A580" activePane="bottomLeft" state="frozen"/>
      <selection activeCell="EH29" sqref="EH29"/>
      <selection pane="bottomLeft" activeCell="AC607" sqref="AC607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5" width="19.77734375" style="8" customWidth="1"/>
    <col min="26" max="30" width="31.5546875" style="7" customWidth="1"/>
    <col min="31" max="31" width="25.88671875" style="8" bestFit="1" customWidth="1"/>
    <col min="32" max="32" width="21.77734375" style="8" bestFit="1" customWidth="1"/>
    <col min="33" max="34" width="13.21875" style="8" bestFit="1" customWidth="1"/>
    <col min="35" max="35" width="9.88671875" style="8" bestFit="1" customWidth="1"/>
    <col min="36" max="36" width="8.88671875" style="8"/>
    <col min="37" max="37" width="11.44140625" style="8" bestFit="1" customWidth="1"/>
    <col min="38" max="38" width="11.109375" style="8" bestFit="1" customWidth="1"/>
    <col min="39" max="39" width="16.5546875" style="8" bestFit="1" customWidth="1"/>
    <col min="40" max="40" width="19.21875" style="8" bestFit="1" customWidth="1"/>
    <col min="41" max="41" width="6.77734375" style="8" bestFit="1" customWidth="1"/>
    <col min="42" max="42" width="23" style="8" bestFit="1" customWidth="1"/>
    <col min="43" max="16384" width="8.88671875" style="8"/>
  </cols>
  <sheetData>
    <row r="1" spans="1:44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1891</v>
      </c>
      <c r="N1" s="109" t="s">
        <v>1916</v>
      </c>
      <c r="O1" s="39" t="s">
        <v>1893</v>
      </c>
      <c r="P1" s="39" t="s">
        <v>1894</v>
      </c>
      <c r="Q1" s="39" t="s">
        <v>456</v>
      </c>
      <c r="R1" s="39" t="s">
        <v>1917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1918</v>
      </c>
      <c r="Y1" s="109" t="s">
        <v>2486</v>
      </c>
      <c r="Z1" s="39" t="s">
        <v>1908</v>
      </c>
      <c r="AA1" s="39" t="s">
        <v>2485</v>
      </c>
      <c r="AB1" s="39" t="s">
        <v>1909</v>
      </c>
      <c r="AC1" s="105" t="s">
        <v>1910</v>
      </c>
      <c r="AD1" s="105" t="s">
        <v>1911</v>
      </c>
      <c r="AE1" s="105" t="s">
        <v>1912</v>
      </c>
      <c r="AF1" s="105" t="s">
        <v>1913</v>
      </c>
      <c r="AG1" s="105" t="s">
        <v>1914</v>
      </c>
      <c r="AH1" s="105" t="s">
        <v>1915</v>
      </c>
      <c r="AI1" s="105"/>
      <c r="AM1" s="8" t="s">
        <v>1919</v>
      </c>
      <c r="AN1" s="8" t="s">
        <v>1920</v>
      </c>
      <c r="AP1" s="8" t="s">
        <v>1921</v>
      </c>
      <c r="AQ1" s="63" t="s">
        <v>1922</v>
      </c>
    </row>
    <row r="2" spans="1:44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+AH2+AG2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+I2-AH2</f>
        <v>0</v>
      </c>
      <c r="R2" s="7">
        <f t="shared" ref="R2:R65" si="3">+K2-AG2</f>
        <v>0</v>
      </c>
      <c r="S2" s="39"/>
      <c r="T2" s="39"/>
      <c r="U2" s="39"/>
      <c r="V2" s="39"/>
      <c r="W2" s="7">
        <f t="shared" ref="W2" si="4">+V2-U2-S2+AA2</f>
        <v>0</v>
      </c>
      <c r="X2" s="104">
        <f t="shared" ref="X2" si="5">+V2+AB2+AA2</f>
        <v>0</v>
      </c>
      <c r="Y2" s="104"/>
      <c r="Z2" s="7">
        <v>0</v>
      </c>
      <c r="AB2" s="107">
        <v>0</v>
      </c>
      <c r="AC2" s="104">
        <v>0</v>
      </c>
      <c r="AD2" s="104">
        <v>0</v>
      </c>
      <c r="AE2" s="64" t="e">
        <f>+(Z2/AC2*0.92)</f>
        <v>#DIV/0!</v>
      </c>
      <c r="AF2" s="64"/>
      <c r="AG2" s="20"/>
      <c r="AH2" s="20"/>
      <c r="AI2" s="22"/>
      <c r="AM2" s="8">
        <v>18.57</v>
      </c>
      <c r="AN2" s="8">
        <v>19.559999999999999</v>
      </c>
      <c r="AO2" s="64">
        <f>+AM2/AN2-1</f>
        <v>-5.0613496932515267E-2</v>
      </c>
      <c r="AP2" s="8">
        <v>13.76</v>
      </c>
      <c r="AQ2" s="63">
        <v>22.95</v>
      </c>
      <c r="AR2" s="64">
        <f>+AP2/AQ2-1</f>
        <v>-0.40043572984749454</v>
      </c>
    </row>
    <row r="3" spans="1:44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6">+AH3+AG3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7">
        <f t="shared" ref="W3:W66" si="7">+V3-U3-S3+AA3</f>
        <v>110643</v>
      </c>
      <c r="X3" s="104">
        <f t="shared" ref="X3:X66" si="8">+V3+AB3+AA3</f>
        <v>112272</v>
      </c>
      <c r="Y3" s="104"/>
      <c r="Z3" s="7">
        <v>3418</v>
      </c>
      <c r="AB3" s="2">
        <v>1629</v>
      </c>
      <c r="AC3" s="104">
        <v>118544</v>
      </c>
      <c r="AD3" s="104">
        <v>112272</v>
      </c>
      <c r="AE3" s="64">
        <f t="shared" ref="AE3:AE66" si="9">+(Z3/AC3*0.92)</f>
        <v>2.6526521797813472E-2</v>
      </c>
      <c r="AF3" s="64">
        <f t="shared" ref="AF3:AF66" si="10">+(AB3/AD3*0.65)</f>
        <v>9.4311137238135955E-3</v>
      </c>
      <c r="AG3" s="20">
        <f t="shared" ref="AG3:AG65" si="11">+AE3*K3</f>
        <v>25.363775925675981</v>
      </c>
      <c r="AH3" s="20">
        <f t="shared" ref="AH3:AH65" si="12">+AF3*I3</f>
        <v>13.864523100149636</v>
      </c>
      <c r="AI3" s="20"/>
      <c r="AJ3" s="20"/>
      <c r="AK3" s="20"/>
    </row>
    <row r="4" spans="1:44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7">
        <f t="shared" si="7"/>
        <v>87275</v>
      </c>
      <c r="X4" s="104">
        <f t="shared" si="8"/>
        <v>100571</v>
      </c>
      <c r="Y4" s="104"/>
      <c r="Z4" s="7">
        <v>18193</v>
      </c>
      <c r="AB4" s="2">
        <v>13296</v>
      </c>
      <c r="AC4" s="104">
        <v>100823</v>
      </c>
      <c r="AD4" s="104">
        <v>100571</v>
      </c>
      <c r="AE4" s="64">
        <f t="shared" si="9"/>
        <v>0.16600934310623569</v>
      </c>
      <c r="AF4" s="64">
        <f t="shared" si="10"/>
        <v>8.5933320738582702E-2</v>
      </c>
      <c r="AG4" s="20">
        <f t="shared" si="11"/>
        <v>152.9776096723962</v>
      </c>
      <c r="AH4" s="20">
        <f t="shared" si="12"/>
        <v>123.62940410257433</v>
      </c>
      <c r="AI4" s="22"/>
      <c r="AK4" s="31"/>
    </row>
    <row r="5" spans="1:44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7">
        <f t="shared" si="7"/>
        <v>63212</v>
      </c>
      <c r="X5" s="104">
        <f t="shared" si="8"/>
        <v>64283</v>
      </c>
      <c r="Y5" s="104"/>
      <c r="Z5" s="7">
        <v>4640</v>
      </c>
      <c r="AB5" s="2">
        <v>1071</v>
      </c>
      <c r="AC5" s="104">
        <v>55585</v>
      </c>
      <c r="AD5" s="104">
        <v>64283</v>
      </c>
      <c r="AE5" s="64">
        <f t="shared" si="9"/>
        <v>7.6797697220473152E-2</v>
      </c>
      <c r="AF5" s="64">
        <f t="shared" si="10"/>
        <v>1.0829457243750291E-2</v>
      </c>
      <c r="AG5" s="20">
        <f t="shared" si="11"/>
        <v>37.355679889658489</v>
      </c>
      <c r="AH5" s="20">
        <f t="shared" si="12"/>
        <v>9.0110108815705559</v>
      </c>
      <c r="AI5" s="22"/>
      <c r="AK5" s="104"/>
      <c r="AL5" s="20"/>
    </row>
    <row r="6" spans="1:44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7">
        <f t="shared" si="7"/>
        <v>52114</v>
      </c>
      <c r="X6" s="104">
        <f t="shared" si="8"/>
        <v>53705</v>
      </c>
      <c r="Y6" s="104"/>
      <c r="Z6" s="7">
        <v>0</v>
      </c>
      <c r="AB6" s="2">
        <v>1591</v>
      </c>
      <c r="AC6" s="104">
        <v>52974</v>
      </c>
      <c r="AD6" s="104">
        <v>53705</v>
      </c>
      <c r="AE6" s="64">
        <f t="shared" si="9"/>
        <v>0</v>
      </c>
      <c r="AF6" s="64">
        <f t="shared" si="10"/>
        <v>1.9256121403966112E-2</v>
      </c>
      <c r="AG6" s="20">
        <f t="shared" si="11"/>
        <v>0</v>
      </c>
      <c r="AH6" s="20">
        <f t="shared" si="12"/>
        <v>14.321740294199795</v>
      </c>
      <c r="AI6" s="22"/>
      <c r="AK6" s="7"/>
      <c r="AL6" s="20"/>
      <c r="AM6" s="31"/>
    </row>
    <row r="7" spans="1:44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7">
        <f t="shared" si="7"/>
        <v>77341</v>
      </c>
      <c r="X7" s="104">
        <f t="shared" si="8"/>
        <v>78875</v>
      </c>
      <c r="Y7" s="104"/>
      <c r="Z7" s="7">
        <v>1226</v>
      </c>
      <c r="AB7" s="2">
        <v>1534</v>
      </c>
      <c r="AC7" s="104">
        <v>107553</v>
      </c>
      <c r="AD7" s="104">
        <v>78875</v>
      </c>
      <c r="AE7" s="64">
        <f t="shared" si="9"/>
        <v>1.0487108681301312E-2</v>
      </c>
      <c r="AF7" s="64">
        <f t="shared" si="10"/>
        <v>1.2641521394611726E-2</v>
      </c>
      <c r="AG7" s="20">
        <f t="shared" si="11"/>
        <v>10.268627250440868</v>
      </c>
      <c r="AH7" s="20">
        <f t="shared" si="12"/>
        <v>16.545644585314317</v>
      </c>
      <c r="AI7" s="22"/>
    </row>
    <row r="8" spans="1:44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7">
        <f t="shared" si="7"/>
        <v>84247</v>
      </c>
      <c r="X8" s="104">
        <f t="shared" si="8"/>
        <v>85934</v>
      </c>
      <c r="Y8" s="104"/>
      <c r="Z8" s="7">
        <v>21112</v>
      </c>
      <c r="AB8" s="2">
        <v>1687</v>
      </c>
      <c r="AC8" s="104">
        <v>85978</v>
      </c>
      <c r="AD8" s="104">
        <v>85934</v>
      </c>
      <c r="AE8" s="64">
        <f t="shared" si="9"/>
        <v>0.22590709251203797</v>
      </c>
      <c r="AF8" s="64">
        <f t="shared" si="10"/>
        <v>1.276037424069635E-2</v>
      </c>
      <c r="AG8" s="20">
        <f t="shared" si="11"/>
        <v>186.74986314328473</v>
      </c>
      <c r="AH8" s="20">
        <f t="shared" si="12"/>
        <v>16.752244648994193</v>
      </c>
      <c r="AI8" s="22"/>
    </row>
    <row r="9" spans="1:44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7">
        <f t="shared" si="7"/>
        <v>48078</v>
      </c>
      <c r="X9" s="104">
        <f t="shared" si="8"/>
        <v>98481</v>
      </c>
      <c r="Y9" s="104"/>
      <c r="Z9" s="7">
        <v>76983</v>
      </c>
      <c r="AB9" s="2">
        <v>50403</v>
      </c>
      <c r="AC9" s="104">
        <v>209900</v>
      </c>
      <c r="AD9" s="104">
        <v>98481</v>
      </c>
      <c r="AE9" s="64">
        <f t="shared" si="9"/>
        <v>0.33741953311100525</v>
      </c>
      <c r="AF9" s="64">
        <f t="shared" si="10"/>
        <v>0.33267279982940878</v>
      </c>
      <c r="AG9" s="20">
        <f t="shared" si="11"/>
        <v>340.51254549785614</v>
      </c>
      <c r="AH9" s="20">
        <f t="shared" si="12"/>
        <v>442.45482377311373</v>
      </c>
      <c r="AI9" s="22"/>
    </row>
    <row r="10" spans="1:44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7">
        <f t="shared" si="7"/>
        <v>59064</v>
      </c>
      <c r="X10" s="104">
        <f t="shared" si="8"/>
        <v>109676</v>
      </c>
      <c r="Y10" s="104"/>
      <c r="Z10" s="7">
        <v>44244</v>
      </c>
      <c r="AB10" s="2">
        <v>50612</v>
      </c>
      <c r="AC10" s="104">
        <v>146642</v>
      </c>
      <c r="AD10" s="104">
        <v>109676</v>
      </c>
      <c r="AE10" s="64">
        <f t="shared" si="9"/>
        <v>0.27757722889758735</v>
      </c>
      <c r="AF10" s="64">
        <f t="shared" si="10"/>
        <v>0.29995441117473287</v>
      </c>
      <c r="AG10" s="20">
        <f t="shared" si="11"/>
        <v>285.60383709987593</v>
      </c>
      <c r="AH10" s="20">
        <f t="shared" si="12"/>
        <v>418.51139219154607</v>
      </c>
      <c r="AI10" s="22"/>
    </row>
    <row r="11" spans="1:44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7">
        <f t="shared" si="7"/>
        <v>55304</v>
      </c>
      <c r="X11" s="104">
        <f t="shared" si="8"/>
        <v>97587</v>
      </c>
      <c r="Y11" s="104"/>
      <c r="Z11" s="7">
        <v>6698</v>
      </c>
      <c r="AB11" s="2">
        <v>42283</v>
      </c>
      <c r="AC11" s="104">
        <v>66056</v>
      </c>
      <c r="AD11" s="104">
        <v>97587</v>
      </c>
      <c r="AE11" s="64">
        <f t="shared" si="9"/>
        <v>9.3286908077994432E-2</v>
      </c>
      <c r="AF11" s="64">
        <f t="shared" si="10"/>
        <v>0.28163536126738192</v>
      </c>
      <c r="AG11" s="20">
        <f t="shared" si="11"/>
        <v>75.748969359331468</v>
      </c>
      <c r="AH11" s="20">
        <f t="shared" si="12"/>
        <v>353.78095297870954</v>
      </c>
      <c r="AI11" s="22"/>
    </row>
    <row r="12" spans="1:44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7">
        <f t="shared" si="7"/>
        <v>62212</v>
      </c>
      <c r="X12" s="104">
        <f t="shared" si="8"/>
        <v>62782</v>
      </c>
      <c r="Y12" s="104"/>
      <c r="Z12" s="7">
        <v>107</v>
      </c>
      <c r="AB12" s="2">
        <v>570</v>
      </c>
      <c r="AC12" s="104">
        <v>54708</v>
      </c>
      <c r="AD12" s="104">
        <v>62782</v>
      </c>
      <c r="AE12" s="64">
        <f t="shared" si="9"/>
        <v>1.7993712071360682E-3</v>
      </c>
      <c r="AF12" s="64">
        <f t="shared" si="10"/>
        <v>5.9013730050014339E-3</v>
      </c>
      <c r="AG12" s="20">
        <f t="shared" si="11"/>
        <v>0.81826405644512701</v>
      </c>
      <c r="AH12" s="20">
        <f t="shared" si="12"/>
        <v>4.2986584530597947</v>
      </c>
      <c r="AI12" s="22"/>
    </row>
    <row r="13" spans="1:44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7">
        <f t="shared" si="7"/>
        <v>64795</v>
      </c>
      <c r="X13" s="104">
        <f t="shared" si="8"/>
        <v>65347</v>
      </c>
      <c r="Y13" s="104"/>
      <c r="Z13" s="7">
        <v>0</v>
      </c>
      <c r="AB13" s="2">
        <v>552</v>
      </c>
      <c r="AC13" s="104">
        <v>65466</v>
      </c>
      <c r="AD13" s="104">
        <v>65347</v>
      </c>
      <c r="AE13" s="64">
        <f t="shared" si="9"/>
        <v>0</v>
      </c>
      <c r="AF13" s="64">
        <f t="shared" si="10"/>
        <v>5.4906881723721058E-3</v>
      </c>
      <c r="AG13" s="20">
        <f t="shared" si="11"/>
        <v>0</v>
      </c>
      <c r="AH13" s="20">
        <f t="shared" si="12"/>
        <v>3.9221815844644738</v>
      </c>
      <c r="AI13" s="22"/>
    </row>
    <row r="14" spans="1:44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7">
        <f t="shared" si="7"/>
        <v>76231</v>
      </c>
      <c r="X14" s="104">
        <f t="shared" si="8"/>
        <v>83397</v>
      </c>
      <c r="Y14" s="104"/>
      <c r="Z14" s="7">
        <v>9481</v>
      </c>
      <c r="AB14" s="2">
        <v>7166</v>
      </c>
      <c r="AC14" s="104">
        <v>96305</v>
      </c>
      <c r="AD14" s="104">
        <v>83429</v>
      </c>
      <c r="AE14" s="64">
        <f t="shared" si="9"/>
        <v>9.0571829084678881E-2</v>
      </c>
      <c r="AF14" s="64">
        <f t="shared" si="10"/>
        <v>5.583070634911122E-2</v>
      </c>
      <c r="AG14" s="20">
        <f t="shared" si="11"/>
        <v>76.404885485350377</v>
      </c>
      <c r="AH14" s="20">
        <f t="shared" si="12"/>
        <v>61.641752368281196</v>
      </c>
      <c r="AI14" s="22"/>
    </row>
    <row r="15" spans="1:44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6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7">
        <f t="shared" si="7"/>
        <v>71610</v>
      </c>
      <c r="X15" s="104">
        <f t="shared" si="8"/>
        <v>76464</v>
      </c>
      <c r="Y15" s="104"/>
      <c r="Z15" s="7">
        <v>0</v>
      </c>
      <c r="AB15" s="2">
        <v>4854</v>
      </c>
      <c r="AC15" s="104">
        <v>92969</v>
      </c>
      <c r="AD15" s="104">
        <v>73044</v>
      </c>
      <c r="AE15" s="64">
        <f t="shared" si="9"/>
        <v>0</v>
      </c>
      <c r="AF15" s="64">
        <f t="shared" si="10"/>
        <v>4.3194512896336461E-2</v>
      </c>
      <c r="AG15" s="20">
        <f t="shared" si="11"/>
        <v>0</v>
      </c>
      <c r="AH15" s="20">
        <f t="shared" si="12"/>
        <v>47.945909314933473</v>
      </c>
      <c r="AI15" s="22"/>
    </row>
    <row r="16" spans="1:44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7">
        <f t="shared" si="7"/>
        <v>90966</v>
      </c>
      <c r="X16" s="104">
        <f t="shared" si="8"/>
        <v>95772</v>
      </c>
      <c r="Y16" s="104"/>
      <c r="Z16" s="7">
        <v>76476</v>
      </c>
      <c r="AB16" s="2">
        <v>4806</v>
      </c>
      <c r="AC16" s="104">
        <v>216051</v>
      </c>
      <c r="AD16" s="104">
        <v>92428</v>
      </c>
      <c r="AE16" s="64">
        <f t="shared" si="9"/>
        <v>0.32565422053126342</v>
      </c>
      <c r="AF16" s="64">
        <f t="shared" si="10"/>
        <v>3.3798199679750722E-2</v>
      </c>
      <c r="AG16" s="20">
        <f t="shared" si="11"/>
        <v>342.96816992284221</v>
      </c>
      <c r="AH16" s="20">
        <f t="shared" si="12"/>
        <v>48.759536071320369</v>
      </c>
      <c r="AI16" s="22"/>
    </row>
    <row r="17" spans="1:35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7">
        <f t="shared" si="7"/>
        <v>102665</v>
      </c>
      <c r="X17" s="104">
        <f t="shared" si="8"/>
        <v>163666</v>
      </c>
      <c r="Y17" s="104"/>
      <c r="Z17" s="7">
        <v>55627</v>
      </c>
      <c r="AB17" s="2">
        <v>61001</v>
      </c>
      <c r="AC17" s="104">
        <v>195041</v>
      </c>
      <c r="AD17" s="104">
        <v>219709</v>
      </c>
      <c r="AE17" s="64">
        <f t="shared" si="9"/>
        <v>0.26239016411933902</v>
      </c>
      <c r="AF17" s="64">
        <f t="shared" si="10"/>
        <v>0.18046893845950782</v>
      </c>
      <c r="AG17" s="20">
        <f t="shared" si="11"/>
        <v>307.12768710168632</v>
      </c>
      <c r="AH17" s="20">
        <f t="shared" si="12"/>
        <v>306.96262524141787</v>
      </c>
      <c r="AI17" s="22"/>
    </row>
    <row r="18" spans="1:35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7">
        <f t="shared" si="7"/>
        <v>121547</v>
      </c>
      <c r="X18" s="104">
        <f t="shared" si="8"/>
        <v>136593</v>
      </c>
      <c r="Y18" s="104"/>
      <c r="Z18" s="7">
        <v>53435</v>
      </c>
      <c r="AB18" s="2">
        <v>15046</v>
      </c>
      <c r="AC18" s="104">
        <v>134234</v>
      </c>
      <c r="AD18" s="104">
        <v>139022</v>
      </c>
      <c r="AE18" s="64">
        <f t="shared" si="9"/>
        <v>0.36622763234351952</v>
      </c>
      <c r="AF18" s="64">
        <f t="shared" si="10"/>
        <v>7.0347858612305969E-2</v>
      </c>
      <c r="AG18" s="20">
        <f t="shared" si="11"/>
        <v>284.04004785176136</v>
      </c>
      <c r="AH18" s="20">
        <f t="shared" si="12"/>
        <v>100.84365532074061</v>
      </c>
      <c r="AI18" s="22"/>
    </row>
    <row r="19" spans="1:35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7">
        <f t="shared" si="7"/>
        <v>66659</v>
      </c>
      <c r="X19" s="104">
        <f t="shared" si="8"/>
        <v>71777</v>
      </c>
      <c r="Y19" s="104"/>
      <c r="Z19" s="7">
        <v>0</v>
      </c>
      <c r="AB19" s="2">
        <v>5118</v>
      </c>
      <c r="AC19" s="104">
        <v>62881</v>
      </c>
      <c r="AD19" s="104">
        <v>70002</v>
      </c>
      <c r="AE19" s="64">
        <f t="shared" si="9"/>
        <v>0</v>
      </c>
      <c r="AF19" s="64">
        <f t="shared" si="10"/>
        <v>4.7522927916345249E-2</v>
      </c>
      <c r="AG19" s="20">
        <f t="shared" si="11"/>
        <v>0</v>
      </c>
      <c r="AH19" s="20">
        <f t="shared" si="12"/>
        <v>36.450085711836813</v>
      </c>
      <c r="AI19" s="22"/>
    </row>
    <row r="20" spans="1:35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7">
        <f t="shared" si="7"/>
        <v>72913</v>
      </c>
      <c r="X20" s="104">
        <f t="shared" si="8"/>
        <v>73898</v>
      </c>
      <c r="Y20" s="104"/>
      <c r="Z20" s="7">
        <v>0</v>
      </c>
      <c r="AB20" s="2">
        <v>985</v>
      </c>
      <c r="AC20" s="104">
        <v>63104</v>
      </c>
      <c r="AD20" s="104">
        <v>69610</v>
      </c>
      <c r="AE20" s="64">
        <f t="shared" si="9"/>
        <v>0</v>
      </c>
      <c r="AF20" s="64">
        <f t="shared" si="10"/>
        <v>9.1976727481683663E-3</v>
      </c>
      <c r="AG20" s="20">
        <f t="shared" si="11"/>
        <v>0</v>
      </c>
      <c r="AH20" s="20">
        <f t="shared" si="12"/>
        <v>6.3142023416175839</v>
      </c>
      <c r="AI20" s="22"/>
    </row>
    <row r="21" spans="1:35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6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7">
        <f t="shared" si="7"/>
        <v>82607</v>
      </c>
      <c r="X21" s="104">
        <f t="shared" si="8"/>
        <v>84392</v>
      </c>
      <c r="Y21" s="104"/>
      <c r="Z21" s="7">
        <v>0</v>
      </c>
      <c r="AB21" s="2">
        <v>1785</v>
      </c>
      <c r="AC21" s="104">
        <v>90936</v>
      </c>
      <c r="AD21" s="104">
        <v>76968</v>
      </c>
      <c r="AE21" s="64">
        <f t="shared" si="9"/>
        <v>0</v>
      </c>
      <c r="AF21" s="64">
        <f t="shared" si="10"/>
        <v>1.5074446523230433E-2</v>
      </c>
      <c r="AG21" s="20">
        <f t="shared" si="11"/>
        <v>0</v>
      </c>
      <c r="AH21" s="20">
        <f t="shared" si="12"/>
        <v>20.119361293004882</v>
      </c>
      <c r="AI21" s="22"/>
    </row>
    <row r="22" spans="1:35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7">
        <f t="shared" si="7"/>
        <v>112240</v>
      </c>
      <c r="X22" s="104">
        <f t="shared" si="8"/>
        <v>115558</v>
      </c>
      <c r="Y22" s="104"/>
      <c r="Z22" s="7">
        <v>66581</v>
      </c>
      <c r="AB22" s="2">
        <v>3318</v>
      </c>
      <c r="AC22" s="104">
        <v>164897</v>
      </c>
      <c r="AD22" s="104">
        <v>112802</v>
      </c>
      <c r="AE22" s="64">
        <f t="shared" si="9"/>
        <v>0.37147140336088591</v>
      </c>
      <c r="AF22" s="64">
        <f t="shared" si="10"/>
        <v>1.9119341855640858E-2</v>
      </c>
      <c r="AG22" s="20">
        <f t="shared" si="11"/>
        <v>321.60136745968697</v>
      </c>
      <c r="AH22" s="20">
        <f t="shared" si="12"/>
        <v>27.81226928600557</v>
      </c>
      <c r="AI22" s="22"/>
    </row>
    <row r="23" spans="1:35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7">
        <f t="shared" si="7"/>
        <v>67455</v>
      </c>
      <c r="X23" s="104">
        <f t="shared" si="8"/>
        <v>94829</v>
      </c>
      <c r="Y23" s="104"/>
      <c r="Z23" s="7">
        <v>0</v>
      </c>
      <c r="AB23" s="2">
        <v>27374</v>
      </c>
      <c r="AC23" s="104">
        <v>90384</v>
      </c>
      <c r="AD23" s="104">
        <v>117836</v>
      </c>
      <c r="AE23" s="64">
        <f t="shared" si="9"/>
        <v>0</v>
      </c>
      <c r="AF23" s="64">
        <f t="shared" si="10"/>
        <v>0.15099884585355919</v>
      </c>
      <c r="AG23" s="20">
        <f t="shared" si="11"/>
        <v>0</v>
      </c>
      <c r="AH23" s="20">
        <f t="shared" si="12"/>
        <v>208.49165641230184</v>
      </c>
      <c r="AI23" s="22"/>
    </row>
    <row r="24" spans="1:35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7">
        <f t="shared" si="7"/>
        <v>77349</v>
      </c>
      <c r="X24" s="104">
        <f t="shared" si="8"/>
        <v>91123</v>
      </c>
      <c r="Y24" s="104"/>
      <c r="Z24" s="7">
        <v>0</v>
      </c>
      <c r="AB24" s="2">
        <v>13774</v>
      </c>
      <c r="AC24" s="104">
        <v>55790</v>
      </c>
      <c r="AD24" s="104">
        <v>99543</v>
      </c>
      <c r="AE24" s="64">
        <f t="shared" si="9"/>
        <v>0</v>
      </c>
      <c r="AF24" s="64">
        <f t="shared" si="10"/>
        <v>8.9942035100408865E-2</v>
      </c>
      <c r="AG24" s="20">
        <f t="shared" si="11"/>
        <v>0</v>
      </c>
      <c r="AH24" s="20">
        <f t="shared" si="12"/>
        <v>87.820902105957529</v>
      </c>
      <c r="AI24" s="22"/>
    </row>
    <row r="25" spans="1:35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7">
        <f t="shared" si="7"/>
        <v>83403</v>
      </c>
      <c r="X25" s="104">
        <f t="shared" si="8"/>
        <v>84949</v>
      </c>
      <c r="Y25" s="104"/>
      <c r="Z25" s="7">
        <v>0</v>
      </c>
      <c r="AB25" s="2">
        <v>1546</v>
      </c>
      <c r="AC25" s="104">
        <v>71415</v>
      </c>
      <c r="AD25" s="104">
        <v>80892</v>
      </c>
      <c r="AE25" s="64">
        <f t="shared" si="9"/>
        <v>0</v>
      </c>
      <c r="AF25" s="64">
        <f t="shared" si="10"/>
        <v>1.242273648815705E-2</v>
      </c>
      <c r="AG25" s="20">
        <f t="shared" si="11"/>
        <v>0</v>
      </c>
      <c r="AH25" s="20">
        <f t="shared" si="12"/>
        <v>12.561457045608137</v>
      </c>
      <c r="AI25" s="22"/>
    </row>
    <row r="26" spans="1:35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7">
        <f t="shared" si="7"/>
        <v>65075</v>
      </c>
      <c r="X26" s="104">
        <f t="shared" si="8"/>
        <v>66709</v>
      </c>
      <c r="Y26" s="104"/>
      <c r="Z26" s="7">
        <v>0</v>
      </c>
      <c r="AB26" s="2">
        <v>1634</v>
      </c>
      <c r="AC26" s="104">
        <v>57757</v>
      </c>
      <c r="AD26" s="104">
        <v>65714</v>
      </c>
      <c r="AE26" s="64">
        <f t="shared" si="9"/>
        <v>0</v>
      </c>
      <c r="AF26" s="64">
        <f t="shared" si="10"/>
        <v>1.6162461575919895E-2</v>
      </c>
      <c r="AG26" s="20">
        <f t="shared" si="11"/>
        <v>0</v>
      </c>
      <c r="AH26" s="20">
        <f t="shared" si="12"/>
        <v>12.68483859350113</v>
      </c>
      <c r="AI26" s="22"/>
    </row>
    <row r="27" spans="1:35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7">
        <f t="shared" si="7"/>
        <v>67819</v>
      </c>
      <c r="X27" s="104">
        <f t="shared" si="8"/>
        <v>68922</v>
      </c>
      <c r="Y27" s="104"/>
      <c r="Z27" s="7">
        <v>0</v>
      </c>
      <c r="AB27" s="2">
        <v>1103</v>
      </c>
      <c r="AC27" s="104">
        <v>63970</v>
      </c>
      <c r="AD27" s="104">
        <v>65741</v>
      </c>
      <c r="AE27" s="64">
        <f t="shared" si="9"/>
        <v>0</v>
      </c>
      <c r="AF27" s="64">
        <f t="shared" si="10"/>
        <v>1.090567530156219E-2</v>
      </c>
      <c r="AG27" s="20">
        <f t="shared" si="11"/>
        <v>0</v>
      </c>
      <c r="AH27" s="20">
        <f t="shared" si="12"/>
        <v>7.8702623426273801</v>
      </c>
      <c r="AI27" s="22"/>
    </row>
    <row r="28" spans="1:35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7">
        <f t="shared" si="7"/>
        <v>61208</v>
      </c>
      <c r="X28" s="104">
        <f t="shared" si="8"/>
        <v>63112</v>
      </c>
      <c r="Y28" s="104"/>
      <c r="Z28" s="7">
        <v>2062</v>
      </c>
      <c r="AB28" s="2">
        <v>1904</v>
      </c>
      <c r="AC28" s="104">
        <v>68490</v>
      </c>
      <c r="AD28" s="104">
        <v>61902</v>
      </c>
      <c r="AE28" s="64">
        <f t="shared" si="9"/>
        <v>2.7698058110673093E-2</v>
      </c>
      <c r="AF28" s="64">
        <f t="shared" si="10"/>
        <v>1.9992891990565732E-2</v>
      </c>
      <c r="AG28" s="20">
        <f t="shared" si="11"/>
        <v>19.289389302574584</v>
      </c>
      <c r="AH28" s="20">
        <f t="shared" si="12"/>
        <v>19.506398285461962</v>
      </c>
      <c r="AI28" s="22"/>
    </row>
    <row r="29" spans="1:35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7">
        <f t="shared" si="7"/>
        <v>73830</v>
      </c>
      <c r="X29" s="104">
        <f t="shared" si="8"/>
        <v>76940</v>
      </c>
      <c r="Y29" s="104"/>
      <c r="Z29" s="7">
        <v>16287</v>
      </c>
      <c r="AB29" s="2">
        <v>3110</v>
      </c>
      <c r="AC29" s="104">
        <v>79474</v>
      </c>
      <c r="AD29" s="104">
        <v>75005</v>
      </c>
      <c r="AE29" s="64">
        <f t="shared" si="9"/>
        <v>0.18854015149608677</v>
      </c>
      <c r="AF29" s="64">
        <f t="shared" si="10"/>
        <v>2.6951536564229054E-2</v>
      </c>
      <c r="AG29" s="20">
        <f t="shared" si="11"/>
        <v>119.77013123788912</v>
      </c>
      <c r="AH29" s="20">
        <f t="shared" si="12"/>
        <v>27.562438059684919</v>
      </c>
      <c r="AI29" s="22"/>
    </row>
    <row r="30" spans="1:35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7">
        <f t="shared" si="7"/>
        <v>70622</v>
      </c>
      <c r="X30" s="104">
        <f t="shared" si="8"/>
        <v>89449</v>
      </c>
      <c r="Y30" s="104"/>
      <c r="Z30" s="7">
        <v>17532</v>
      </c>
      <c r="AB30" s="2">
        <v>18827</v>
      </c>
      <c r="AC30" s="104">
        <v>106268</v>
      </c>
      <c r="AD30" s="104">
        <v>101359</v>
      </c>
      <c r="AE30" s="64">
        <f t="shared" si="9"/>
        <v>0.1517807806677457</v>
      </c>
      <c r="AF30" s="64">
        <f t="shared" si="10"/>
        <v>0.12073471522015805</v>
      </c>
      <c r="AG30" s="20">
        <f t="shared" si="11"/>
        <v>109.62366883727933</v>
      </c>
      <c r="AH30" s="20">
        <f t="shared" si="12"/>
        <v>147.67867916679</v>
      </c>
      <c r="AI30" s="22"/>
    </row>
    <row r="31" spans="1:35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7">
        <f t="shared" si="7"/>
        <v>91810</v>
      </c>
      <c r="X31" s="104">
        <f t="shared" si="8"/>
        <v>111380</v>
      </c>
      <c r="Y31" s="104"/>
      <c r="Z31" s="7">
        <v>0</v>
      </c>
      <c r="AB31" s="2">
        <v>19570</v>
      </c>
      <c r="AC31" s="104">
        <v>63895</v>
      </c>
      <c r="AD31" s="104">
        <v>127917</v>
      </c>
      <c r="AE31" s="64">
        <f t="shared" si="9"/>
        <v>0</v>
      </c>
      <c r="AF31" s="64">
        <f t="shared" si="10"/>
        <v>9.9443389072601765E-2</v>
      </c>
      <c r="AG31" s="20">
        <f t="shared" si="11"/>
        <v>0</v>
      </c>
      <c r="AH31" s="20">
        <f t="shared" si="12"/>
        <v>124.36224498437788</v>
      </c>
      <c r="AI31" s="22"/>
    </row>
    <row r="32" spans="1:35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7">
        <f t="shared" si="7"/>
        <v>79330</v>
      </c>
      <c r="X32" s="104">
        <f t="shared" si="8"/>
        <v>80937</v>
      </c>
      <c r="Y32" s="104"/>
      <c r="Z32" s="7">
        <v>0</v>
      </c>
      <c r="AB32" s="2">
        <v>1607</v>
      </c>
      <c r="AC32" s="104">
        <v>75454</v>
      </c>
      <c r="AD32" s="104">
        <v>79765</v>
      </c>
      <c r="AE32" s="64">
        <f t="shared" si="9"/>
        <v>0</v>
      </c>
      <c r="AF32" s="64">
        <f t="shared" si="10"/>
        <v>1.3095342568795838E-2</v>
      </c>
      <c r="AG32" s="20">
        <f t="shared" si="11"/>
        <v>0</v>
      </c>
      <c r="AH32" s="20">
        <f t="shared" si="12"/>
        <v>13.218657044651998</v>
      </c>
      <c r="AI32" s="22"/>
    </row>
    <row r="33" spans="1:35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7">
        <f t="shared" si="7"/>
        <v>68062</v>
      </c>
      <c r="X33" s="104">
        <f t="shared" si="8"/>
        <v>68663</v>
      </c>
      <c r="Y33" s="104"/>
      <c r="Z33" s="7">
        <v>0</v>
      </c>
      <c r="AB33" s="2">
        <v>601</v>
      </c>
      <c r="AC33" s="104">
        <v>64142</v>
      </c>
      <c r="AD33" s="104">
        <v>63621</v>
      </c>
      <c r="AE33" s="64">
        <f t="shared" si="9"/>
        <v>0</v>
      </c>
      <c r="AF33" s="64">
        <f t="shared" si="10"/>
        <v>6.1402681504534673E-3</v>
      </c>
      <c r="AG33" s="20">
        <f t="shared" si="11"/>
        <v>0</v>
      </c>
      <c r="AH33" s="20">
        <f t="shared" si="12"/>
        <v>4.0402964429983816</v>
      </c>
      <c r="AI33" s="22"/>
    </row>
    <row r="34" spans="1:35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7">
        <f t="shared" si="7"/>
        <v>66284</v>
      </c>
      <c r="X34" s="104">
        <f t="shared" si="8"/>
        <v>68499</v>
      </c>
      <c r="Y34" s="104"/>
      <c r="Z34" s="7">
        <v>0</v>
      </c>
      <c r="AB34" s="2">
        <v>2215</v>
      </c>
      <c r="AC34" s="104">
        <v>70854</v>
      </c>
      <c r="AD34" s="104">
        <v>65493</v>
      </c>
      <c r="AE34" s="64">
        <f t="shared" si="9"/>
        <v>0</v>
      </c>
      <c r="AF34" s="64">
        <f t="shared" si="10"/>
        <v>2.198326538714061E-2</v>
      </c>
      <c r="AG34" s="20">
        <f t="shared" si="11"/>
        <v>0</v>
      </c>
      <c r="AH34" s="20">
        <f t="shared" si="12"/>
        <v>15.318672097272479</v>
      </c>
      <c r="AI34" s="22"/>
    </row>
    <row r="35" spans="1:35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7">
        <f t="shared" si="7"/>
        <v>63491</v>
      </c>
      <c r="X35" s="104">
        <f t="shared" si="8"/>
        <v>65276</v>
      </c>
      <c r="Y35" s="104"/>
      <c r="Z35" s="7">
        <v>0</v>
      </c>
      <c r="AB35" s="2">
        <v>1785</v>
      </c>
      <c r="AC35" s="104">
        <v>70876</v>
      </c>
      <c r="AD35" s="104">
        <v>62185</v>
      </c>
      <c r="AE35" s="64">
        <f t="shared" si="9"/>
        <v>0</v>
      </c>
      <c r="AF35" s="64">
        <f t="shared" si="10"/>
        <v>1.8658036503980062E-2</v>
      </c>
      <c r="AG35" s="20">
        <f t="shared" si="11"/>
        <v>0</v>
      </c>
      <c r="AH35" s="20">
        <f t="shared" si="12"/>
        <v>18.012779408217419</v>
      </c>
      <c r="AI35" s="22"/>
    </row>
    <row r="36" spans="1:35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7">
        <f t="shared" si="7"/>
        <v>94199</v>
      </c>
      <c r="X36" s="104">
        <f t="shared" si="8"/>
        <v>95962</v>
      </c>
      <c r="Y36" s="104"/>
      <c r="Z36" s="7">
        <v>13578</v>
      </c>
      <c r="AB36" s="2">
        <v>1763</v>
      </c>
      <c r="AC36" s="104">
        <v>88349</v>
      </c>
      <c r="AD36" s="104">
        <v>92396</v>
      </c>
      <c r="AE36" s="64">
        <f t="shared" si="9"/>
        <v>0.14139107403592571</v>
      </c>
      <c r="AF36" s="64">
        <f t="shared" si="10"/>
        <v>1.2402593185852202E-2</v>
      </c>
      <c r="AG36" s="20">
        <f t="shared" si="11"/>
        <v>81.712258203262081</v>
      </c>
      <c r="AH36" s="20">
        <f t="shared" si="12"/>
        <v>14.662965793973765</v>
      </c>
      <c r="AI36" s="22"/>
    </row>
    <row r="37" spans="1:35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7">
        <f t="shared" si="7"/>
        <v>101409</v>
      </c>
      <c r="X37" s="104">
        <f t="shared" si="8"/>
        <v>102488</v>
      </c>
      <c r="Y37" s="104"/>
      <c r="Z37" s="7">
        <v>3072</v>
      </c>
      <c r="AB37" s="2">
        <v>1079</v>
      </c>
      <c r="AC37" s="104">
        <v>123547</v>
      </c>
      <c r="AD37" s="104">
        <v>99429</v>
      </c>
      <c r="AE37" s="64">
        <f t="shared" si="9"/>
        <v>2.2875828632018584E-2</v>
      </c>
      <c r="AF37" s="64">
        <f t="shared" si="10"/>
        <v>7.0537770670528726E-3</v>
      </c>
      <c r="AG37" s="20">
        <f t="shared" si="11"/>
        <v>19.042221017102804</v>
      </c>
      <c r="AH37" s="20">
        <f t="shared" si="12"/>
        <v>10.081023058329732</v>
      </c>
      <c r="AI37" s="22"/>
    </row>
    <row r="38" spans="1:35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7">
        <f t="shared" si="7"/>
        <v>119888</v>
      </c>
      <c r="X38" s="104">
        <f t="shared" si="8"/>
        <v>122309</v>
      </c>
      <c r="Y38" s="104"/>
      <c r="Z38" s="7">
        <v>18345</v>
      </c>
      <c r="AB38" s="2">
        <v>2421</v>
      </c>
      <c r="AC38" s="104">
        <v>143401</v>
      </c>
      <c r="AD38" s="104">
        <v>117246</v>
      </c>
      <c r="AE38" s="64">
        <f t="shared" si="9"/>
        <v>0.11769373993207859</v>
      </c>
      <c r="AF38" s="64">
        <f t="shared" si="10"/>
        <v>1.3421779847500127E-2</v>
      </c>
      <c r="AG38" s="20">
        <f t="shared" si="11"/>
        <v>99.137360269454192</v>
      </c>
      <c r="AH38" s="20">
        <f t="shared" si="12"/>
        <v>18.490738703239344</v>
      </c>
      <c r="AI38" s="22"/>
    </row>
    <row r="39" spans="1:35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7">
        <f t="shared" si="7"/>
        <v>121421</v>
      </c>
      <c r="X39" s="104">
        <f t="shared" si="8"/>
        <v>136825</v>
      </c>
      <c r="Y39" s="104"/>
      <c r="Z39" s="7">
        <v>19763</v>
      </c>
      <c r="AB39" s="2">
        <v>15404</v>
      </c>
      <c r="AC39" s="104">
        <v>137235</v>
      </c>
      <c r="AD39" s="104">
        <v>144560</v>
      </c>
      <c r="AE39" s="64">
        <f t="shared" si="9"/>
        <v>0.13248777644186979</v>
      </c>
      <c r="AF39" s="64">
        <f t="shared" si="10"/>
        <v>6.9262589928057561E-2</v>
      </c>
      <c r="AG39" s="20">
        <f t="shared" si="11"/>
        <v>106.76306651607342</v>
      </c>
      <c r="AH39" s="20">
        <f t="shared" si="12"/>
        <v>98.768453237410085</v>
      </c>
      <c r="AI39" s="22"/>
    </row>
    <row r="40" spans="1:35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7">
        <f t="shared" si="7"/>
        <v>63936</v>
      </c>
      <c r="X40" s="104">
        <f t="shared" si="8"/>
        <v>91682</v>
      </c>
      <c r="Y40" s="104"/>
      <c r="Z40" s="7">
        <v>1141</v>
      </c>
      <c r="AB40" s="2">
        <v>27746</v>
      </c>
      <c r="AC40" s="104">
        <v>68676</v>
      </c>
      <c r="AD40" s="104">
        <v>111544</v>
      </c>
      <c r="AE40" s="64">
        <f t="shared" si="9"/>
        <v>1.5285106878676683E-2</v>
      </c>
      <c r="AF40" s="64">
        <f t="shared" si="10"/>
        <v>0.16168417844079466</v>
      </c>
      <c r="AG40" s="20">
        <f t="shared" si="11"/>
        <v>6.8528229172733806</v>
      </c>
      <c r="AH40" s="20">
        <f t="shared" si="12"/>
        <v>123.40544919493652</v>
      </c>
      <c r="AI40" s="22"/>
    </row>
    <row r="41" spans="1:35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7">
        <f t="shared" si="7"/>
        <v>72118</v>
      </c>
      <c r="X41" s="104">
        <f t="shared" si="8"/>
        <v>77478</v>
      </c>
      <c r="Y41" s="104"/>
      <c r="Z41" s="7">
        <v>0</v>
      </c>
      <c r="AB41" s="2">
        <v>5360</v>
      </c>
      <c r="AC41" s="104">
        <v>76840</v>
      </c>
      <c r="AD41" s="104">
        <v>76746</v>
      </c>
      <c r="AE41" s="64">
        <f t="shared" si="9"/>
        <v>0</v>
      </c>
      <c r="AF41" s="64">
        <f t="shared" si="10"/>
        <v>4.5396502749328958E-2</v>
      </c>
      <c r="AG41" s="20">
        <f t="shared" si="11"/>
        <v>0</v>
      </c>
      <c r="AH41" s="20">
        <f t="shared" si="12"/>
        <v>30.237853872948865</v>
      </c>
      <c r="AI41" s="22"/>
    </row>
    <row r="42" spans="1:35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7">
        <f t="shared" si="7"/>
        <v>116466</v>
      </c>
      <c r="X42" s="104">
        <f t="shared" si="8"/>
        <v>121851</v>
      </c>
      <c r="Y42" s="104"/>
      <c r="Z42" s="7">
        <v>2356</v>
      </c>
      <c r="AB42" s="2">
        <v>5385</v>
      </c>
      <c r="AC42" s="104">
        <v>109807</v>
      </c>
      <c r="AD42" s="104">
        <v>120191</v>
      </c>
      <c r="AE42" s="64">
        <f t="shared" si="9"/>
        <v>1.9739360878632511E-2</v>
      </c>
      <c r="AF42" s="64">
        <f t="shared" si="10"/>
        <v>2.9122396851677747E-2</v>
      </c>
      <c r="AG42" s="20">
        <f t="shared" si="11"/>
        <v>14.490335831656148</v>
      </c>
      <c r="AH42" s="20">
        <f t="shared" si="12"/>
        <v>40.756794393923009</v>
      </c>
      <c r="AI42" s="22"/>
    </row>
    <row r="43" spans="1:35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7">
        <f t="shared" si="7"/>
        <v>144028</v>
      </c>
      <c r="X43" s="104">
        <f t="shared" si="8"/>
        <v>146953</v>
      </c>
      <c r="Y43" s="104"/>
      <c r="Z43" s="7">
        <v>0</v>
      </c>
      <c r="AB43" s="2">
        <v>2925</v>
      </c>
      <c r="AC43" s="104">
        <v>85363</v>
      </c>
      <c r="AD43" s="104">
        <v>147382</v>
      </c>
      <c r="AE43" s="64">
        <f t="shared" si="9"/>
        <v>0</v>
      </c>
      <c r="AF43" s="64">
        <f t="shared" si="10"/>
        <v>1.290015062897776E-2</v>
      </c>
      <c r="AG43" s="20">
        <f t="shared" si="11"/>
        <v>0</v>
      </c>
      <c r="AH43" s="20">
        <f t="shared" si="12"/>
        <v>27.561171818810983</v>
      </c>
      <c r="AI43" s="22"/>
    </row>
    <row r="44" spans="1:35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7">
        <f t="shared" si="7"/>
        <v>125887</v>
      </c>
      <c r="X44" s="104">
        <f t="shared" si="8"/>
        <v>128380</v>
      </c>
      <c r="Y44" s="104"/>
      <c r="Z44" s="7">
        <v>3684</v>
      </c>
      <c r="AB44" s="2">
        <v>2493</v>
      </c>
      <c r="AC44" s="104">
        <v>99704</v>
      </c>
      <c r="AD44" s="104">
        <v>120267</v>
      </c>
      <c r="AE44" s="64">
        <f t="shared" si="9"/>
        <v>3.3993420524753272E-2</v>
      </c>
      <c r="AF44" s="64">
        <f t="shared" si="10"/>
        <v>1.3473770859836864E-2</v>
      </c>
      <c r="AG44" s="20">
        <f t="shared" si="11"/>
        <v>24.815196983069889</v>
      </c>
      <c r="AH44" s="20">
        <f t="shared" si="12"/>
        <v>18.826226333907059</v>
      </c>
      <c r="AI44" s="22"/>
    </row>
    <row r="45" spans="1:35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7">
        <f t="shared" si="7"/>
        <v>113816</v>
      </c>
      <c r="X45" s="104">
        <f t="shared" si="8"/>
        <v>118994</v>
      </c>
      <c r="Y45" s="104"/>
      <c r="Z45" s="7">
        <v>0</v>
      </c>
      <c r="AB45" s="2">
        <v>5178</v>
      </c>
      <c r="AC45" s="104">
        <v>94242</v>
      </c>
      <c r="AD45" s="104">
        <v>116176</v>
      </c>
      <c r="AE45" s="64">
        <f t="shared" si="9"/>
        <v>0</v>
      </c>
      <c r="AF45" s="64">
        <f t="shared" si="10"/>
        <v>2.8970699628150392E-2</v>
      </c>
      <c r="AG45" s="20">
        <f t="shared" si="11"/>
        <v>0</v>
      </c>
      <c r="AH45" s="20">
        <f t="shared" si="12"/>
        <v>39.933695212436298</v>
      </c>
      <c r="AI45" s="22"/>
    </row>
    <row r="46" spans="1:35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7">
        <f t="shared" si="7"/>
        <v>81952</v>
      </c>
      <c r="X46" s="104">
        <f t="shared" si="8"/>
        <v>86037</v>
      </c>
      <c r="Y46" s="104"/>
      <c r="Z46" s="7">
        <v>2248</v>
      </c>
      <c r="AB46" s="2">
        <v>4085</v>
      </c>
      <c r="AC46" s="104">
        <v>58619</v>
      </c>
      <c r="AD46" s="104">
        <v>82510</v>
      </c>
      <c r="AE46" s="64">
        <f t="shared" si="9"/>
        <v>3.528139340486873E-2</v>
      </c>
      <c r="AF46" s="64">
        <f t="shared" si="10"/>
        <v>3.2180947763907404E-2</v>
      </c>
      <c r="AG46" s="20">
        <f t="shared" si="11"/>
        <v>19.616454733107012</v>
      </c>
      <c r="AH46" s="20">
        <f t="shared" si="12"/>
        <v>31.035842372641689</v>
      </c>
      <c r="AI46" s="22"/>
    </row>
    <row r="47" spans="1:35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7">
        <f t="shared" si="7"/>
        <v>45981</v>
      </c>
      <c r="X47" s="104">
        <f t="shared" si="8"/>
        <v>47577</v>
      </c>
      <c r="Y47" s="104"/>
      <c r="Z47" s="7">
        <v>0</v>
      </c>
      <c r="AB47" s="2">
        <v>1596</v>
      </c>
      <c r="AC47" s="104">
        <v>44228</v>
      </c>
      <c r="AD47" s="104">
        <v>45284</v>
      </c>
      <c r="AE47" s="64">
        <f t="shared" si="9"/>
        <v>0</v>
      </c>
      <c r="AF47" s="64">
        <f t="shared" si="10"/>
        <v>2.2908753643671054E-2</v>
      </c>
      <c r="AG47" s="20">
        <f t="shared" si="11"/>
        <v>0</v>
      </c>
      <c r="AH47" s="20">
        <f t="shared" si="12"/>
        <v>12.647541074110059</v>
      </c>
      <c r="AI47" s="22"/>
    </row>
    <row r="48" spans="1:35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7">
        <f t="shared" si="7"/>
        <v>59650</v>
      </c>
      <c r="X48" s="104">
        <f t="shared" si="8"/>
        <v>62152</v>
      </c>
      <c r="Y48" s="104"/>
      <c r="Z48" s="7">
        <v>0</v>
      </c>
      <c r="AB48" s="2">
        <v>2502</v>
      </c>
      <c r="AC48" s="104">
        <v>58600</v>
      </c>
      <c r="AD48" s="104">
        <v>60435</v>
      </c>
      <c r="AE48" s="64">
        <f t="shared" si="9"/>
        <v>0</v>
      </c>
      <c r="AF48" s="64">
        <f t="shared" si="10"/>
        <v>2.6909903201787044E-2</v>
      </c>
      <c r="AG48" s="20">
        <f t="shared" si="11"/>
        <v>0</v>
      </c>
      <c r="AH48" s="20">
        <f t="shared" si="12"/>
        <v>18.433283693224126</v>
      </c>
      <c r="AI48" s="22"/>
    </row>
    <row r="49" spans="1:35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7">
        <f t="shared" si="7"/>
        <v>78510</v>
      </c>
      <c r="X49" s="104">
        <f t="shared" si="8"/>
        <v>87656</v>
      </c>
      <c r="Y49" s="104"/>
      <c r="Z49" s="7">
        <v>0</v>
      </c>
      <c r="AB49" s="2">
        <v>3412</v>
      </c>
      <c r="AC49" s="104">
        <v>103518</v>
      </c>
      <c r="AD49" s="104">
        <v>85558</v>
      </c>
      <c r="AE49" s="64">
        <f t="shared" si="9"/>
        <v>0</v>
      </c>
      <c r="AF49" s="64">
        <f t="shared" si="10"/>
        <v>2.5921597045279226E-2</v>
      </c>
      <c r="AG49" s="20">
        <f t="shared" si="11"/>
        <v>0</v>
      </c>
      <c r="AH49" s="20">
        <f t="shared" si="12"/>
        <v>29.745032609457912</v>
      </c>
      <c r="AI49" s="22"/>
    </row>
    <row r="50" spans="1:35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7">
        <f t="shared" si="7"/>
        <v>116888</v>
      </c>
      <c r="X50" s="104">
        <f t="shared" si="8"/>
        <v>124963</v>
      </c>
      <c r="Y50" s="104"/>
      <c r="Z50" s="7">
        <v>9878</v>
      </c>
      <c r="AB50" s="2">
        <v>3253</v>
      </c>
      <c r="AC50" s="104">
        <v>120268</v>
      </c>
      <c r="AD50" s="104">
        <v>123736</v>
      </c>
      <c r="AE50" s="64">
        <f t="shared" si="9"/>
        <v>7.5562576911564178E-2</v>
      </c>
      <c r="AF50" s="64">
        <f t="shared" si="10"/>
        <v>1.7088397879356048E-2</v>
      </c>
      <c r="AG50" s="20">
        <f t="shared" si="11"/>
        <v>59.203279010210537</v>
      </c>
      <c r="AH50" s="20">
        <f t="shared" si="12"/>
        <v>22.904149290963559</v>
      </c>
      <c r="AI50" s="22"/>
    </row>
    <row r="51" spans="1:35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7">
        <f t="shared" si="7"/>
        <v>106342</v>
      </c>
      <c r="X51" s="104">
        <f t="shared" si="8"/>
        <v>134000</v>
      </c>
      <c r="Y51" s="104"/>
      <c r="Z51" s="7">
        <v>12680</v>
      </c>
      <c r="AB51" s="2">
        <v>24792</v>
      </c>
      <c r="AC51" s="104">
        <v>114833</v>
      </c>
      <c r="AD51" s="104">
        <v>156223</v>
      </c>
      <c r="AE51" s="64">
        <f t="shared" si="9"/>
        <v>0.10158752275042889</v>
      </c>
      <c r="AF51" s="64">
        <f t="shared" si="10"/>
        <v>0.10315254475973448</v>
      </c>
      <c r="AG51" s="20">
        <f t="shared" si="11"/>
        <v>76.774770318636627</v>
      </c>
      <c r="AH51" s="20">
        <f t="shared" si="12"/>
        <v>139.98659928435634</v>
      </c>
      <c r="AI51" s="22"/>
    </row>
    <row r="52" spans="1:35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7">
        <f t="shared" si="7"/>
        <v>107226</v>
      </c>
      <c r="X52" s="104">
        <f t="shared" si="8"/>
        <v>121443</v>
      </c>
      <c r="Y52" s="104"/>
      <c r="Z52" s="7">
        <v>6199</v>
      </c>
      <c r="AB52" s="2">
        <v>8535</v>
      </c>
      <c r="AC52" s="104">
        <v>88734</v>
      </c>
      <c r="AD52" s="104">
        <v>123250</v>
      </c>
      <c r="AE52" s="64">
        <f t="shared" si="9"/>
        <v>6.427164333851737E-2</v>
      </c>
      <c r="AF52" s="64">
        <f t="shared" si="10"/>
        <v>4.5012170385395539E-2</v>
      </c>
      <c r="AG52" s="20">
        <f t="shared" si="11"/>
        <v>37.759590461378956</v>
      </c>
      <c r="AH52" s="20">
        <f t="shared" si="12"/>
        <v>58.219491379310348</v>
      </c>
      <c r="AI52" s="22"/>
    </row>
    <row r="53" spans="1:35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6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7">
        <f t="shared" si="7"/>
        <v>76782</v>
      </c>
      <c r="X53" s="104">
        <f t="shared" si="8"/>
        <v>83957</v>
      </c>
      <c r="Y53" s="104"/>
      <c r="Z53" s="7">
        <v>0</v>
      </c>
      <c r="AB53" s="2">
        <v>2016</v>
      </c>
      <c r="AC53" s="104">
        <v>67985</v>
      </c>
      <c r="AD53" s="104">
        <v>81229</v>
      </c>
      <c r="AE53" s="64">
        <f t="shared" si="9"/>
        <v>0</v>
      </c>
      <c r="AF53" s="64">
        <f t="shared" si="10"/>
        <v>1.6132169545359416E-2</v>
      </c>
      <c r="AG53" s="20">
        <f t="shared" si="11"/>
        <v>0</v>
      </c>
      <c r="AH53" s="20">
        <f t="shared" si="12"/>
        <v>14.4813108618843</v>
      </c>
      <c r="AI53" s="22"/>
    </row>
    <row r="54" spans="1:35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6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7">
        <f t="shared" si="7"/>
        <v>32401</v>
      </c>
      <c r="X54" s="104">
        <f t="shared" si="8"/>
        <v>35647</v>
      </c>
      <c r="Y54" s="104"/>
      <c r="Z54" s="7">
        <v>0</v>
      </c>
      <c r="AB54" s="2">
        <v>1093</v>
      </c>
      <c r="AC54" s="104">
        <v>32951</v>
      </c>
      <c r="AD54" s="104">
        <v>34587</v>
      </c>
      <c r="AE54" s="64">
        <f t="shared" si="9"/>
        <v>0</v>
      </c>
      <c r="AF54" s="64">
        <f t="shared" si="10"/>
        <v>2.0540954693960157E-2</v>
      </c>
      <c r="AG54" s="20">
        <f t="shared" si="11"/>
        <v>0</v>
      </c>
      <c r="AH54" s="20">
        <f t="shared" si="12"/>
        <v>6.9240134780890692</v>
      </c>
      <c r="AI54" s="22"/>
    </row>
    <row r="55" spans="1:35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7">
        <f t="shared" si="7"/>
        <v>38891</v>
      </c>
      <c r="X55" s="104">
        <f t="shared" si="8"/>
        <v>46036</v>
      </c>
      <c r="Y55" s="104"/>
      <c r="Z55" s="7">
        <v>0</v>
      </c>
      <c r="AB55" s="2">
        <v>3327</v>
      </c>
      <c r="AC55" s="104">
        <v>53688</v>
      </c>
      <c r="AD55" s="104">
        <v>45545</v>
      </c>
      <c r="AE55" s="64">
        <f t="shared" si="9"/>
        <v>0</v>
      </c>
      <c r="AF55" s="64">
        <f t="shared" si="10"/>
        <v>4.7481611592930066E-2</v>
      </c>
      <c r="AG55" s="20">
        <f t="shared" si="11"/>
        <v>0</v>
      </c>
      <c r="AH55" s="20">
        <f t="shared" si="12"/>
        <v>22.332184652541439</v>
      </c>
      <c r="AI55" s="22"/>
    </row>
    <row r="56" spans="1:35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7">
        <f t="shared" si="7"/>
        <v>129906</v>
      </c>
      <c r="X56" s="104">
        <f t="shared" si="8"/>
        <v>137132</v>
      </c>
      <c r="Y56" s="104"/>
      <c r="Z56" s="7">
        <v>0</v>
      </c>
      <c r="AB56" s="2">
        <v>1884</v>
      </c>
      <c r="AC56" s="104">
        <v>109438</v>
      </c>
      <c r="AD56" s="104">
        <v>135049</v>
      </c>
      <c r="AE56" s="64">
        <f t="shared" si="9"/>
        <v>0</v>
      </c>
      <c r="AF56" s="64">
        <f t="shared" si="10"/>
        <v>9.0678198283585965E-3</v>
      </c>
      <c r="AG56" s="20">
        <f t="shared" si="11"/>
        <v>0</v>
      </c>
      <c r="AH56" s="20">
        <f t="shared" si="12"/>
        <v>14.454104806403603</v>
      </c>
      <c r="AI56" s="22"/>
    </row>
    <row r="57" spans="1:35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7">
        <f t="shared" si="7"/>
        <v>117681</v>
      </c>
      <c r="X57" s="104">
        <f t="shared" si="8"/>
        <v>121965</v>
      </c>
      <c r="Y57" s="104"/>
      <c r="Z57" s="7">
        <v>0</v>
      </c>
      <c r="AB57" s="2">
        <v>1698</v>
      </c>
      <c r="AC57" s="104">
        <v>123377</v>
      </c>
      <c r="AD57" s="104">
        <v>121472</v>
      </c>
      <c r="AE57" s="64">
        <f t="shared" si="9"/>
        <v>0</v>
      </c>
      <c r="AF57" s="64">
        <f t="shared" si="10"/>
        <v>9.0860445205479447E-3</v>
      </c>
      <c r="AG57" s="20">
        <f t="shared" si="11"/>
        <v>0</v>
      </c>
      <c r="AH57" s="20">
        <f t="shared" si="12"/>
        <v>12.210886665239723</v>
      </c>
      <c r="AI57" s="22"/>
    </row>
    <row r="58" spans="1:35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6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7">
        <f t="shared" si="7"/>
        <v>118930</v>
      </c>
      <c r="X58" s="104">
        <f t="shared" si="8"/>
        <v>125239</v>
      </c>
      <c r="Y58" s="104"/>
      <c r="Z58" s="7">
        <v>16725</v>
      </c>
      <c r="AB58" s="2">
        <v>2144</v>
      </c>
      <c r="AC58" s="104">
        <v>121034</v>
      </c>
      <c r="AD58" s="104">
        <v>123524</v>
      </c>
      <c r="AE58" s="64">
        <f t="shared" si="9"/>
        <v>0.12712956689855742</v>
      </c>
      <c r="AF58" s="64">
        <f t="shared" si="10"/>
        <v>1.1282018069363039E-2</v>
      </c>
      <c r="AG58" s="20">
        <f t="shared" si="11"/>
        <v>97.285901069121067</v>
      </c>
      <c r="AH58" s="20">
        <f t="shared" si="12"/>
        <v>15.004143864080394</v>
      </c>
      <c r="AI58" s="22"/>
    </row>
    <row r="59" spans="1:35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6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7">
        <f t="shared" si="7"/>
        <v>87580</v>
      </c>
      <c r="X59" s="104">
        <f t="shared" si="8"/>
        <v>113913</v>
      </c>
      <c r="Y59" s="104"/>
      <c r="Z59" s="7">
        <v>4175</v>
      </c>
      <c r="AB59" s="2">
        <v>19953</v>
      </c>
      <c r="AC59" s="104">
        <v>81200</v>
      </c>
      <c r="AD59" s="104">
        <v>127732</v>
      </c>
      <c r="AE59" s="64">
        <f t="shared" si="9"/>
        <v>4.7302955665024633E-2</v>
      </c>
      <c r="AF59" s="64">
        <f t="shared" si="10"/>
        <v>0.10153642000438419</v>
      </c>
      <c r="AG59" s="20">
        <f t="shared" si="11"/>
        <v>28.740487479474552</v>
      </c>
      <c r="AH59" s="20">
        <f t="shared" si="12"/>
        <v>116.54688742836565</v>
      </c>
      <c r="AI59" s="22"/>
    </row>
    <row r="60" spans="1:35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6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7">
        <f t="shared" si="7"/>
        <v>77909</v>
      </c>
      <c r="X60" s="104">
        <f t="shared" si="8"/>
        <v>86359</v>
      </c>
      <c r="Y60" s="104"/>
      <c r="Z60" s="7">
        <v>0</v>
      </c>
      <c r="AB60" s="2">
        <v>4008</v>
      </c>
      <c r="AC60" s="104">
        <v>83156</v>
      </c>
      <c r="AD60" s="104">
        <v>86236</v>
      </c>
      <c r="AE60" s="64">
        <f t="shared" si="9"/>
        <v>0</v>
      </c>
      <c r="AF60" s="64">
        <f t="shared" si="10"/>
        <v>3.0210121063129088E-2</v>
      </c>
      <c r="AG60" s="20">
        <f t="shared" si="11"/>
        <v>0</v>
      </c>
      <c r="AH60" s="20">
        <f t="shared" si="12"/>
        <v>27.821003989053299</v>
      </c>
      <c r="AI60" s="22"/>
    </row>
    <row r="61" spans="1:35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7">
        <f t="shared" si="7"/>
        <v>59479</v>
      </c>
      <c r="X61" s="104">
        <f t="shared" si="8"/>
        <v>65051</v>
      </c>
      <c r="Y61" s="104"/>
      <c r="Z61" s="7">
        <v>0</v>
      </c>
      <c r="AB61" s="2">
        <v>876</v>
      </c>
      <c r="AC61" s="104">
        <v>52769</v>
      </c>
      <c r="AD61" s="104">
        <v>61759</v>
      </c>
      <c r="AE61" s="64">
        <f t="shared" si="9"/>
        <v>0</v>
      </c>
      <c r="AF61" s="64">
        <f t="shared" si="10"/>
        <v>9.2197088683430763E-3</v>
      </c>
      <c r="AG61" s="20">
        <f t="shared" si="11"/>
        <v>0</v>
      </c>
      <c r="AH61" s="20">
        <f t="shared" si="12"/>
        <v>4.873384445991678</v>
      </c>
      <c r="AI61" s="22"/>
    </row>
    <row r="62" spans="1:35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6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7">
        <f t="shared" si="7"/>
        <v>22728</v>
      </c>
      <c r="X62" s="104">
        <f t="shared" si="8"/>
        <v>24869</v>
      </c>
      <c r="Y62" s="104"/>
      <c r="Z62" s="7">
        <v>0</v>
      </c>
      <c r="AB62" s="2">
        <v>344</v>
      </c>
      <c r="AC62" s="104">
        <v>32841</v>
      </c>
      <c r="AD62" s="104">
        <v>24186</v>
      </c>
      <c r="AE62" s="64">
        <f t="shared" si="9"/>
        <v>0</v>
      </c>
      <c r="AF62" s="64">
        <f t="shared" si="10"/>
        <v>9.2450177788803451E-3</v>
      </c>
      <c r="AG62" s="20">
        <f t="shared" si="11"/>
        <v>0</v>
      </c>
      <c r="AH62" s="20">
        <f t="shared" si="12"/>
        <v>2.6348300669808982</v>
      </c>
      <c r="AI62" s="22"/>
    </row>
    <row r="63" spans="1:35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7">
        <f t="shared" si="7"/>
        <v>112127</v>
      </c>
      <c r="X63" s="104">
        <f t="shared" si="8"/>
        <v>118917</v>
      </c>
      <c r="Y63" s="104"/>
      <c r="Z63" s="7">
        <v>0</v>
      </c>
      <c r="AB63" s="2">
        <v>1799</v>
      </c>
      <c r="AC63" s="104">
        <v>109558</v>
      </c>
      <c r="AD63" s="104">
        <v>116552</v>
      </c>
      <c r="AE63" s="64">
        <f t="shared" si="9"/>
        <v>0</v>
      </c>
      <c r="AF63" s="64">
        <f t="shared" si="10"/>
        <v>1.0032860868968357E-2</v>
      </c>
      <c r="AG63" s="20">
        <f t="shared" si="11"/>
        <v>0</v>
      </c>
      <c r="AH63" s="20">
        <f t="shared" si="12"/>
        <v>13.184015253563503</v>
      </c>
      <c r="AI63" s="22"/>
    </row>
    <row r="64" spans="1:35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7">
        <f t="shared" si="7"/>
        <v>103596</v>
      </c>
      <c r="X64" s="104">
        <f t="shared" si="8"/>
        <v>112453</v>
      </c>
      <c r="Y64" s="104"/>
      <c r="Z64" s="7">
        <v>2111</v>
      </c>
      <c r="AB64" s="2">
        <v>2623</v>
      </c>
      <c r="AC64" s="104">
        <v>111265</v>
      </c>
      <c r="AD64" s="104">
        <v>109733</v>
      </c>
      <c r="AE64" s="64">
        <f t="shared" si="9"/>
        <v>1.745490495663506E-2</v>
      </c>
      <c r="AF64" s="64">
        <f t="shared" si="10"/>
        <v>1.553725861864708E-2</v>
      </c>
      <c r="AG64" s="20">
        <f t="shared" si="11"/>
        <v>13.194453571803054</v>
      </c>
      <c r="AH64" s="20">
        <f t="shared" si="12"/>
        <v>19.765982506022194</v>
      </c>
      <c r="AI64" s="22"/>
    </row>
    <row r="65" spans="1:35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7">
        <f t="shared" si="7"/>
        <v>120229</v>
      </c>
      <c r="X65" s="104">
        <f t="shared" si="8"/>
        <v>126662</v>
      </c>
      <c r="Y65" s="104"/>
      <c r="Z65" s="7">
        <v>27210</v>
      </c>
      <c r="AB65" s="2">
        <v>1856</v>
      </c>
      <c r="AC65" s="104">
        <v>144188</v>
      </c>
      <c r="AD65" s="104">
        <v>125209</v>
      </c>
      <c r="AE65" s="64">
        <f t="shared" si="9"/>
        <v>0.17361500263544818</v>
      </c>
      <c r="AF65" s="64">
        <f t="shared" si="10"/>
        <v>9.6350901293038044E-3</v>
      </c>
      <c r="AG65" s="20">
        <f t="shared" si="11"/>
        <v>125.49471107165647</v>
      </c>
      <c r="AH65" s="20">
        <f t="shared" si="12"/>
        <v>12.327294896266775</v>
      </c>
      <c r="AI65" s="22"/>
    </row>
    <row r="66" spans="1:35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6"/>
        <v>87.215455225475552</v>
      </c>
      <c r="O66" s="7">
        <f t="shared" ref="O66:O129" si="13">+B66+C66+D66+F66+I66+K66+J66</f>
        <v>2822.0000000000005</v>
      </c>
      <c r="P66" s="7">
        <f t="shared" ref="P66:P129" si="14">+B66+C66+D66+F66+J66+Q66+R66</f>
        <v>2734.7845447745249</v>
      </c>
      <c r="Q66" s="7">
        <f t="shared" ref="Q66:Q129" si="15">+I66-AH66</f>
        <v>1259.7012114411912</v>
      </c>
      <c r="R66" s="7">
        <f t="shared" ref="R66:R129" si="16">+K66-AG66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7">
        <f t="shared" si="7"/>
        <v>131137</v>
      </c>
      <c r="X66" s="104">
        <f t="shared" si="8"/>
        <v>149701</v>
      </c>
      <c r="Y66" s="104"/>
      <c r="Z66" s="7">
        <v>0</v>
      </c>
      <c r="AB66" s="2">
        <v>16314</v>
      </c>
      <c r="AC66" s="104">
        <v>125027</v>
      </c>
      <c r="AD66" s="104">
        <v>163765</v>
      </c>
      <c r="AE66" s="64">
        <f t="shared" si="9"/>
        <v>0</v>
      </c>
      <c r="AF66" s="64">
        <f t="shared" si="10"/>
        <v>6.4751931120813372E-2</v>
      </c>
      <c r="AG66" s="20">
        <f t="shared" ref="AG66:AG129" si="17">+AE66*K66</f>
        <v>0</v>
      </c>
      <c r="AH66" s="20">
        <f t="shared" ref="AH66:AH129" si="18">+AF66*I66</f>
        <v>87.215455225475552</v>
      </c>
      <c r="AI66" s="22"/>
    </row>
    <row r="67" spans="1:35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9">+AH67+AG67</f>
        <v>106.87654997376815</v>
      </c>
      <c r="O67" s="7">
        <f t="shared" si="13"/>
        <v>3153.3333333333335</v>
      </c>
      <c r="P67" s="7">
        <f t="shared" si="14"/>
        <v>3046.4567833595656</v>
      </c>
      <c r="Q67" s="7">
        <f t="shared" si="15"/>
        <v>1232.1172599463787</v>
      </c>
      <c r="R67" s="7">
        <f t="shared" si="16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7">
        <f t="shared" ref="W67:W130" si="20">+V67-U67-S67+AA67</f>
        <v>107751</v>
      </c>
      <c r="X67" s="104">
        <f t="shared" ref="X67:X130" si="21">+V67+AB67+AA67</f>
        <v>127933</v>
      </c>
      <c r="Y67" s="104"/>
      <c r="Z67" s="7">
        <v>2324</v>
      </c>
      <c r="AB67" s="2">
        <v>14669</v>
      </c>
      <c r="AC67" s="104">
        <v>110536</v>
      </c>
      <c r="AD67" s="104">
        <v>140118</v>
      </c>
      <c r="AE67" s="64">
        <f t="shared" ref="AE67:AE130" si="22">+(Z67/AC67*0.92)</f>
        <v>1.934283853224289E-2</v>
      </c>
      <c r="AF67" s="64">
        <f t="shared" ref="AF67:AF130" si="23">+(AB67/AD67*0.65)</f>
        <v>6.8048716082159316E-2</v>
      </c>
      <c r="AG67" s="20">
        <f t="shared" si="17"/>
        <v>16.910476586813349</v>
      </c>
      <c r="AH67" s="20">
        <f t="shared" si="18"/>
        <v>89.966073386954804</v>
      </c>
      <c r="AI67" s="22"/>
    </row>
    <row r="68" spans="1:35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9"/>
        <v>16.630331009476432</v>
      </c>
      <c r="O68" s="7">
        <f t="shared" si="13"/>
        <v>2671.5033333333336</v>
      </c>
      <c r="P68" s="7">
        <f t="shared" si="14"/>
        <v>2654.8730023238572</v>
      </c>
      <c r="Q68" s="7">
        <f t="shared" si="15"/>
        <v>1420.2896689905238</v>
      </c>
      <c r="R68" s="7">
        <f t="shared" si="16"/>
        <v>652.5</v>
      </c>
      <c r="S68" s="7">
        <v>5608</v>
      </c>
      <c r="T68" s="7">
        <v>7221</v>
      </c>
      <c r="U68" s="7">
        <v>166</v>
      </c>
      <c r="V68" s="7">
        <v>114516</v>
      </c>
      <c r="W68" s="7">
        <f t="shared" si="20"/>
        <v>108742</v>
      </c>
      <c r="X68" s="104">
        <f t="shared" si="21"/>
        <v>116549</v>
      </c>
      <c r="Y68" s="104"/>
      <c r="Z68" s="7">
        <v>0</v>
      </c>
      <c r="AB68" s="2">
        <v>2033</v>
      </c>
      <c r="AC68" s="104">
        <v>81448</v>
      </c>
      <c r="AD68" s="104">
        <v>114178</v>
      </c>
      <c r="AE68" s="64">
        <f t="shared" si="22"/>
        <v>0</v>
      </c>
      <c r="AF68" s="64">
        <f t="shared" si="23"/>
        <v>1.1573595613866068E-2</v>
      </c>
      <c r="AG68" s="20">
        <f t="shared" si="17"/>
        <v>0</v>
      </c>
      <c r="AH68" s="20">
        <f t="shared" si="18"/>
        <v>16.630331009476432</v>
      </c>
      <c r="AI68" s="22"/>
    </row>
    <row r="69" spans="1:35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9"/>
        <v>14.465409957335536</v>
      </c>
      <c r="O69" s="7">
        <f t="shared" si="13"/>
        <v>1503.3333333333333</v>
      </c>
      <c r="P69" s="7">
        <f t="shared" si="14"/>
        <v>1488.8679233759976</v>
      </c>
      <c r="Q69" s="7">
        <f t="shared" si="15"/>
        <v>606.45125670933112</v>
      </c>
      <c r="R69" s="7">
        <f t="shared" si="16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7">
        <f t="shared" si="20"/>
        <v>58458</v>
      </c>
      <c r="X69" s="104">
        <f t="shared" si="21"/>
        <v>65109</v>
      </c>
      <c r="Y69" s="104"/>
      <c r="Z69" s="7">
        <v>0</v>
      </c>
      <c r="AB69" s="2">
        <v>2257</v>
      </c>
      <c r="AC69" s="104">
        <v>70293</v>
      </c>
      <c r="AD69" s="104">
        <v>62972</v>
      </c>
      <c r="AE69" s="64">
        <f t="shared" si="22"/>
        <v>0</v>
      </c>
      <c r="AF69" s="64">
        <f t="shared" si="23"/>
        <v>2.3296862097440134E-2</v>
      </c>
      <c r="AG69" s="20">
        <f t="shared" si="17"/>
        <v>0</v>
      </c>
      <c r="AH69" s="20">
        <f t="shared" si="18"/>
        <v>14.465409957335536</v>
      </c>
      <c r="AI69" s="22"/>
    </row>
    <row r="70" spans="1:35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9"/>
        <v>61.525231501673858</v>
      </c>
      <c r="O70" s="7">
        <f t="shared" si="13"/>
        <v>4413.1666666666661</v>
      </c>
      <c r="P70" s="7">
        <f t="shared" si="14"/>
        <v>4351.6414351649928</v>
      </c>
      <c r="Q70" s="7">
        <f t="shared" si="15"/>
        <v>2113.3081018316593</v>
      </c>
      <c r="R70" s="7">
        <f t="shared" si="16"/>
        <v>1274</v>
      </c>
      <c r="S70" s="7">
        <v>11255</v>
      </c>
      <c r="T70" s="7">
        <v>13936</v>
      </c>
      <c r="U70" s="7">
        <v>340</v>
      </c>
      <c r="V70" s="7">
        <v>176068</v>
      </c>
      <c r="W70" s="7">
        <f t="shared" si="20"/>
        <v>164473</v>
      </c>
      <c r="X70" s="104">
        <f t="shared" si="21"/>
        <v>183552</v>
      </c>
      <c r="Y70" s="104"/>
      <c r="Z70" s="7">
        <v>0</v>
      </c>
      <c r="AB70" s="2">
        <v>7484</v>
      </c>
      <c r="AC70" s="104">
        <v>154478</v>
      </c>
      <c r="AD70" s="104">
        <v>171957</v>
      </c>
      <c r="AE70" s="64">
        <f t="shared" si="22"/>
        <v>0</v>
      </c>
      <c r="AF70" s="64">
        <f t="shared" si="23"/>
        <v>2.8289630547171676E-2</v>
      </c>
      <c r="AG70" s="20">
        <f t="shared" si="17"/>
        <v>0</v>
      </c>
      <c r="AH70" s="20">
        <f t="shared" si="18"/>
        <v>61.525231501673858</v>
      </c>
      <c r="AI70" s="22"/>
    </row>
    <row r="71" spans="1:35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9"/>
        <v>22.292499697415419</v>
      </c>
      <c r="O71" s="7">
        <f t="shared" si="13"/>
        <v>3918.5</v>
      </c>
      <c r="P71" s="7">
        <f t="shared" si="14"/>
        <v>3896.2075003025848</v>
      </c>
      <c r="Q71" s="7">
        <f t="shared" si="15"/>
        <v>1852.790833635918</v>
      </c>
      <c r="R71" s="7">
        <f t="shared" si="16"/>
        <v>1099.5</v>
      </c>
      <c r="S71" s="7">
        <v>7367</v>
      </c>
      <c r="T71" s="7">
        <v>10911</v>
      </c>
      <c r="U71" s="7">
        <v>514</v>
      </c>
      <c r="V71" s="7">
        <v>167398</v>
      </c>
      <c r="W71" s="7">
        <f t="shared" si="20"/>
        <v>159517</v>
      </c>
      <c r="X71" s="104">
        <f t="shared" si="21"/>
        <v>170370</v>
      </c>
      <c r="Y71" s="104"/>
      <c r="Z71" s="7">
        <v>0</v>
      </c>
      <c r="AB71" s="2">
        <v>2972</v>
      </c>
      <c r="AC71" s="104">
        <v>135916</v>
      </c>
      <c r="AD71" s="104">
        <v>162489</v>
      </c>
      <c r="AE71" s="64">
        <f t="shared" si="22"/>
        <v>0</v>
      </c>
      <c r="AF71" s="64">
        <f t="shared" si="23"/>
        <v>1.1888804780631305E-2</v>
      </c>
      <c r="AG71" s="20">
        <f t="shared" si="17"/>
        <v>0</v>
      </c>
      <c r="AH71" s="20">
        <f t="shared" si="18"/>
        <v>22.292499697415419</v>
      </c>
      <c r="AI71" s="22"/>
    </row>
    <row r="72" spans="1:35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9"/>
        <v>26.590597106752973</v>
      </c>
      <c r="O72" s="7">
        <f t="shared" si="13"/>
        <v>3807.666666666667</v>
      </c>
      <c r="P72" s="7">
        <f t="shared" si="14"/>
        <v>3781.0760695599138</v>
      </c>
      <c r="Q72" s="7">
        <f t="shared" si="15"/>
        <v>1755.377622107367</v>
      </c>
      <c r="R72" s="7">
        <f t="shared" si="16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7">
        <f t="shared" si="20"/>
        <v>157760</v>
      </c>
      <c r="X72" s="104">
        <f t="shared" si="21"/>
        <v>165829</v>
      </c>
      <c r="Y72" s="104"/>
      <c r="Z72" s="7">
        <v>1253</v>
      </c>
      <c r="AB72" s="2">
        <v>2345</v>
      </c>
      <c r="AC72" s="104">
        <v>125439</v>
      </c>
      <c r="AD72" s="104">
        <v>160105</v>
      </c>
      <c r="AE72" s="64">
        <f t="shared" si="22"/>
        <v>9.1898054034231774E-3</v>
      </c>
      <c r="AF72" s="64">
        <f t="shared" si="23"/>
        <v>9.5203147934168203E-3</v>
      </c>
      <c r="AG72" s="20">
        <f t="shared" si="17"/>
        <v>9.7182192141200119</v>
      </c>
      <c r="AH72" s="20">
        <f t="shared" si="18"/>
        <v>16.872377892632962</v>
      </c>
      <c r="AI72" s="22"/>
    </row>
    <row r="73" spans="1:35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9"/>
        <v>50.597760238706769</v>
      </c>
      <c r="O73" s="7">
        <f t="shared" si="13"/>
        <v>3990.583333333333</v>
      </c>
      <c r="P73" s="7">
        <f t="shared" si="14"/>
        <v>3939.985573094626</v>
      </c>
      <c r="Q73" s="7">
        <f t="shared" si="15"/>
        <v>1888.1998977864112</v>
      </c>
      <c r="R73" s="7">
        <f t="shared" si="16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7">
        <f t="shared" si="20"/>
        <v>149924</v>
      </c>
      <c r="X73" s="104">
        <f t="shared" si="21"/>
        <v>157981</v>
      </c>
      <c r="Y73" s="104"/>
      <c r="Z73" s="7">
        <v>4197</v>
      </c>
      <c r="AB73" s="2">
        <v>2453</v>
      </c>
      <c r="AC73" s="104">
        <v>144650</v>
      </c>
      <c r="AD73" s="104">
        <v>152377</v>
      </c>
      <c r="AE73" s="64">
        <f t="shared" si="22"/>
        <v>2.6693674386450053E-2</v>
      </c>
      <c r="AF73" s="64">
        <f t="shared" si="23"/>
        <v>1.0463849531097214E-2</v>
      </c>
      <c r="AG73" s="20">
        <f t="shared" si="17"/>
        <v>30.630991358451436</v>
      </c>
      <c r="AH73" s="20">
        <f t="shared" si="18"/>
        <v>19.966768880255334</v>
      </c>
      <c r="AI73" s="22"/>
    </row>
    <row r="74" spans="1:35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9"/>
        <v>222.93834283967141</v>
      </c>
      <c r="O74" s="7">
        <f t="shared" si="13"/>
        <v>3888.5833333333335</v>
      </c>
      <c r="P74" s="7">
        <f t="shared" si="14"/>
        <v>3665.6449904936621</v>
      </c>
      <c r="Q74" s="7">
        <f t="shared" si="15"/>
        <v>1721.5519862760855</v>
      </c>
      <c r="R74" s="7">
        <f t="shared" si="16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7">
        <f t="shared" si="20"/>
        <v>131110</v>
      </c>
      <c r="X74" s="104">
        <f t="shared" si="21"/>
        <v>153950</v>
      </c>
      <c r="Y74" s="104"/>
      <c r="Z74" s="7">
        <v>12203</v>
      </c>
      <c r="AB74" s="2">
        <v>16977</v>
      </c>
      <c r="AC74" s="104">
        <v>142736</v>
      </c>
      <c r="AD74" s="104">
        <v>148087</v>
      </c>
      <c r="AE74" s="64">
        <f t="shared" si="22"/>
        <v>7.8654018607779402E-2</v>
      </c>
      <c r="AF74" s="64">
        <f t="shared" si="23"/>
        <v>7.4517344533956392E-2</v>
      </c>
      <c r="AG74" s="20">
        <f t="shared" si="17"/>
        <v>84.323662449090179</v>
      </c>
      <c r="AH74" s="20">
        <f t="shared" si="18"/>
        <v>138.61468039058121</v>
      </c>
      <c r="AI74" s="22"/>
    </row>
    <row r="75" spans="1:35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9"/>
        <v>15.826506338982751</v>
      </c>
      <c r="O75" s="7">
        <f t="shared" si="13"/>
        <v>2560</v>
      </c>
      <c r="P75" s="7">
        <f t="shared" si="14"/>
        <v>2544.1734936610173</v>
      </c>
      <c r="Q75" s="7">
        <f t="shared" si="15"/>
        <v>1161.6734936610173</v>
      </c>
      <c r="R75" s="7">
        <f t="shared" si="16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7">
        <f t="shared" si="20"/>
        <v>110539</v>
      </c>
      <c r="X75" s="104">
        <f t="shared" si="21"/>
        <v>118516</v>
      </c>
      <c r="Y75" s="104"/>
      <c r="Z75" s="7">
        <v>0</v>
      </c>
      <c r="AB75" s="2">
        <v>2334</v>
      </c>
      <c r="AC75" s="104">
        <v>101039</v>
      </c>
      <c r="AD75" s="104">
        <v>112873</v>
      </c>
      <c r="AE75" s="64">
        <f t="shared" si="22"/>
        <v>0</v>
      </c>
      <c r="AF75" s="64">
        <f t="shared" si="23"/>
        <v>1.3440769714635033E-2</v>
      </c>
      <c r="AG75" s="20">
        <f t="shared" si="17"/>
        <v>0</v>
      </c>
      <c r="AH75" s="20">
        <f t="shared" si="18"/>
        <v>15.826506338982751</v>
      </c>
      <c r="AI75" s="22"/>
    </row>
    <row r="76" spans="1:35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9"/>
        <v>3.5720972046964001</v>
      </c>
      <c r="O76" s="7">
        <f t="shared" si="13"/>
        <v>1412.0833333333333</v>
      </c>
      <c r="P76" s="7">
        <f t="shared" si="14"/>
        <v>1408.5112361286367</v>
      </c>
      <c r="Q76" s="7">
        <f t="shared" si="15"/>
        <v>603.5945694619702</v>
      </c>
      <c r="R76" s="7">
        <f t="shared" si="16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7">
        <f t="shared" si="20"/>
        <v>63610</v>
      </c>
      <c r="X76" s="104">
        <f t="shared" si="21"/>
        <v>66734</v>
      </c>
      <c r="Y76" s="104"/>
      <c r="Z76" s="7">
        <v>0</v>
      </c>
      <c r="AB76" s="2">
        <v>581</v>
      </c>
      <c r="AC76" s="104">
        <v>57796</v>
      </c>
      <c r="AD76" s="104">
        <v>64191</v>
      </c>
      <c r="AE76" s="64">
        <f t="shared" si="22"/>
        <v>0</v>
      </c>
      <c r="AF76" s="64">
        <f t="shared" si="23"/>
        <v>5.8832235048527047E-3</v>
      </c>
      <c r="AG76" s="20">
        <f t="shared" si="17"/>
        <v>0</v>
      </c>
      <c r="AH76" s="20">
        <f t="shared" si="18"/>
        <v>3.5720972046964001</v>
      </c>
      <c r="AI76" s="22"/>
    </row>
    <row r="77" spans="1:35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9"/>
        <v>28.539345800656882</v>
      </c>
      <c r="O77" s="7">
        <f t="shared" si="13"/>
        <v>4755.083333333333</v>
      </c>
      <c r="P77" s="7">
        <f t="shared" si="14"/>
        <v>4726.5439875326765</v>
      </c>
      <c r="Q77" s="7">
        <f t="shared" si="15"/>
        <v>2062.710654199343</v>
      </c>
      <c r="R77" s="7">
        <f t="shared" si="16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7">
        <f t="shared" si="20"/>
        <v>182683</v>
      </c>
      <c r="X77" s="104">
        <f t="shared" si="21"/>
        <v>195308</v>
      </c>
      <c r="Y77" s="104"/>
      <c r="Z77" s="7">
        <v>0</v>
      </c>
      <c r="AA77" s="7"/>
      <c r="AB77" s="2">
        <v>4072</v>
      </c>
      <c r="AC77" s="104">
        <v>177836</v>
      </c>
      <c r="AD77" s="104">
        <v>193947</v>
      </c>
      <c r="AE77" s="64">
        <f t="shared" si="22"/>
        <v>0</v>
      </c>
      <c r="AF77" s="64">
        <f t="shared" si="23"/>
        <v>1.3647027280648838E-2</v>
      </c>
      <c r="AG77" s="20">
        <f t="shared" si="17"/>
        <v>0</v>
      </c>
      <c r="AH77" s="20">
        <f t="shared" si="18"/>
        <v>28.539345800656882</v>
      </c>
      <c r="AI77" s="22"/>
    </row>
    <row r="78" spans="1:35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9"/>
        <v>73.649794280340913</v>
      </c>
      <c r="O78" s="7">
        <f t="shared" si="13"/>
        <v>5294.333333333333</v>
      </c>
      <c r="P78" s="7">
        <f t="shared" si="14"/>
        <v>5220.6835390529923</v>
      </c>
      <c r="Q78" s="7">
        <f t="shared" si="15"/>
        <v>2239.9147558075497</v>
      </c>
      <c r="R78" s="7">
        <f t="shared" si="16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7">
        <f t="shared" si="20"/>
        <v>192737</v>
      </c>
      <c r="X78" s="104">
        <f t="shared" si="21"/>
        <v>207982</v>
      </c>
      <c r="Y78" s="104"/>
      <c r="Z78" s="7">
        <v>6135</v>
      </c>
      <c r="AB78" s="2">
        <v>2933</v>
      </c>
      <c r="AC78" s="104">
        <v>203662</v>
      </c>
      <c r="AD78" s="104">
        <v>199740</v>
      </c>
      <c r="AE78" s="64">
        <f t="shared" si="22"/>
        <v>2.7713564631595487E-2</v>
      </c>
      <c r="AF78" s="64">
        <f t="shared" si="23"/>
        <v>9.544658055472114E-3</v>
      </c>
      <c r="AG78" s="20">
        <f t="shared" si="17"/>
        <v>52.064550087890723</v>
      </c>
      <c r="AH78" s="20">
        <f t="shared" si="18"/>
        <v>21.585244192450187</v>
      </c>
      <c r="AI78" s="22"/>
    </row>
    <row r="79" spans="1:35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9"/>
        <v>36.184467206528652</v>
      </c>
      <c r="O79" s="7">
        <f t="shared" si="13"/>
        <v>5054.25</v>
      </c>
      <c r="P79" s="7">
        <f t="shared" si="14"/>
        <v>5018.065532793471</v>
      </c>
      <c r="Q79" s="7">
        <f t="shared" si="15"/>
        <v>2102.1488661268049</v>
      </c>
      <c r="R79" s="7">
        <f t="shared" si="16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7">
        <f t="shared" si="20"/>
        <v>134139</v>
      </c>
      <c r="X79" s="104">
        <f t="shared" si="21"/>
        <v>148771</v>
      </c>
      <c r="Y79" s="104"/>
      <c r="Z79" s="7">
        <v>0</v>
      </c>
      <c r="AB79" s="2">
        <v>3726</v>
      </c>
      <c r="AC79" s="104">
        <v>193563</v>
      </c>
      <c r="AD79" s="104">
        <v>143123</v>
      </c>
      <c r="AE79" s="64">
        <f t="shared" si="22"/>
        <v>0</v>
      </c>
      <c r="AF79" s="64">
        <f t="shared" si="23"/>
        <v>1.6921808514354784E-2</v>
      </c>
      <c r="AG79" s="20">
        <f t="shared" si="17"/>
        <v>0</v>
      </c>
      <c r="AH79" s="20">
        <f t="shared" si="18"/>
        <v>36.184467206528652</v>
      </c>
      <c r="AI79" s="22"/>
    </row>
    <row r="80" spans="1:35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9"/>
        <v>62.801462903805877</v>
      </c>
      <c r="O80" s="7">
        <f t="shared" si="13"/>
        <v>5221.833333333333</v>
      </c>
      <c r="P80" s="7">
        <f t="shared" si="14"/>
        <v>5159.0318704295278</v>
      </c>
      <c r="Q80" s="7">
        <f t="shared" si="15"/>
        <v>2338.3652037628608</v>
      </c>
      <c r="R80" s="7">
        <f t="shared" si="16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7">
        <f t="shared" si="20"/>
        <v>215897</v>
      </c>
      <c r="X80" s="104">
        <f t="shared" si="21"/>
        <v>234873</v>
      </c>
      <c r="Y80" s="104"/>
      <c r="Z80" s="7">
        <v>0</v>
      </c>
      <c r="AB80" s="2">
        <v>9510</v>
      </c>
      <c r="AC80" s="104">
        <v>183430</v>
      </c>
      <c r="AD80" s="104">
        <v>236345</v>
      </c>
      <c r="AE80" s="64">
        <f t="shared" si="22"/>
        <v>0</v>
      </c>
      <c r="AF80" s="64">
        <f t="shared" si="23"/>
        <v>2.6154562186633947E-2</v>
      </c>
      <c r="AG80" s="20">
        <f t="shared" si="17"/>
        <v>0</v>
      </c>
      <c r="AH80" s="20">
        <f t="shared" si="18"/>
        <v>62.801462903805877</v>
      </c>
      <c r="AI80" s="22"/>
    </row>
    <row r="81" spans="1:35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9"/>
        <v>23.686809260027598</v>
      </c>
      <c r="O81" s="7">
        <f t="shared" si="13"/>
        <v>5182.5</v>
      </c>
      <c r="P81" s="7">
        <f t="shared" si="14"/>
        <v>5158.8131907399729</v>
      </c>
      <c r="Q81" s="7">
        <f t="shared" si="15"/>
        <v>2378.7298574066394</v>
      </c>
      <c r="R81" s="7">
        <f t="shared" si="16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7">
        <f t="shared" si="20"/>
        <v>194964</v>
      </c>
      <c r="X81" s="104">
        <f t="shared" si="21"/>
        <v>206330</v>
      </c>
      <c r="Y81" s="104"/>
      <c r="Z81" s="7">
        <v>0</v>
      </c>
      <c r="AB81" s="2">
        <v>3071</v>
      </c>
      <c r="AC81" s="104">
        <v>170675</v>
      </c>
      <c r="AD81" s="104">
        <v>202458</v>
      </c>
      <c r="AE81" s="64">
        <f t="shared" si="22"/>
        <v>0</v>
      </c>
      <c r="AF81" s="64">
        <f t="shared" si="23"/>
        <v>9.8595758132550958E-3</v>
      </c>
      <c r="AG81" s="20">
        <f t="shared" si="17"/>
        <v>0</v>
      </c>
      <c r="AH81" s="20">
        <f t="shared" si="18"/>
        <v>23.686809260027598</v>
      </c>
      <c r="AI81" s="22"/>
    </row>
    <row r="82" spans="1:35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9"/>
        <v>17.012291285066119</v>
      </c>
      <c r="O82" s="7">
        <f t="shared" si="13"/>
        <v>4482.833333333333</v>
      </c>
      <c r="P82" s="7">
        <f t="shared" si="14"/>
        <v>4465.8210420482665</v>
      </c>
      <c r="Q82" s="7">
        <f t="shared" si="15"/>
        <v>2064.3210420482669</v>
      </c>
      <c r="R82" s="7">
        <f t="shared" si="16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7">
        <f t="shared" si="20"/>
        <v>176985</v>
      </c>
      <c r="X82" s="104">
        <f t="shared" si="21"/>
        <v>185973</v>
      </c>
      <c r="Y82" s="104"/>
      <c r="Z82" s="7">
        <v>0</v>
      </c>
      <c r="AB82" s="2">
        <v>2293</v>
      </c>
      <c r="AC82" s="104">
        <v>160613</v>
      </c>
      <c r="AD82" s="104">
        <v>182346</v>
      </c>
      <c r="AE82" s="64">
        <f t="shared" si="22"/>
        <v>0</v>
      </c>
      <c r="AF82" s="64">
        <f t="shared" si="23"/>
        <v>8.1737466135807756E-3</v>
      </c>
      <c r="AG82" s="20">
        <f t="shared" si="17"/>
        <v>0</v>
      </c>
      <c r="AH82" s="20">
        <f t="shared" si="18"/>
        <v>17.012291285066119</v>
      </c>
      <c r="AI82" s="22"/>
    </row>
    <row r="83" spans="1:35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9"/>
        <v>16.071483192649005</v>
      </c>
      <c r="O83" s="7">
        <f t="shared" si="13"/>
        <v>4408</v>
      </c>
      <c r="P83" s="7">
        <f t="shared" si="14"/>
        <v>4391.9285168073511</v>
      </c>
      <c r="Q83" s="7">
        <f t="shared" si="15"/>
        <v>2151.6785168073507</v>
      </c>
      <c r="R83" s="7">
        <f t="shared" si="16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7">
        <f t="shared" si="20"/>
        <v>188732</v>
      </c>
      <c r="X83" s="104">
        <f t="shared" si="21"/>
        <v>200735</v>
      </c>
      <c r="Y83" s="104"/>
      <c r="Z83" s="7">
        <v>0</v>
      </c>
      <c r="AA83" s="7"/>
      <c r="AB83" s="2">
        <v>2212</v>
      </c>
      <c r="AC83" s="104">
        <v>149608</v>
      </c>
      <c r="AD83" s="104">
        <v>193933</v>
      </c>
      <c r="AE83" s="64">
        <f t="shared" si="22"/>
        <v>0</v>
      </c>
      <c r="AF83" s="64">
        <f t="shared" si="23"/>
        <v>7.4139006770379458E-3</v>
      </c>
      <c r="AG83" s="20">
        <f t="shared" si="17"/>
        <v>0</v>
      </c>
      <c r="AH83" s="20">
        <f t="shared" si="18"/>
        <v>16.071483192649005</v>
      </c>
      <c r="AI83" s="22"/>
    </row>
    <row r="84" spans="1:35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9"/>
        <v>11.041254384197659</v>
      </c>
      <c r="O84" s="7">
        <f t="shared" si="13"/>
        <v>5251.666666666667</v>
      </c>
      <c r="P84" s="7">
        <f t="shared" si="14"/>
        <v>5240.6254122824694</v>
      </c>
      <c r="Q84" s="7">
        <f t="shared" si="15"/>
        <v>2620.0420789491359</v>
      </c>
      <c r="R84" s="7">
        <f t="shared" si="16"/>
        <v>1627</v>
      </c>
      <c r="S84" s="7">
        <v>11430</v>
      </c>
      <c r="T84" s="7">
        <v>15442</v>
      </c>
      <c r="U84" s="7">
        <v>2114</v>
      </c>
      <c r="V84" s="7">
        <v>228130</v>
      </c>
      <c r="W84" s="7">
        <f t="shared" si="20"/>
        <v>214586</v>
      </c>
      <c r="X84" s="104">
        <f t="shared" si="21"/>
        <v>229540</v>
      </c>
      <c r="Y84" s="104"/>
      <c r="Z84" s="7">
        <v>0</v>
      </c>
      <c r="AB84" s="2">
        <v>1410</v>
      </c>
      <c r="AC84" s="104">
        <v>172650</v>
      </c>
      <c r="AD84" s="104">
        <v>218398</v>
      </c>
      <c r="AE84" s="64">
        <f t="shared" si="22"/>
        <v>0</v>
      </c>
      <c r="AF84" s="64">
        <f t="shared" si="23"/>
        <v>4.1964670006135593E-3</v>
      </c>
      <c r="AG84" s="20">
        <f t="shared" si="17"/>
        <v>0</v>
      </c>
      <c r="AH84" s="20">
        <f t="shared" si="18"/>
        <v>11.041254384197659</v>
      </c>
      <c r="AI84" s="22"/>
    </row>
    <row r="85" spans="1:35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9"/>
        <v>74.786124438838385</v>
      </c>
      <c r="O85" s="7">
        <f t="shared" si="13"/>
        <v>5286.0833333333339</v>
      </c>
      <c r="P85" s="7">
        <f t="shared" si="14"/>
        <v>5211.2972088944953</v>
      </c>
      <c r="Q85" s="7">
        <f t="shared" si="15"/>
        <v>2665.4638754855159</v>
      </c>
      <c r="R85" s="7">
        <f t="shared" si="16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7">
        <f t="shared" si="20"/>
        <v>205580</v>
      </c>
      <c r="X85" s="104">
        <f t="shared" si="21"/>
        <v>223857</v>
      </c>
      <c r="Y85" s="104"/>
      <c r="Z85" s="7">
        <v>5468</v>
      </c>
      <c r="AB85" s="2">
        <v>4026</v>
      </c>
      <c r="AC85" s="104">
        <v>176260</v>
      </c>
      <c r="AD85" s="104">
        <v>214291</v>
      </c>
      <c r="AE85" s="64">
        <f t="shared" si="22"/>
        <v>2.8540565074322025E-2</v>
      </c>
      <c r="AF85" s="64">
        <f t="shared" si="23"/>
        <v>1.2211898773163596E-2</v>
      </c>
      <c r="AG85" s="20">
        <f t="shared" si="17"/>
        <v>41.833333257687507</v>
      </c>
      <c r="AH85" s="20">
        <f t="shared" si="18"/>
        <v>32.952791181150872</v>
      </c>
      <c r="AI85" s="22"/>
    </row>
    <row r="86" spans="1:35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9"/>
        <v>80.625784270042303</v>
      </c>
      <c r="O86" s="7">
        <f t="shared" si="13"/>
        <v>4191.4166666666661</v>
      </c>
      <c r="P86" s="7">
        <f t="shared" si="14"/>
        <v>4110.7908823966245</v>
      </c>
      <c r="Q86" s="7">
        <f t="shared" si="15"/>
        <v>2054.9506960700273</v>
      </c>
      <c r="R86" s="7">
        <f t="shared" si="16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7">
        <f t="shared" si="20"/>
        <v>166310</v>
      </c>
      <c r="X86" s="104">
        <f t="shared" si="21"/>
        <v>188537</v>
      </c>
      <c r="Y86" s="104"/>
      <c r="Z86" s="7">
        <v>3154</v>
      </c>
      <c r="AB86" s="2">
        <v>7466</v>
      </c>
      <c r="AC86" s="104">
        <v>119897</v>
      </c>
      <c r="AD86" s="104">
        <v>181986</v>
      </c>
      <c r="AE86" s="64">
        <f t="shared" si="22"/>
        <v>2.4201439568963361E-2</v>
      </c>
      <c r="AF86" s="64">
        <f t="shared" si="23"/>
        <v>2.6666336970975788E-2</v>
      </c>
      <c r="AG86" s="20">
        <f t="shared" si="17"/>
        <v>24.326480340069669</v>
      </c>
      <c r="AH86" s="20">
        <f t="shared" si="18"/>
        <v>56.299303929972631</v>
      </c>
      <c r="AI86" s="22"/>
    </row>
    <row r="87" spans="1:35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9"/>
        <v>64.510522184091329</v>
      </c>
      <c r="O87" s="7">
        <f t="shared" si="13"/>
        <v>3247.5833333333339</v>
      </c>
      <c r="P87" s="7">
        <f t="shared" si="14"/>
        <v>3183.0728111492426</v>
      </c>
      <c r="Q87" s="7">
        <f t="shared" si="15"/>
        <v>1292.2427417040687</v>
      </c>
      <c r="R87" s="7">
        <f t="shared" si="16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7">
        <f t="shared" si="20"/>
        <v>109142</v>
      </c>
      <c r="X87" s="104">
        <f t="shared" si="21"/>
        <v>125341</v>
      </c>
      <c r="Y87" s="104"/>
      <c r="Z87" s="7">
        <v>4107</v>
      </c>
      <c r="AB87" s="2">
        <v>4641</v>
      </c>
      <c r="AC87" s="104">
        <v>95231</v>
      </c>
      <c r="AD87" s="104">
        <v>119647</v>
      </c>
      <c r="AE87" s="64">
        <f t="shared" si="22"/>
        <v>3.967657590490492E-2</v>
      </c>
      <c r="AF87" s="64">
        <f t="shared" si="23"/>
        <v>2.5212918000451327E-2</v>
      </c>
      <c r="AG87" s="20">
        <f t="shared" si="17"/>
        <v>31.086597221493005</v>
      </c>
      <c r="AH87" s="20">
        <f t="shared" si="18"/>
        <v>33.423924962598321</v>
      </c>
      <c r="AI87" s="22"/>
    </row>
    <row r="88" spans="1:35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9"/>
        <v>46.904084053732461</v>
      </c>
      <c r="O88" s="7">
        <f t="shared" si="13"/>
        <v>3195.9166666666665</v>
      </c>
      <c r="P88" s="7">
        <f t="shared" si="14"/>
        <v>3149.0125826129342</v>
      </c>
      <c r="Q88" s="7">
        <f t="shared" si="15"/>
        <v>1230.9292492796008</v>
      </c>
      <c r="R88" s="7">
        <f t="shared" si="16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7">
        <f t="shared" si="20"/>
        <v>81560</v>
      </c>
      <c r="X88" s="104">
        <f t="shared" si="21"/>
        <v>95520</v>
      </c>
      <c r="Y88" s="104"/>
      <c r="Z88" s="7">
        <v>0</v>
      </c>
      <c r="AB88" s="2">
        <v>5252</v>
      </c>
      <c r="AC88" s="104">
        <v>63408</v>
      </c>
      <c r="AD88" s="104">
        <v>93004</v>
      </c>
      <c r="AE88" s="64">
        <f t="shared" si="22"/>
        <v>0</v>
      </c>
      <c r="AF88" s="64">
        <f t="shared" si="23"/>
        <v>3.6705948131263176E-2</v>
      </c>
      <c r="AG88" s="20">
        <f t="shared" si="17"/>
        <v>0</v>
      </c>
      <c r="AH88" s="20">
        <f t="shared" si="18"/>
        <v>46.904084053732461</v>
      </c>
      <c r="AI88" s="22"/>
    </row>
    <row r="89" spans="1:35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9"/>
        <v>3.3634524247722464</v>
      </c>
      <c r="O89" s="7">
        <f t="shared" si="13"/>
        <v>869.75</v>
      </c>
      <c r="P89" s="7">
        <f t="shared" si="14"/>
        <v>866.38654757522784</v>
      </c>
      <c r="Q89" s="7">
        <f t="shared" si="15"/>
        <v>425.88654757522772</v>
      </c>
      <c r="R89" s="7">
        <f t="shared" si="16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7">
        <f t="shared" si="20"/>
        <v>31815</v>
      </c>
      <c r="X89" s="104">
        <f t="shared" si="21"/>
        <v>34156</v>
      </c>
      <c r="Y89" s="104"/>
      <c r="Z89" s="7">
        <v>0</v>
      </c>
      <c r="AB89" s="2">
        <v>393</v>
      </c>
      <c r="AC89" s="104">
        <v>27247</v>
      </c>
      <c r="AD89" s="104">
        <v>32601</v>
      </c>
      <c r="AE89" s="64">
        <f t="shared" si="22"/>
        <v>0</v>
      </c>
      <c r="AF89" s="64">
        <f t="shared" si="23"/>
        <v>7.8356492132143196E-3</v>
      </c>
      <c r="AG89" s="20">
        <f t="shared" si="17"/>
        <v>0</v>
      </c>
      <c r="AH89" s="20">
        <f t="shared" si="18"/>
        <v>3.3634524247722464</v>
      </c>
      <c r="AI89" s="22"/>
    </row>
    <row r="90" spans="1:35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9"/>
        <v>0</v>
      </c>
      <c r="O90" s="7">
        <f t="shared" si="13"/>
        <v>0</v>
      </c>
      <c r="P90" s="7">
        <f t="shared" si="14"/>
        <v>0</v>
      </c>
      <c r="Q90" s="7">
        <f t="shared" si="15"/>
        <v>0</v>
      </c>
      <c r="R90" s="7">
        <f t="shared" si="16"/>
        <v>0</v>
      </c>
      <c r="T90" s="7"/>
      <c r="U90" s="7"/>
      <c r="V90" s="7"/>
      <c r="W90" s="7">
        <f t="shared" si="20"/>
        <v>0</v>
      </c>
      <c r="X90" s="104">
        <f t="shared" si="21"/>
        <v>0</v>
      </c>
      <c r="Y90" s="104"/>
      <c r="Z90" s="7">
        <v>0</v>
      </c>
      <c r="AB90" s="2">
        <v>0</v>
      </c>
      <c r="AC90" s="104">
        <v>0</v>
      </c>
      <c r="AD90" s="104">
        <v>0</v>
      </c>
      <c r="AE90" s="64" t="e">
        <f t="shared" si="22"/>
        <v>#DIV/0!</v>
      </c>
      <c r="AF90" s="64"/>
      <c r="AG90" s="20"/>
      <c r="AH90" s="20"/>
      <c r="AI90" s="22"/>
    </row>
    <row r="91" spans="1:35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9"/>
        <v>0</v>
      </c>
      <c r="O91" s="7">
        <f t="shared" si="13"/>
        <v>0</v>
      </c>
      <c r="P91" s="7">
        <f t="shared" si="14"/>
        <v>0</v>
      </c>
      <c r="Q91" s="7">
        <f t="shared" si="15"/>
        <v>0</v>
      </c>
      <c r="R91" s="7">
        <f t="shared" si="16"/>
        <v>0</v>
      </c>
      <c r="T91" s="7"/>
      <c r="U91" s="7"/>
      <c r="V91" s="7"/>
      <c r="W91" s="7">
        <f t="shared" si="20"/>
        <v>0</v>
      </c>
      <c r="X91" s="104">
        <f t="shared" si="21"/>
        <v>0</v>
      </c>
      <c r="Y91" s="104"/>
      <c r="Z91" s="7">
        <v>0</v>
      </c>
      <c r="AB91" s="2">
        <v>0</v>
      </c>
      <c r="AC91" s="104">
        <v>0</v>
      </c>
      <c r="AD91" s="104">
        <v>0</v>
      </c>
      <c r="AE91" s="64" t="e">
        <f t="shared" si="22"/>
        <v>#DIV/0!</v>
      </c>
      <c r="AF91" s="64"/>
      <c r="AG91" s="20"/>
      <c r="AH91" s="20"/>
      <c r="AI91" s="22"/>
    </row>
    <row r="92" spans="1:35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9"/>
        <v>0</v>
      </c>
      <c r="O92" s="7">
        <f t="shared" si="13"/>
        <v>0</v>
      </c>
      <c r="P92" s="7">
        <f t="shared" si="14"/>
        <v>0</v>
      </c>
      <c r="Q92" s="7">
        <f t="shared" si="15"/>
        <v>0</v>
      </c>
      <c r="R92" s="7">
        <f t="shared" si="16"/>
        <v>0</v>
      </c>
      <c r="T92" s="7"/>
      <c r="U92" s="7"/>
      <c r="W92" s="7">
        <f t="shared" si="20"/>
        <v>0</v>
      </c>
      <c r="X92" s="104">
        <f t="shared" si="21"/>
        <v>0</v>
      </c>
      <c r="Y92" s="104"/>
      <c r="Z92" s="7">
        <v>0</v>
      </c>
      <c r="AB92" s="2">
        <v>0</v>
      </c>
      <c r="AC92" s="104">
        <v>0</v>
      </c>
      <c r="AD92" s="104">
        <v>0</v>
      </c>
      <c r="AE92" s="64" t="e">
        <f t="shared" si="22"/>
        <v>#DIV/0!</v>
      </c>
      <c r="AF92" s="64"/>
      <c r="AG92" s="20"/>
      <c r="AH92" s="20"/>
      <c r="AI92" s="22"/>
    </row>
    <row r="93" spans="1:35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9"/>
        <v>38.716496967922119</v>
      </c>
      <c r="O93" s="7">
        <f t="shared" si="13"/>
        <v>2833.083333333333</v>
      </c>
      <c r="P93" s="7">
        <f t="shared" si="14"/>
        <v>2794.3668363654115</v>
      </c>
      <c r="Q93" s="7">
        <f t="shared" si="15"/>
        <v>1041.2001696987447</v>
      </c>
      <c r="R93" s="7">
        <f t="shared" si="16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si="20"/>
        <v>132281</v>
      </c>
      <c r="X93" s="104">
        <f t="shared" si="21"/>
        <v>151135</v>
      </c>
      <c r="Y93" s="104"/>
      <c r="Z93" s="7">
        <v>0</v>
      </c>
      <c r="AB93" s="2">
        <v>7722</v>
      </c>
      <c r="AC93" s="104">
        <v>182899</v>
      </c>
      <c r="AD93" s="104">
        <v>140003</v>
      </c>
      <c r="AE93" s="64">
        <f t="shared" si="22"/>
        <v>0</v>
      </c>
      <c r="AF93" s="64">
        <f t="shared" si="23"/>
        <v>3.5851374613401141E-2</v>
      </c>
      <c r="AG93" s="20">
        <f t="shared" si="17"/>
        <v>0</v>
      </c>
      <c r="AH93" s="20">
        <f t="shared" si="18"/>
        <v>38.716496967922119</v>
      </c>
      <c r="AI93" s="22"/>
    </row>
    <row r="94" spans="1:35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9"/>
        <v>87.192158998192326</v>
      </c>
      <c r="O94" s="7">
        <f t="shared" si="13"/>
        <v>3679.4166666666665</v>
      </c>
      <c r="P94" s="7">
        <f t="shared" si="14"/>
        <v>3592.2245076684744</v>
      </c>
      <c r="Q94" s="7">
        <f t="shared" si="15"/>
        <v>1601.3989680685359</v>
      </c>
      <c r="R94" s="7">
        <f t="shared" si="16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0"/>
        <v>163506</v>
      </c>
      <c r="X94" s="104">
        <f t="shared" si="21"/>
        <v>181697</v>
      </c>
      <c r="Y94" s="104"/>
      <c r="Z94" s="7">
        <v>6090</v>
      </c>
      <c r="AB94" s="2">
        <v>5982</v>
      </c>
      <c r="AC94" s="104">
        <v>106267</v>
      </c>
      <c r="AD94" s="104">
        <v>169488</v>
      </c>
      <c r="AE94" s="64">
        <f t="shared" si="22"/>
        <v>5.272379948619986E-2</v>
      </c>
      <c r="AF94" s="64">
        <f t="shared" si="23"/>
        <v>2.2941447182101386E-2</v>
      </c>
      <c r="AG94" s="20">
        <f t="shared" si="17"/>
        <v>49.591127066728149</v>
      </c>
      <c r="AH94" s="20">
        <f t="shared" si="18"/>
        <v>37.601031931464171</v>
      </c>
      <c r="AI94" s="22"/>
    </row>
    <row r="95" spans="1:35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9"/>
        <v>28.626748872534982</v>
      </c>
      <c r="O95" s="7">
        <f t="shared" si="13"/>
        <v>3130.25</v>
      </c>
      <c r="P95" s="7">
        <f t="shared" si="14"/>
        <v>3101.6232511274652</v>
      </c>
      <c r="Q95" s="7">
        <f t="shared" si="15"/>
        <v>1133.4565844607985</v>
      </c>
      <c r="R95" s="7">
        <f t="shared" si="16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0"/>
        <v>110862</v>
      </c>
      <c r="X95" s="104">
        <f t="shared" si="21"/>
        <v>124201</v>
      </c>
      <c r="Y95" s="104"/>
      <c r="Z95" s="7">
        <v>0</v>
      </c>
      <c r="AB95" s="2">
        <v>4367</v>
      </c>
      <c r="AC95" s="104">
        <v>75019</v>
      </c>
      <c r="AD95" s="104">
        <v>115229</v>
      </c>
      <c r="AE95" s="64">
        <f t="shared" si="22"/>
        <v>0</v>
      </c>
      <c r="AF95" s="64">
        <f t="shared" si="23"/>
        <v>2.4633989707452116E-2</v>
      </c>
      <c r="AG95" s="20">
        <f t="shared" si="17"/>
        <v>0</v>
      </c>
      <c r="AH95" s="20">
        <f t="shared" si="18"/>
        <v>28.626748872534982</v>
      </c>
      <c r="AI95" s="22"/>
    </row>
    <row r="96" spans="1:35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9"/>
        <v>16.708814413326127</v>
      </c>
      <c r="O96" s="7">
        <f t="shared" si="13"/>
        <v>2021.8333333333333</v>
      </c>
      <c r="P96" s="7">
        <f t="shared" si="14"/>
        <v>2005.1245189200074</v>
      </c>
      <c r="Q96" s="7">
        <f t="shared" si="15"/>
        <v>856.54118558667392</v>
      </c>
      <c r="R96" s="7">
        <f t="shared" si="16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0"/>
        <v>91593</v>
      </c>
      <c r="X96" s="104">
        <f t="shared" si="21"/>
        <v>99036</v>
      </c>
      <c r="Y96" s="104"/>
      <c r="Z96" s="7">
        <v>0</v>
      </c>
      <c r="AB96" s="2">
        <v>2778</v>
      </c>
      <c r="AC96" s="104">
        <v>65877</v>
      </c>
      <c r="AD96" s="104">
        <v>94371</v>
      </c>
      <c r="AE96" s="64">
        <f t="shared" si="22"/>
        <v>0</v>
      </c>
      <c r="AF96" s="64">
        <f t="shared" si="23"/>
        <v>1.9134056012970087E-2</v>
      </c>
      <c r="AG96" s="20">
        <f t="shared" si="17"/>
        <v>0</v>
      </c>
      <c r="AH96" s="20">
        <f t="shared" si="18"/>
        <v>16.708814413326127</v>
      </c>
      <c r="AI96" s="22"/>
    </row>
    <row r="97" spans="1:35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9"/>
        <v>14.677903999443878</v>
      </c>
      <c r="O97" s="7">
        <f t="shared" si="13"/>
        <v>1779.9166666666665</v>
      </c>
      <c r="P97" s="7">
        <f t="shared" si="14"/>
        <v>1765.2387626672228</v>
      </c>
      <c r="Q97" s="7">
        <f t="shared" si="15"/>
        <v>682.4054293338894</v>
      </c>
      <c r="R97" s="7">
        <f t="shared" si="16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0"/>
        <v>62637</v>
      </c>
      <c r="X97" s="104">
        <f t="shared" si="21"/>
        <v>70587</v>
      </c>
      <c r="Y97" s="104"/>
      <c r="Z97" s="7">
        <v>0</v>
      </c>
      <c r="AB97" s="2">
        <v>2097</v>
      </c>
      <c r="AC97" s="104">
        <v>74151</v>
      </c>
      <c r="AD97" s="104">
        <v>64734</v>
      </c>
      <c r="AE97" s="64">
        <f t="shared" si="22"/>
        <v>0</v>
      </c>
      <c r="AF97" s="64">
        <f t="shared" si="23"/>
        <v>2.1056168319584765E-2</v>
      </c>
      <c r="AG97" s="20">
        <f t="shared" si="17"/>
        <v>0</v>
      </c>
      <c r="AH97" s="20">
        <f t="shared" si="18"/>
        <v>14.677903999443878</v>
      </c>
      <c r="AI97" s="22"/>
    </row>
    <row r="98" spans="1:35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9"/>
        <v>17.345494747503295</v>
      </c>
      <c r="O98" s="7">
        <f t="shared" si="13"/>
        <v>2980.333333333333</v>
      </c>
      <c r="P98" s="7">
        <f t="shared" si="14"/>
        <v>2962.9878385858296</v>
      </c>
      <c r="Q98" s="7">
        <f t="shared" si="15"/>
        <v>1134.5711719191631</v>
      </c>
      <c r="R98" s="7">
        <f t="shared" si="16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0"/>
        <v>89857</v>
      </c>
      <c r="X98" s="104">
        <f t="shared" si="21"/>
        <v>101993</v>
      </c>
      <c r="Y98" s="104"/>
      <c r="Z98" s="7">
        <v>0</v>
      </c>
      <c r="AB98" s="2">
        <v>2131</v>
      </c>
      <c r="AC98" s="104">
        <v>110181</v>
      </c>
      <c r="AD98" s="104">
        <v>91988</v>
      </c>
      <c r="AE98" s="64">
        <f t="shared" si="22"/>
        <v>0</v>
      </c>
      <c r="AF98" s="64">
        <f t="shared" si="23"/>
        <v>1.5057942340305257E-2</v>
      </c>
      <c r="AG98" s="20">
        <f t="shared" si="17"/>
        <v>0</v>
      </c>
      <c r="AH98" s="20">
        <f t="shared" si="18"/>
        <v>17.345494747503295</v>
      </c>
      <c r="AI98" s="22"/>
    </row>
    <row r="99" spans="1:35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9"/>
        <v>12.800877224369067</v>
      </c>
      <c r="O99" s="7">
        <f t="shared" si="13"/>
        <v>2928.9166666666665</v>
      </c>
      <c r="P99" s="7">
        <f t="shared" si="14"/>
        <v>2916.1157894422977</v>
      </c>
      <c r="Q99" s="7">
        <f t="shared" si="15"/>
        <v>1139.8657894422977</v>
      </c>
      <c r="R99" s="7">
        <f t="shared" si="16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0"/>
        <v>109882</v>
      </c>
      <c r="X99" s="104">
        <f t="shared" si="21"/>
        <v>119643</v>
      </c>
      <c r="Y99" s="104"/>
      <c r="Z99" s="7">
        <v>0</v>
      </c>
      <c r="AB99" s="2">
        <v>1910</v>
      </c>
      <c r="AC99" s="104">
        <v>103249</v>
      </c>
      <c r="AD99" s="104">
        <v>111792</v>
      </c>
      <c r="AE99" s="64">
        <f t="shared" si="22"/>
        <v>0</v>
      </c>
      <c r="AF99" s="64">
        <f t="shared" si="23"/>
        <v>1.1105445827966224E-2</v>
      </c>
      <c r="AG99" s="20">
        <f t="shared" si="17"/>
        <v>0</v>
      </c>
      <c r="AH99" s="20">
        <f t="shared" si="18"/>
        <v>12.800877224369067</v>
      </c>
      <c r="AI99" s="22"/>
    </row>
    <row r="100" spans="1:35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9"/>
        <v>182.25719959214069</v>
      </c>
      <c r="O100" s="7">
        <f t="shared" si="13"/>
        <v>2959.333333333333</v>
      </c>
      <c r="P100" s="7">
        <f t="shared" si="14"/>
        <v>2777.0761337411932</v>
      </c>
      <c r="Q100" s="7">
        <f t="shared" si="15"/>
        <v>1050.2269342494894</v>
      </c>
      <c r="R100" s="7">
        <f t="shared" si="16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0"/>
        <v>99143</v>
      </c>
      <c r="X100" s="104">
        <f t="shared" si="21"/>
        <v>120660</v>
      </c>
      <c r="Y100" s="104"/>
      <c r="Z100" s="7">
        <v>14118</v>
      </c>
      <c r="AB100" s="2">
        <v>14775</v>
      </c>
      <c r="AC100" s="104">
        <v>112795</v>
      </c>
      <c r="AD100" s="104">
        <v>113918</v>
      </c>
      <c r="AE100" s="64">
        <f t="shared" si="22"/>
        <v>0.11515191276209051</v>
      </c>
      <c r="AF100" s="64">
        <f t="shared" si="23"/>
        <v>8.4304060815674431E-2</v>
      </c>
      <c r="AG100" s="20">
        <f t="shared" si="17"/>
        <v>85.567467174963411</v>
      </c>
      <c r="AH100" s="20">
        <f t="shared" si="18"/>
        <v>96.689732417177268</v>
      </c>
      <c r="AI100" s="22"/>
    </row>
    <row r="101" spans="1:35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9"/>
        <v>89.424618463248663</v>
      </c>
      <c r="O101" s="7">
        <f t="shared" si="13"/>
        <v>3026.4166666666665</v>
      </c>
      <c r="P101" s="7">
        <f t="shared" si="14"/>
        <v>2936.9920482034177</v>
      </c>
      <c r="Q101" s="7">
        <f t="shared" si="15"/>
        <v>1313.1464968023329</v>
      </c>
      <c r="R101" s="7">
        <f t="shared" si="16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0"/>
        <v>103994</v>
      </c>
      <c r="X101" s="104">
        <f t="shared" si="21"/>
        <v>115500</v>
      </c>
      <c r="Y101" s="104"/>
      <c r="Z101" s="7">
        <v>11163</v>
      </c>
      <c r="AB101" s="2">
        <v>2542</v>
      </c>
      <c r="AC101" s="104">
        <v>111259</v>
      </c>
      <c r="AD101" s="104">
        <v>106536</v>
      </c>
      <c r="AE101" s="64">
        <f t="shared" si="22"/>
        <v>9.2306779676250922E-2</v>
      </c>
      <c r="AF101" s="64">
        <f t="shared" si="23"/>
        <v>1.550931140647293E-2</v>
      </c>
      <c r="AG101" s="20">
        <f t="shared" si="17"/>
        <v>68.737781932248183</v>
      </c>
      <c r="AH101" s="20">
        <f t="shared" si="18"/>
        <v>20.686836531000473</v>
      </c>
      <c r="AI101" s="22"/>
    </row>
    <row r="102" spans="1:35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9"/>
        <v>376.2184714607958</v>
      </c>
      <c r="O102" s="7">
        <f t="shared" si="13"/>
        <v>3527.5</v>
      </c>
      <c r="P102" s="7">
        <f t="shared" si="14"/>
        <v>3151.2815285392039</v>
      </c>
      <c r="Q102" s="7">
        <f t="shared" si="15"/>
        <v>1266.5138004246285</v>
      </c>
      <c r="R102" s="7">
        <f t="shared" si="16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0"/>
        <v>96270</v>
      </c>
      <c r="X102" s="104">
        <f t="shared" si="21"/>
        <v>117091</v>
      </c>
      <c r="Y102" s="104"/>
      <c r="Z102" s="7">
        <v>48367</v>
      </c>
      <c r="AB102" s="2">
        <v>13944</v>
      </c>
      <c r="AC102" s="104">
        <v>198157</v>
      </c>
      <c r="AD102" s="104">
        <v>110214</v>
      </c>
      <c r="AE102" s="64">
        <f t="shared" si="22"/>
        <v>0.2245574973379694</v>
      </c>
      <c r="AF102" s="64">
        <f t="shared" si="23"/>
        <v>8.2236376503892442E-2</v>
      </c>
      <c r="AG102" s="20">
        <f t="shared" si="17"/>
        <v>262.73227188542421</v>
      </c>
      <c r="AH102" s="20">
        <f t="shared" si="18"/>
        <v>113.48619957537157</v>
      </c>
      <c r="AI102" s="22"/>
    </row>
    <row r="103" spans="1:35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9"/>
        <v>78.999319952798515</v>
      </c>
      <c r="O103" s="7">
        <f t="shared" si="13"/>
        <v>2005.75</v>
      </c>
      <c r="P103" s="7">
        <f t="shared" si="14"/>
        <v>1926.7506800472015</v>
      </c>
      <c r="Q103" s="7">
        <f t="shared" si="15"/>
        <v>798.00068004720151</v>
      </c>
      <c r="R103" s="7">
        <f t="shared" si="16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0"/>
        <v>84679</v>
      </c>
      <c r="X103" s="104">
        <f t="shared" si="21"/>
        <v>100997</v>
      </c>
      <c r="Y103" s="104"/>
      <c r="Z103" s="7">
        <v>0</v>
      </c>
      <c r="AB103" s="2">
        <v>13623</v>
      </c>
      <c r="AC103" s="104">
        <v>58733</v>
      </c>
      <c r="AD103" s="104">
        <v>98302</v>
      </c>
      <c r="AE103" s="64">
        <f t="shared" si="22"/>
        <v>0</v>
      </c>
      <c r="AF103" s="64">
        <f t="shared" si="23"/>
        <v>9.0079042135460113E-2</v>
      </c>
      <c r="AG103" s="20">
        <f t="shared" si="17"/>
        <v>0</v>
      </c>
      <c r="AH103" s="20">
        <f t="shared" si="18"/>
        <v>78.999319952798515</v>
      </c>
      <c r="AI103" s="22"/>
    </row>
    <row r="104" spans="1:35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9"/>
        <v>11.341028347738119</v>
      </c>
      <c r="O104" s="7">
        <f t="shared" si="13"/>
        <v>1482.75</v>
      </c>
      <c r="P104" s="7">
        <f t="shared" si="14"/>
        <v>1471.4089716522619</v>
      </c>
      <c r="Q104" s="7">
        <f t="shared" si="15"/>
        <v>557.99230498559518</v>
      </c>
      <c r="R104" s="7">
        <f t="shared" si="16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0"/>
        <v>58770</v>
      </c>
      <c r="X104" s="104">
        <f t="shared" si="21"/>
        <v>66893</v>
      </c>
      <c r="Y104" s="104"/>
      <c r="Z104" s="7">
        <v>0</v>
      </c>
      <c r="AB104" s="2">
        <v>1858</v>
      </c>
      <c r="AC104" s="104">
        <v>70042</v>
      </c>
      <c r="AD104" s="104">
        <v>60628</v>
      </c>
      <c r="AE104" s="64">
        <f t="shared" si="22"/>
        <v>0</v>
      </c>
      <c r="AF104" s="64">
        <f t="shared" si="23"/>
        <v>1.9919839018275386E-2</v>
      </c>
      <c r="AG104" s="20">
        <f t="shared" si="17"/>
        <v>0</v>
      </c>
      <c r="AH104" s="20">
        <f t="shared" si="18"/>
        <v>11.341028347738119</v>
      </c>
      <c r="AI104" s="22"/>
    </row>
    <row r="105" spans="1:35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9"/>
        <v>253.69970859470905</v>
      </c>
      <c r="O105" s="7">
        <f t="shared" si="13"/>
        <v>3593.083333333333</v>
      </c>
      <c r="P105" s="7">
        <f t="shared" si="14"/>
        <v>3339.3836247386239</v>
      </c>
      <c r="Q105" s="7">
        <f t="shared" si="15"/>
        <v>1092.0860170858718</v>
      </c>
      <c r="R105" s="7">
        <f t="shared" si="16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0"/>
        <v>96571</v>
      </c>
      <c r="X105" s="104">
        <f t="shared" si="21"/>
        <v>146527</v>
      </c>
      <c r="Y105" s="104"/>
      <c r="Z105" s="7">
        <v>2014</v>
      </c>
      <c r="AB105" s="2">
        <v>36697</v>
      </c>
      <c r="AC105" s="104">
        <v>150778</v>
      </c>
      <c r="AD105" s="104">
        <v>133268</v>
      </c>
      <c r="AE105" s="64">
        <f t="shared" si="22"/>
        <v>1.228879544761172E-2</v>
      </c>
      <c r="AF105" s="64">
        <f t="shared" si="23"/>
        <v>0.17898557793318726</v>
      </c>
      <c r="AG105" s="20">
        <f t="shared" si="17"/>
        <v>15.619059013914496</v>
      </c>
      <c r="AH105" s="20">
        <f t="shared" si="18"/>
        <v>238.08064958079456</v>
      </c>
      <c r="AI105" s="22"/>
    </row>
    <row r="106" spans="1:35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9"/>
        <v>172.00740927759034</v>
      </c>
      <c r="O106" s="7">
        <f t="shared" si="13"/>
        <v>3937.333333333333</v>
      </c>
      <c r="P106" s="7">
        <f t="shared" si="14"/>
        <v>3765.3259240557431</v>
      </c>
      <c r="Q106" s="7">
        <f t="shared" si="15"/>
        <v>1636.181082520694</v>
      </c>
      <c r="R106" s="7">
        <f t="shared" si="16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0"/>
        <v>137241</v>
      </c>
      <c r="X106" s="104">
        <f t="shared" si="21"/>
        <v>146149</v>
      </c>
      <c r="Y106" s="104"/>
      <c r="Z106" s="7">
        <v>24208</v>
      </c>
      <c r="AB106" s="2">
        <v>1607</v>
      </c>
      <c r="AC106" s="104">
        <v>175065</v>
      </c>
      <c r="AD106" s="104">
        <v>138848</v>
      </c>
      <c r="AE106" s="64">
        <f t="shared" si="22"/>
        <v>0.12721766201125295</v>
      </c>
      <c r="AF106" s="64">
        <f t="shared" si="23"/>
        <v>7.522974763770454E-3</v>
      </c>
      <c r="AG106" s="20">
        <f t="shared" si="17"/>
        <v>159.6051584649511</v>
      </c>
      <c r="AH106" s="20">
        <f t="shared" si="18"/>
        <v>12.40225081263924</v>
      </c>
      <c r="AI106" s="22"/>
    </row>
    <row r="107" spans="1:35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9"/>
        <v>144.66315740304884</v>
      </c>
      <c r="O107" s="7">
        <f t="shared" si="13"/>
        <v>3643.083333333333</v>
      </c>
      <c r="P107" s="7">
        <f t="shared" si="14"/>
        <v>3498.4201759302841</v>
      </c>
      <c r="Q107" s="7">
        <f t="shared" si="15"/>
        <v>1701.5709605799977</v>
      </c>
      <c r="R107" s="7">
        <f t="shared" si="16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0"/>
        <v>137967</v>
      </c>
      <c r="X107" s="104">
        <f t="shared" si="21"/>
        <v>159848</v>
      </c>
      <c r="Y107" s="104"/>
      <c r="Z107" s="7">
        <v>5831</v>
      </c>
      <c r="AB107" s="2">
        <v>13183</v>
      </c>
      <c r="AC107" s="104">
        <v>106213</v>
      </c>
      <c r="AD107" s="104">
        <v>151150</v>
      </c>
      <c r="AE107" s="64">
        <f t="shared" si="22"/>
        <v>5.0507188385602524E-2</v>
      </c>
      <c r="AF107" s="64">
        <f t="shared" si="23"/>
        <v>5.6691696989745285E-2</v>
      </c>
      <c r="AG107" s="20">
        <f t="shared" si="17"/>
        <v>42.400784649713316</v>
      </c>
      <c r="AH107" s="20">
        <f t="shared" si="18"/>
        <v>102.26237275333553</v>
      </c>
      <c r="AI107" s="22"/>
    </row>
    <row r="108" spans="1:35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9"/>
        <v>453.9456427228198</v>
      </c>
      <c r="O108" s="7">
        <f t="shared" si="13"/>
        <v>3648.25</v>
      </c>
      <c r="P108" s="7">
        <f t="shared" si="14"/>
        <v>3194.3043572771799</v>
      </c>
      <c r="Q108" s="7">
        <f t="shared" si="15"/>
        <v>1511.6952933144776</v>
      </c>
      <c r="R108" s="7">
        <f t="shared" si="16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0"/>
        <v>131487</v>
      </c>
      <c r="X108" s="104">
        <f t="shared" si="21"/>
        <v>173715</v>
      </c>
      <c r="Y108" s="104"/>
      <c r="Z108" s="7">
        <v>42458</v>
      </c>
      <c r="AB108" s="2">
        <v>30799</v>
      </c>
      <c r="AC108" s="104">
        <v>180673</v>
      </c>
      <c r="AD108" s="104">
        <v>162286</v>
      </c>
      <c r="AE108" s="64">
        <f t="shared" si="22"/>
        <v>0.21619921072877521</v>
      </c>
      <c r="AF108" s="64">
        <f t="shared" si="23"/>
        <v>0.12335845359427185</v>
      </c>
      <c r="AG108" s="20">
        <f t="shared" si="17"/>
        <v>241.22426937063088</v>
      </c>
      <c r="AH108" s="20">
        <f t="shared" si="18"/>
        <v>212.72137335218892</v>
      </c>
      <c r="AI108" s="22"/>
    </row>
    <row r="109" spans="1:35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9"/>
        <v>298.0435643710519</v>
      </c>
      <c r="O109" s="7">
        <f t="shared" si="13"/>
        <v>3584.6666666666665</v>
      </c>
      <c r="P109" s="7">
        <f t="shared" si="14"/>
        <v>3286.6231022956144</v>
      </c>
      <c r="Q109" s="7">
        <f t="shared" si="15"/>
        <v>1581.3556058174036</v>
      </c>
      <c r="R109" s="7">
        <f t="shared" si="16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0"/>
        <v>117102</v>
      </c>
      <c r="X109" s="104">
        <f t="shared" si="21"/>
        <v>155339</v>
      </c>
      <c r="Y109" s="104"/>
      <c r="Z109" s="7">
        <v>4347</v>
      </c>
      <c r="AB109" s="2">
        <v>33664</v>
      </c>
      <c r="AC109" s="104">
        <v>115235</v>
      </c>
      <c r="AD109" s="104">
        <v>150766</v>
      </c>
      <c r="AE109" s="64">
        <f t="shared" si="22"/>
        <v>3.4705080921595001E-2</v>
      </c>
      <c r="AF109" s="64">
        <f t="shared" si="23"/>
        <v>0.14513617128530307</v>
      </c>
      <c r="AG109" s="20">
        <f t="shared" si="17"/>
        <v>29.565836855122139</v>
      </c>
      <c r="AH109" s="20">
        <f t="shared" si="18"/>
        <v>268.47772751592976</v>
      </c>
      <c r="AI109" s="22"/>
    </row>
    <row r="110" spans="1:35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9"/>
        <v>11.80335501894797</v>
      </c>
      <c r="O110" s="7">
        <f t="shared" si="13"/>
        <v>1907.5000000000002</v>
      </c>
      <c r="P110" s="7">
        <f t="shared" si="14"/>
        <v>1895.696644981052</v>
      </c>
      <c r="Q110" s="7">
        <f t="shared" si="15"/>
        <v>854.86331164771877</v>
      </c>
      <c r="R110" s="7">
        <f t="shared" si="16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0"/>
        <v>75697</v>
      </c>
      <c r="X110" s="104">
        <f t="shared" si="21"/>
        <v>82863</v>
      </c>
      <c r="Y110" s="104"/>
      <c r="Z110" s="7">
        <v>0</v>
      </c>
      <c r="AB110" s="2">
        <v>1620</v>
      </c>
      <c r="AC110" s="104">
        <v>67452</v>
      </c>
      <c r="AD110" s="104">
        <v>77317</v>
      </c>
      <c r="AE110" s="64">
        <f t="shared" si="22"/>
        <v>0</v>
      </c>
      <c r="AF110" s="64">
        <f t="shared" si="23"/>
        <v>1.3619255791093811E-2</v>
      </c>
      <c r="AG110" s="20">
        <f t="shared" si="17"/>
        <v>0</v>
      </c>
      <c r="AH110" s="20">
        <f t="shared" si="18"/>
        <v>11.80335501894797</v>
      </c>
      <c r="AI110" s="22"/>
    </row>
    <row r="111" spans="1:35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9"/>
        <v>13.727903133903135</v>
      </c>
      <c r="O111" s="7">
        <f t="shared" si="13"/>
        <v>1915.8333333333335</v>
      </c>
      <c r="P111" s="7">
        <f t="shared" si="14"/>
        <v>1902.1054301994302</v>
      </c>
      <c r="Q111" s="7">
        <f t="shared" si="15"/>
        <v>854.93876353276357</v>
      </c>
      <c r="R111" s="7">
        <f t="shared" si="16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0"/>
        <v>74201</v>
      </c>
      <c r="X111" s="104">
        <f t="shared" si="21"/>
        <v>83020</v>
      </c>
      <c r="Y111" s="104"/>
      <c r="Z111" s="7">
        <v>0</v>
      </c>
      <c r="AB111" s="2">
        <v>1849</v>
      </c>
      <c r="AC111" s="104">
        <v>91602</v>
      </c>
      <c r="AD111" s="104">
        <v>76050</v>
      </c>
      <c r="AE111" s="64">
        <f t="shared" si="22"/>
        <v>0</v>
      </c>
      <c r="AF111" s="64">
        <f t="shared" si="23"/>
        <v>1.5803418803418803E-2</v>
      </c>
      <c r="AG111" s="20">
        <f t="shared" si="17"/>
        <v>0</v>
      </c>
      <c r="AH111" s="20">
        <f t="shared" si="18"/>
        <v>13.727903133903135</v>
      </c>
      <c r="AI111" s="22"/>
    </row>
    <row r="112" spans="1:35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9"/>
        <v>21.518343253520914</v>
      </c>
      <c r="O112" s="7">
        <f t="shared" si="13"/>
        <v>3663.5</v>
      </c>
      <c r="P112" s="7">
        <f t="shared" si="14"/>
        <v>3641.9816567464786</v>
      </c>
      <c r="Q112" s="7">
        <f t="shared" si="15"/>
        <v>1596.3149900798123</v>
      </c>
      <c r="R112" s="7">
        <f t="shared" si="16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0"/>
        <v>108616</v>
      </c>
      <c r="X112" s="104">
        <f t="shared" si="21"/>
        <v>117436</v>
      </c>
      <c r="Y112" s="104"/>
      <c r="Z112" s="7">
        <v>0</v>
      </c>
      <c r="AB112" s="2">
        <v>2269</v>
      </c>
      <c r="AC112" s="104">
        <v>127305</v>
      </c>
      <c r="AD112" s="104">
        <v>110885</v>
      </c>
      <c r="AE112" s="64">
        <f t="shared" si="22"/>
        <v>0</v>
      </c>
      <c r="AF112" s="64">
        <f t="shared" si="23"/>
        <v>1.3300716959011588E-2</v>
      </c>
      <c r="AG112" s="20">
        <f t="shared" si="17"/>
        <v>0</v>
      </c>
      <c r="AH112" s="20">
        <f t="shared" si="18"/>
        <v>21.518343253520914</v>
      </c>
      <c r="AI112" s="22"/>
    </row>
    <row r="113" spans="1:35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9"/>
        <v>108.56106477897075</v>
      </c>
      <c r="O113" s="7">
        <f t="shared" si="13"/>
        <v>3372.3333333333335</v>
      </c>
      <c r="P113" s="7">
        <f t="shared" si="14"/>
        <v>3263.7722685543627</v>
      </c>
      <c r="Q113" s="7">
        <f t="shared" si="15"/>
        <v>1638.5854366280387</v>
      </c>
      <c r="R113" s="7">
        <f t="shared" si="16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0"/>
        <v>121063</v>
      </c>
      <c r="X113" s="104">
        <f t="shared" si="21"/>
        <v>129319</v>
      </c>
      <c r="Y113" s="104"/>
      <c r="Z113" s="7">
        <v>12976</v>
      </c>
      <c r="AB113" s="2">
        <v>2509</v>
      </c>
      <c r="AC113" s="104">
        <v>104240</v>
      </c>
      <c r="AD113" s="104">
        <v>123572</v>
      </c>
      <c r="AE113" s="64">
        <f t="shared" si="22"/>
        <v>0.11452340752110514</v>
      </c>
      <c r="AF113" s="64">
        <f t="shared" si="23"/>
        <v>1.3197569028582528E-2</v>
      </c>
      <c r="AG113" s="20">
        <f t="shared" si="17"/>
        <v>86.646501407009467</v>
      </c>
      <c r="AH113" s="20">
        <f t="shared" si="18"/>
        <v>21.914563371961286</v>
      </c>
      <c r="AI113" s="22"/>
    </row>
    <row r="114" spans="1:35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9"/>
        <v>5.5136454965442585</v>
      </c>
      <c r="O114" s="7">
        <f t="shared" si="13"/>
        <v>655.59999999999991</v>
      </c>
      <c r="P114" s="7">
        <f t="shared" si="14"/>
        <v>650.08635450345571</v>
      </c>
      <c r="Q114" s="7">
        <f t="shared" si="15"/>
        <v>345.20601790090899</v>
      </c>
      <c r="R114" s="7">
        <f t="shared" si="16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0"/>
        <v>31484</v>
      </c>
      <c r="X114" s="104">
        <f t="shared" si="21"/>
        <v>33313</v>
      </c>
      <c r="Y114" s="104"/>
      <c r="Z114" s="7">
        <v>36</v>
      </c>
      <c r="AB114" s="2">
        <v>749</v>
      </c>
      <c r="AC114" s="104">
        <v>18455</v>
      </c>
      <c r="AD114" s="104">
        <v>32233</v>
      </c>
      <c r="AE114" s="64">
        <f t="shared" si="22"/>
        <v>1.7946356001083718E-3</v>
      </c>
      <c r="AF114" s="64">
        <f t="shared" si="23"/>
        <v>1.5104085874724662E-2</v>
      </c>
      <c r="AG114" s="20">
        <f t="shared" si="17"/>
        <v>0.21966339745326452</v>
      </c>
      <c r="AH114" s="20">
        <f t="shared" si="18"/>
        <v>5.2939820990909938</v>
      </c>
      <c r="AI114" s="22"/>
    </row>
    <row r="115" spans="1:35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9"/>
        <v>0</v>
      </c>
      <c r="O115" s="7">
        <f t="shared" si="13"/>
        <v>0</v>
      </c>
      <c r="P115" s="7">
        <f t="shared" si="14"/>
        <v>0</v>
      </c>
      <c r="Q115" s="7">
        <f t="shared" si="15"/>
        <v>0</v>
      </c>
      <c r="R115" s="7">
        <f t="shared" si="16"/>
        <v>0</v>
      </c>
      <c r="T115" s="7"/>
      <c r="U115" s="7"/>
      <c r="V115" s="7"/>
      <c r="W115" s="7">
        <f t="shared" si="20"/>
        <v>0</v>
      </c>
      <c r="X115" s="104">
        <f t="shared" si="21"/>
        <v>0</v>
      </c>
      <c r="Y115" s="104"/>
      <c r="Z115" s="7">
        <v>0</v>
      </c>
      <c r="AB115" s="2">
        <v>0</v>
      </c>
      <c r="AC115" s="104">
        <v>0</v>
      </c>
      <c r="AD115" s="104">
        <v>0</v>
      </c>
      <c r="AE115" s="64" t="e">
        <f t="shared" si="22"/>
        <v>#DIV/0!</v>
      </c>
      <c r="AF115" s="64"/>
      <c r="AG115" s="20"/>
      <c r="AH115" s="20"/>
      <c r="AI115" s="22"/>
    </row>
    <row r="116" spans="1:35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9"/>
        <v>37.241540907295004</v>
      </c>
      <c r="O116" s="7">
        <f t="shared" si="13"/>
        <v>4370.166666666667</v>
      </c>
      <c r="P116" s="7">
        <f t="shared" si="14"/>
        <v>4332.9251257593714</v>
      </c>
      <c r="Q116" s="7">
        <f t="shared" si="15"/>
        <v>1766.0602103500426</v>
      </c>
      <c r="R116" s="7">
        <f t="shared" si="16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si="20"/>
        <v>114107</v>
      </c>
      <c r="X116" s="104">
        <f t="shared" si="21"/>
        <v>124585</v>
      </c>
      <c r="Y116" s="104"/>
      <c r="Z116" s="7">
        <v>759</v>
      </c>
      <c r="AB116" s="2">
        <v>2936</v>
      </c>
      <c r="AC116" s="104">
        <v>147534</v>
      </c>
      <c r="AD116" s="104">
        <v>117043</v>
      </c>
      <c r="AE116" s="64">
        <f t="shared" si="22"/>
        <v>4.733010695839604E-3</v>
      </c>
      <c r="AF116" s="64">
        <f t="shared" si="23"/>
        <v>1.6305118631614022E-2</v>
      </c>
      <c r="AG116" s="20">
        <f t="shared" si="17"/>
        <v>7.9684179240039592</v>
      </c>
      <c r="AH116" s="20">
        <f t="shared" si="18"/>
        <v>29.273122983291042</v>
      </c>
      <c r="AI116" s="22"/>
    </row>
    <row r="117" spans="1:35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9"/>
        <v>201.26028657698481</v>
      </c>
      <c r="O117" s="7">
        <f t="shared" si="13"/>
        <v>4107</v>
      </c>
      <c r="P117" s="7">
        <f t="shared" si="14"/>
        <v>3905.7397134230155</v>
      </c>
      <c r="Q117" s="7">
        <f t="shared" si="15"/>
        <v>1810.72279547991</v>
      </c>
      <c r="R117" s="7">
        <f t="shared" si="16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0"/>
        <v>147341</v>
      </c>
      <c r="X117" s="104">
        <f t="shared" si="21"/>
        <v>159769</v>
      </c>
      <c r="Y117" s="104"/>
      <c r="Z117" s="7">
        <v>25960</v>
      </c>
      <c r="AB117" s="2">
        <v>2892</v>
      </c>
      <c r="AC117" s="104">
        <v>174509</v>
      </c>
      <c r="AD117" s="104">
        <v>150233</v>
      </c>
      <c r="AE117" s="64">
        <f t="shared" si="22"/>
        <v>0.13685941699281987</v>
      </c>
      <c r="AF117" s="64">
        <f t="shared" si="23"/>
        <v>1.2512563817536761E-2</v>
      </c>
      <c r="AG117" s="20">
        <f t="shared" si="17"/>
        <v>178.31641539022823</v>
      </c>
      <c r="AH117" s="20">
        <f t="shared" si="18"/>
        <v>22.943871186756574</v>
      </c>
      <c r="AI117" s="22"/>
    </row>
    <row r="118" spans="1:35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9"/>
        <v>26.001637279098972</v>
      </c>
      <c r="O118" s="7">
        <f t="shared" si="13"/>
        <v>2919.166666666667</v>
      </c>
      <c r="P118" s="7">
        <f t="shared" si="14"/>
        <v>2893.1650293875678</v>
      </c>
      <c r="Q118" s="7">
        <f t="shared" si="15"/>
        <v>1363.0259354132118</v>
      </c>
      <c r="R118" s="7">
        <f t="shared" si="16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0"/>
        <v>124905</v>
      </c>
      <c r="X118" s="104">
        <f t="shared" si="21"/>
        <v>137155</v>
      </c>
      <c r="Y118" s="104"/>
      <c r="Z118" s="7">
        <v>181</v>
      </c>
      <c r="AB118" s="2">
        <v>3532</v>
      </c>
      <c r="AC118" s="104">
        <v>87194</v>
      </c>
      <c r="AD118" s="104">
        <v>128437</v>
      </c>
      <c r="AE118" s="64">
        <f t="shared" si="22"/>
        <v>1.9097644333325688E-3</v>
      </c>
      <c r="AF118" s="64">
        <f t="shared" si="23"/>
        <v>1.7874911435178338E-2</v>
      </c>
      <c r="AG118" s="20">
        <f t="shared" si="17"/>
        <v>1.1942393589772997</v>
      </c>
      <c r="AH118" s="20">
        <f t="shared" si="18"/>
        <v>24.807397920121673</v>
      </c>
      <c r="AI118" s="22"/>
    </row>
    <row r="119" spans="1:35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9"/>
        <v>118.79215017370439</v>
      </c>
      <c r="O119" s="7">
        <f t="shared" si="13"/>
        <v>3076.25</v>
      </c>
      <c r="P119" s="7">
        <f t="shared" si="14"/>
        <v>2957.4578498262958</v>
      </c>
      <c r="Q119" s="7">
        <f t="shared" si="15"/>
        <v>1233.2911831596291</v>
      </c>
      <c r="R119" s="7">
        <f t="shared" si="16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0"/>
        <v>96588</v>
      </c>
      <c r="X119" s="104">
        <f t="shared" si="21"/>
        <v>118043</v>
      </c>
      <c r="Y119" s="104"/>
      <c r="Z119" s="7">
        <v>0</v>
      </c>
      <c r="AB119" s="2">
        <v>15096</v>
      </c>
      <c r="AC119" s="104">
        <v>104441</v>
      </c>
      <c r="AD119" s="104">
        <v>111684</v>
      </c>
      <c r="AE119" s="64">
        <f t="shared" si="22"/>
        <v>0</v>
      </c>
      <c r="AF119" s="64">
        <f t="shared" si="23"/>
        <v>8.7858601052970872E-2</v>
      </c>
      <c r="AG119" s="20">
        <f t="shared" si="17"/>
        <v>0</v>
      </c>
      <c r="AH119" s="20">
        <f t="shared" si="18"/>
        <v>118.79215017370439</v>
      </c>
      <c r="AI119" s="22"/>
    </row>
    <row r="120" spans="1:35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9"/>
        <v>164.99695468607044</v>
      </c>
      <c r="O120" s="7">
        <f t="shared" si="13"/>
        <v>3169.416666666667</v>
      </c>
      <c r="P120" s="7">
        <f t="shared" si="14"/>
        <v>3004.4197119805958</v>
      </c>
      <c r="Q120" s="7">
        <f t="shared" si="15"/>
        <v>1310.4071997941412</v>
      </c>
      <c r="R120" s="7">
        <f t="shared" si="16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0"/>
        <v>98359</v>
      </c>
      <c r="X120" s="104">
        <f t="shared" si="21"/>
        <v>118024</v>
      </c>
      <c r="Y120" s="104"/>
      <c r="Z120" s="7">
        <v>5975</v>
      </c>
      <c r="AB120" s="2">
        <v>15635</v>
      </c>
      <c r="AC120" s="104">
        <v>109753</v>
      </c>
      <c r="AD120" s="104">
        <v>113994</v>
      </c>
      <c r="AE120" s="64">
        <f t="shared" si="22"/>
        <v>5.0085191293176498E-2</v>
      </c>
      <c r="AF120" s="64">
        <f t="shared" si="23"/>
        <v>8.915162201519379E-2</v>
      </c>
      <c r="AG120" s="20">
        <f t="shared" si="17"/>
        <v>36.737487813544959</v>
      </c>
      <c r="AH120" s="20">
        <f t="shared" si="18"/>
        <v>128.25946687252548</v>
      </c>
      <c r="AI120" s="22"/>
    </row>
    <row r="121" spans="1:35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9"/>
        <v>233.23236884761451</v>
      </c>
      <c r="O121" s="7">
        <f t="shared" si="13"/>
        <v>3581.0833333333335</v>
      </c>
      <c r="P121" s="7">
        <f t="shared" si="14"/>
        <v>3347.850964485719</v>
      </c>
      <c r="Q121" s="7">
        <f t="shared" si="15"/>
        <v>1452.0703613686037</v>
      </c>
      <c r="R121" s="7">
        <f t="shared" si="16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0"/>
        <v>92032</v>
      </c>
      <c r="X121" s="104">
        <f t="shared" si="21"/>
        <v>113793</v>
      </c>
      <c r="Y121" s="104"/>
      <c r="Z121" s="7">
        <v>14669</v>
      </c>
      <c r="AB121" s="2">
        <v>14120</v>
      </c>
      <c r="AC121" s="104">
        <v>131981</v>
      </c>
      <c r="AD121" s="104">
        <v>106152</v>
      </c>
      <c r="AE121" s="64">
        <f t="shared" si="22"/>
        <v>0.10225320311256923</v>
      </c>
      <c r="AF121" s="64">
        <f t="shared" si="23"/>
        <v>8.6460923958097832E-2</v>
      </c>
      <c r="AG121" s="20">
        <f t="shared" si="17"/>
        <v>95.802730216217995</v>
      </c>
      <c r="AH121" s="20">
        <f t="shared" si="18"/>
        <v>137.42963863139653</v>
      </c>
      <c r="AI121" s="22"/>
    </row>
    <row r="122" spans="1:35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9"/>
        <v>0</v>
      </c>
      <c r="O122" s="7">
        <f t="shared" si="13"/>
        <v>0</v>
      </c>
      <c r="P122" s="7">
        <f t="shared" si="14"/>
        <v>0</v>
      </c>
      <c r="Q122" s="7">
        <f t="shared" si="15"/>
        <v>0</v>
      </c>
      <c r="R122" s="7">
        <f t="shared" si="16"/>
        <v>0</v>
      </c>
      <c r="T122" s="7"/>
      <c r="U122" s="7"/>
      <c r="V122" s="7"/>
      <c r="W122" s="7">
        <f t="shared" si="20"/>
        <v>0</v>
      </c>
      <c r="X122" s="104">
        <f t="shared" si="21"/>
        <v>0</v>
      </c>
      <c r="Y122" s="104"/>
      <c r="Z122" s="7">
        <v>0</v>
      </c>
      <c r="AB122" s="2">
        <v>0</v>
      </c>
      <c r="AC122" s="104">
        <v>0</v>
      </c>
      <c r="AD122" s="104">
        <v>0</v>
      </c>
      <c r="AE122" s="64" t="e">
        <f t="shared" si="22"/>
        <v>#DIV/0!</v>
      </c>
      <c r="AF122" s="64"/>
      <c r="AG122" s="20"/>
      <c r="AH122" s="20"/>
      <c r="AI122" s="22"/>
    </row>
    <row r="123" spans="1:35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9"/>
        <v>132.22516860416329</v>
      </c>
      <c r="O123" s="7">
        <f t="shared" si="13"/>
        <v>4170.333333333333</v>
      </c>
      <c r="P123" s="7">
        <f t="shared" si="14"/>
        <v>4038.1081647291703</v>
      </c>
      <c r="Q123" s="7">
        <f t="shared" si="15"/>
        <v>1753.6978774407253</v>
      </c>
      <c r="R123" s="7">
        <f t="shared" si="16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si="20"/>
        <v>137529</v>
      </c>
      <c r="X123" s="104">
        <f t="shared" si="21"/>
        <v>160525</v>
      </c>
      <c r="Y123" s="104"/>
      <c r="Z123" s="7">
        <v>246</v>
      </c>
      <c r="AB123" s="2">
        <v>16387</v>
      </c>
      <c r="AC123" s="104">
        <v>161719</v>
      </c>
      <c r="AD123" s="104">
        <v>153916</v>
      </c>
      <c r="AE123" s="64">
        <f t="shared" si="22"/>
        <v>1.3994645032432802E-3</v>
      </c>
      <c r="AF123" s="64">
        <f t="shared" si="23"/>
        <v>6.9203656539930866E-2</v>
      </c>
      <c r="AG123" s="20">
        <f t="shared" si="17"/>
        <v>1.8397127115552285</v>
      </c>
      <c r="AH123" s="20">
        <f t="shared" si="18"/>
        <v>130.38545589260806</v>
      </c>
      <c r="AI123" s="22"/>
    </row>
    <row r="124" spans="1:35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9"/>
        <v>23.205279052148661</v>
      </c>
      <c r="O124" s="7">
        <f t="shared" si="13"/>
        <v>2690.5833333333335</v>
      </c>
      <c r="P124" s="7">
        <f t="shared" si="14"/>
        <v>2667.3780542811846</v>
      </c>
      <c r="Q124" s="7">
        <f t="shared" si="15"/>
        <v>1318.0447209478514</v>
      </c>
      <c r="R124" s="7">
        <f t="shared" si="16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0"/>
        <v>115633</v>
      </c>
      <c r="X124" s="104">
        <f t="shared" si="21"/>
        <v>123501</v>
      </c>
      <c r="Y124" s="104"/>
      <c r="Z124" s="7">
        <v>0</v>
      </c>
      <c r="AB124" s="2">
        <v>3162</v>
      </c>
      <c r="AC124" s="104">
        <v>104226</v>
      </c>
      <c r="AD124" s="104">
        <v>118795</v>
      </c>
      <c r="AE124" s="64">
        <f t="shared" si="22"/>
        <v>0</v>
      </c>
      <c r="AF124" s="64">
        <f t="shared" si="23"/>
        <v>1.7301233216886234E-2</v>
      </c>
      <c r="AG124" s="20">
        <f t="shared" si="17"/>
        <v>0</v>
      </c>
      <c r="AH124" s="20">
        <f t="shared" si="18"/>
        <v>23.205279052148661</v>
      </c>
      <c r="AI124" s="22"/>
    </row>
    <row r="125" spans="1:35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9"/>
        <v>7.1975172564912064</v>
      </c>
      <c r="O125" s="7">
        <f t="shared" si="13"/>
        <v>1284.25</v>
      </c>
      <c r="P125" s="7">
        <f t="shared" si="14"/>
        <v>1277.0524827435088</v>
      </c>
      <c r="Q125" s="7">
        <f t="shared" si="15"/>
        <v>594.43276527570788</v>
      </c>
      <c r="R125" s="7">
        <f t="shared" si="16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0"/>
        <v>66199</v>
      </c>
      <c r="X125" s="104">
        <f t="shared" si="21"/>
        <v>74789</v>
      </c>
      <c r="Y125" s="104"/>
      <c r="Z125" s="7">
        <v>360</v>
      </c>
      <c r="AB125" s="2">
        <v>901</v>
      </c>
      <c r="AC125" s="104">
        <v>58542</v>
      </c>
      <c r="AD125" s="104">
        <v>67100</v>
      </c>
      <c r="AE125" s="64">
        <f t="shared" si="22"/>
        <v>5.657476683406785E-3</v>
      </c>
      <c r="AF125" s="64">
        <f t="shared" si="23"/>
        <v>8.7280178837555889E-3</v>
      </c>
      <c r="AG125" s="20">
        <f t="shared" si="17"/>
        <v>1.9636158655324383</v>
      </c>
      <c r="AH125" s="20">
        <f t="shared" si="18"/>
        <v>5.2339013909587679</v>
      </c>
      <c r="AI125" s="22"/>
    </row>
    <row r="126" spans="1:35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9"/>
        <v>277.23729497015438</v>
      </c>
      <c r="O126" s="7">
        <f t="shared" si="13"/>
        <v>4269</v>
      </c>
      <c r="P126" s="7">
        <f t="shared" si="14"/>
        <v>3991.7627050298452</v>
      </c>
      <c r="Q126" s="7">
        <f t="shared" si="15"/>
        <v>1836.6232717113703</v>
      </c>
      <c r="R126" s="7">
        <f t="shared" si="16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0"/>
        <v>145801</v>
      </c>
      <c r="X126" s="104">
        <f t="shared" si="21"/>
        <v>168460</v>
      </c>
      <c r="Y126" s="104"/>
      <c r="Z126" s="7">
        <v>20841</v>
      </c>
      <c r="AB126" s="2">
        <v>16303</v>
      </c>
      <c r="AC126" s="104">
        <v>188448</v>
      </c>
      <c r="AD126" s="104">
        <v>162104</v>
      </c>
      <c r="AE126" s="64">
        <f t="shared" si="22"/>
        <v>0.10174541518084565</v>
      </c>
      <c r="AF126" s="64">
        <f t="shared" si="23"/>
        <v>6.5371304841336422E-2</v>
      </c>
      <c r="AG126" s="20">
        <f t="shared" si="17"/>
        <v>148.77723334819154</v>
      </c>
      <c r="AH126" s="20">
        <f t="shared" si="18"/>
        <v>128.46006162196284</v>
      </c>
      <c r="AI126" s="22"/>
    </row>
    <row r="127" spans="1:35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9"/>
        <v>28.0195951716831</v>
      </c>
      <c r="O127" s="7">
        <f t="shared" si="13"/>
        <v>4087.5</v>
      </c>
      <c r="P127" s="7">
        <f t="shared" si="14"/>
        <v>4059.4804048283168</v>
      </c>
      <c r="Q127" s="7">
        <f t="shared" si="15"/>
        <v>1800.1470714949837</v>
      </c>
      <c r="R127" s="7">
        <f t="shared" si="16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0"/>
        <v>150525</v>
      </c>
      <c r="X127" s="104">
        <f t="shared" si="21"/>
        <v>165984</v>
      </c>
      <c r="Y127" s="104"/>
      <c r="Z127" s="7">
        <v>0</v>
      </c>
      <c r="AB127" s="2">
        <v>3635</v>
      </c>
      <c r="AC127" s="104">
        <v>161650</v>
      </c>
      <c r="AD127" s="104">
        <v>154160</v>
      </c>
      <c r="AE127" s="64">
        <f t="shared" si="22"/>
        <v>0</v>
      </c>
      <c r="AF127" s="64">
        <f t="shared" si="23"/>
        <v>1.5326608718214842E-2</v>
      </c>
      <c r="AG127" s="20">
        <f t="shared" si="17"/>
        <v>0</v>
      </c>
      <c r="AH127" s="20">
        <f t="shared" si="18"/>
        <v>28.0195951716831</v>
      </c>
      <c r="AI127" s="22"/>
    </row>
    <row r="128" spans="1:35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9"/>
        <v>52.319555991963782</v>
      </c>
      <c r="O128" s="7">
        <f t="shared" si="13"/>
        <v>4287.7499999999991</v>
      </c>
      <c r="P128" s="7">
        <f t="shared" si="14"/>
        <v>4235.4304440080359</v>
      </c>
      <c r="Q128" s="7">
        <f t="shared" si="15"/>
        <v>1936.7444001608867</v>
      </c>
      <c r="R128" s="7">
        <f t="shared" si="16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0"/>
        <v>162793</v>
      </c>
      <c r="X128" s="104">
        <f t="shared" si="21"/>
        <v>179698</v>
      </c>
      <c r="Y128" s="104"/>
      <c r="Z128" s="7">
        <v>1324</v>
      </c>
      <c r="AB128" s="2">
        <v>5441</v>
      </c>
      <c r="AC128" s="104">
        <v>162808</v>
      </c>
      <c r="AD128" s="104">
        <v>168234</v>
      </c>
      <c r="AE128" s="64">
        <f t="shared" si="22"/>
        <v>7.4816962311434329E-3</v>
      </c>
      <c r="AF128" s="64">
        <f t="shared" si="23"/>
        <v>2.1022207163831332E-2</v>
      </c>
      <c r="AG128" s="20">
        <f t="shared" si="17"/>
        <v>10.730622819517468</v>
      </c>
      <c r="AH128" s="20">
        <f t="shared" si="18"/>
        <v>41.58893317244631</v>
      </c>
      <c r="AI128" s="22"/>
    </row>
    <row r="129" spans="1:35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9"/>
        <v>12.021349401941158</v>
      </c>
      <c r="O129" s="7">
        <f t="shared" si="13"/>
        <v>4165.4166666666661</v>
      </c>
      <c r="P129" s="7">
        <f t="shared" si="14"/>
        <v>4153.3953172647252</v>
      </c>
      <c r="Q129" s="7">
        <f t="shared" si="15"/>
        <v>1936.7286505980589</v>
      </c>
      <c r="R129" s="7">
        <f t="shared" si="16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0"/>
        <v>156346</v>
      </c>
      <c r="X129" s="104">
        <f t="shared" si="21"/>
        <v>168583</v>
      </c>
      <c r="Y129" s="104"/>
      <c r="Z129" s="7">
        <v>0</v>
      </c>
      <c r="AB129" s="2">
        <v>1498</v>
      </c>
      <c r="AC129" s="104">
        <v>128509</v>
      </c>
      <c r="AD129" s="104">
        <v>157844</v>
      </c>
      <c r="AE129" s="64">
        <f t="shared" si="22"/>
        <v>0</v>
      </c>
      <c r="AF129" s="64">
        <f t="shared" si="23"/>
        <v>6.1687488913104082E-3</v>
      </c>
      <c r="AG129" s="20">
        <f t="shared" si="17"/>
        <v>0</v>
      </c>
      <c r="AH129" s="20">
        <f t="shared" si="18"/>
        <v>12.021349401941158</v>
      </c>
      <c r="AI129" s="22"/>
    </row>
    <row r="130" spans="1:35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9"/>
        <v>12.71145505352645</v>
      </c>
      <c r="O130" s="7">
        <f t="shared" ref="O130:O193" si="24">+B130+C130+D130+F130+I130+K130+J130</f>
        <v>4188.25</v>
      </c>
      <c r="P130" s="7">
        <f t="shared" ref="P130:P193" si="25">+B130+C130+D130+F130+J130+Q130+R130</f>
        <v>4175.5385449464738</v>
      </c>
      <c r="Q130" s="7">
        <f t="shared" ref="Q130:Q193" si="26">+I130-AH130</f>
        <v>1917.7885449464738</v>
      </c>
      <c r="R130" s="7">
        <f t="shared" ref="R130:R193" si="27">+K130-AG130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0"/>
        <v>163479</v>
      </c>
      <c r="X130" s="104">
        <f t="shared" si="21"/>
        <v>171544</v>
      </c>
      <c r="Y130" s="104"/>
      <c r="Z130" s="7">
        <v>0</v>
      </c>
      <c r="AB130" s="2">
        <v>1673</v>
      </c>
      <c r="AC130" s="104">
        <v>129422</v>
      </c>
      <c r="AD130" s="104">
        <v>165152</v>
      </c>
      <c r="AE130" s="64">
        <f t="shared" si="22"/>
        <v>0</v>
      </c>
      <c r="AF130" s="64">
        <f t="shared" si="23"/>
        <v>6.5845403022670029E-3</v>
      </c>
      <c r="AG130" s="20">
        <f t="shared" ref="AG130:AG193" si="28">+AE130*K130</f>
        <v>0</v>
      </c>
      <c r="AH130" s="20">
        <f t="shared" ref="AH130:AH193" si="29">+AF130*I130</f>
        <v>12.71145505352645</v>
      </c>
      <c r="AI130" s="22"/>
    </row>
    <row r="131" spans="1:35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0">+AH131+AG131</f>
        <v>12.578465597824007</v>
      </c>
      <c r="O131" s="7">
        <f t="shared" si="24"/>
        <v>2556</v>
      </c>
      <c r="P131" s="7">
        <f t="shared" si="25"/>
        <v>2543.4215344021759</v>
      </c>
      <c r="Q131" s="7">
        <f t="shared" si="26"/>
        <v>1430.3382010688426</v>
      </c>
      <c r="R131" s="7">
        <f t="shared" si="27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ref="W131:W194" si="31">+V131-U131-S131+AA131</f>
        <v>111596</v>
      </c>
      <c r="X131" s="104">
        <f t="shared" ref="X131:X194" si="32">+V131+AB131+AA131</f>
        <v>117670</v>
      </c>
      <c r="Y131" s="104"/>
      <c r="Z131" s="7">
        <v>0</v>
      </c>
      <c r="AB131" s="2">
        <v>1517</v>
      </c>
      <c r="AC131" s="104">
        <v>53347</v>
      </c>
      <c r="AD131" s="104">
        <v>113113</v>
      </c>
      <c r="AE131" s="64">
        <f t="shared" ref="AE131:AE194" si="33">+(Z131/AC131*0.92)</f>
        <v>0</v>
      </c>
      <c r="AF131" s="64">
        <f t="shared" ref="AF131:AF194" si="34">+(AB131/AD131*0.65)</f>
        <v>8.7173888058843813E-3</v>
      </c>
      <c r="AG131" s="20">
        <f t="shared" si="28"/>
        <v>0</v>
      </c>
      <c r="AH131" s="20">
        <f t="shared" si="29"/>
        <v>12.578465597824007</v>
      </c>
      <c r="AI131" s="22"/>
    </row>
    <row r="132" spans="1:35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0"/>
        <v>2.5198747659535283</v>
      </c>
      <c r="O132" s="7">
        <f t="shared" si="24"/>
        <v>1339.8333333333335</v>
      </c>
      <c r="P132" s="7">
        <f t="shared" si="25"/>
        <v>1337.3134585673797</v>
      </c>
      <c r="Q132" s="7">
        <f t="shared" si="26"/>
        <v>558.81345856737983</v>
      </c>
      <c r="R132" s="7">
        <f t="shared" si="27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31"/>
        <v>64708</v>
      </c>
      <c r="X132" s="104">
        <f t="shared" si="32"/>
        <v>69342</v>
      </c>
      <c r="Y132" s="104"/>
      <c r="Z132" s="7">
        <v>0</v>
      </c>
      <c r="AB132" s="2">
        <v>450</v>
      </c>
      <c r="AC132" s="104">
        <v>48145</v>
      </c>
      <c r="AD132" s="104">
        <v>65158</v>
      </c>
      <c r="AE132" s="64">
        <f t="shared" si="33"/>
        <v>0</v>
      </c>
      <c r="AF132" s="64">
        <f t="shared" si="34"/>
        <v>4.4890880628625802E-3</v>
      </c>
      <c r="AG132" s="20">
        <f t="shared" si="28"/>
        <v>0</v>
      </c>
      <c r="AH132" s="20">
        <f t="shared" si="29"/>
        <v>2.5198747659535283</v>
      </c>
      <c r="AI132" s="22"/>
    </row>
    <row r="133" spans="1:35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0"/>
        <v>135.8331133157761</v>
      </c>
      <c r="O133" s="7">
        <f t="shared" si="24"/>
        <v>5161.916666666667</v>
      </c>
      <c r="P133" s="7">
        <f t="shared" si="25"/>
        <v>5026.0835533508907</v>
      </c>
      <c r="Q133" s="7">
        <f t="shared" si="26"/>
        <v>2189.5835533508907</v>
      </c>
      <c r="R133" s="7">
        <f t="shared" si="27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31"/>
        <v>171757</v>
      </c>
      <c r="X133" s="104">
        <f t="shared" si="32"/>
        <v>200496</v>
      </c>
      <c r="Y133" s="104"/>
      <c r="Z133" s="7">
        <v>0</v>
      </c>
      <c r="AB133" s="2">
        <v>16959</v>
      </c>
      <c r="AC133" s="104">
        <v>155006</v>
      </c>
      <c r="AD133" s="104">
        <v>188716</v>
      </c>
      <c r="AE133" s="64">
        <f t="shared" si="33"/>
        <v>0</v>
      </c>
      <c r="AF133" s="64">
        <f t="shared" si="34"/>
        <v>5.8412376269102784E-2</v>
      </c>
      <c r="AG133" s="20">
        <f t="shared" si="28"/>
        <v>0</v>
      </c>
      <c r="AH133" s="20">
        <f t="shared" si="29"/>
        <v>135.8331133157761</v>
      </c>
      <c r="AI133" s="22"/>
    </row>
    <row r="134" spans="1:35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0"/>
        <v>18.920420564854201</v>
      </c>
      <c r="O134" s="7">
        <f t="shared" si="24"/>
        <v>4563.1666666666661</v>
      </c>
      <c r="P134" s="7">
        <f t="shared" si="25"/>
        <v>4544.2462461018122</v>
      </c>
      <c r="Q134" s="7">
        <f t="shared" si="26"/>
        <v>1800.7462461018124</v>
      </c>
      <c r="R134" s="7">
        <f t="shared" si="27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31"/>
        <v>138098</v>
      </c>
      <c r="X134" s="104">
        <f t="shared" si="32"/>
        <v>153713</v>
      </c>
      <c r="Y134" s="104"/>
      <c r="Z134" s="7">
        <v>0</v>
      </c>
      <c r="AB134" s="2">
        <v>2245</v>
      </c>
      <c r="AC134" s="104">
        <v>137152</v>
      </c>
      <c r="AD134" s="104">
        <v>140343</v>
      </c>
      <c r="AE134" s="64">
        <f t="shared" si="33"/>
        <v>0</v>
      </c>
      <c r="AF134" s="64">
        <f t="shared" si="34"/>
        <v>1.0397739823147574E-2</v>
      </c>
      <c r="AG134" s="20">
        <f t="shared" si="28"/>
        <v>0</v>
      </c>
      <c r="AH134" s="20">
        <f t="shared" si="29"/>
        <v>18.920420564854201</v>
      </c>
      <c r="AI134" s="22"/>
    </row>
    <row r="135" spans="1:35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0"/>
        <v>8.0779841898253295</v>
      </c>
      <c r="O135" s="7">
        <f t="shared" si="24"/>
        <v>4493.833333333333</v>
      </c>
      <c r="P135" s="7">
        <f t="shared" si="25"/>
        <v>4485.7553491435083</v>
      </c>
      <c r="Q135" s="7">
        <f t="shared" si="26"/>
        <v>1911.5142152173219</v>
      </c>
      <c r="R135" s="7">
        <f t="shared" si="27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31"/>
        <v>155781</v>
      </c>
      <c r="X135" s="104">
        <f t="shared" si="32"/>
        <v>167963</v>
      </c>
      <c r="Y135" s="104"/>
      <c r="Z135" s="7">
        <v>1</v>
      </c>
      <c r="AB135" s="2">
        <v>1014</v>
      </c>
      <c r="AC135" s="104">
        <v>157206</v>
      </c>
      <c r="AD135" s="104">
        <v>156795</v>
      </c>
      <c r="AE135" s="64">
        <f t="shared" si="33"/>
        <v>5.8521939366181956E-6</v>
      </c>
      <c r="AF135" s="64">
        <f t="shared" si="34"/>
        <v>4.2035779202142928E-3</v>
      </c>
      <c r="AG135" s="20">
        <f t="shared" si="28"/>
        <v>8.8660738139765653E-3</v>
      </c>
      <c r="AH135" s="20">
        <f t="shared" si="29"/>
        <v>8.069118116011353</v>
      </c>
      <c r="AI135" s="22"/>
    </row>
    <row r="136" spans="1:35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0"/>
        <v>11.35171591987757</v>
      </c>
      <c r="O136" s="7">
        <f t="shared" si="24"/>
        <v>4282</v>
      </c>
      <c r="P136" s="7">
        <f t="shared" si="25"/>
        <v>4270.6482840801227</v>
      </c>
      <c r="Q136" s="7">
        <f t="shared" si="26"/>
        <v>1901.481617413456</v>
      </c>
      <c r="R136" s="7">
        <f t="shared" si="27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31"/>
        <v>170499</v>
      </c>
      <c r="X136" s="104">
        <f t="shared" si="32"/>
        <v>184208</v>
      </c>
      <c r="Y136" s="104"/>
      <c r="Z136" s="7">
        <v>0</v>
      </c>
      <c r="AB136" s="2">
        <v>1571</v>
      </c>
      <c r="AC136" s="104">
        <v>137931</v>
      </c>
      <c r="AD136" s="104">
        <v>172070</v>
      </c>
      <c r="AE136" s="64">
        <f t="shared" si="33"/>
        <v>0</v>
      </c>
      <c r="AF136" s="64">
        <f t="shared" si="34"/>
        <v>5.9345033997791593E-3</v>
      </c>
      <c r="AG136" s="20">
        <f t="shared" si="28"/>
        <v>0</v>
      </c>
      <c r="AH136" s="20">
        <f t="shared" si="29"/>
        <v>11.35171591987757</v>
      </c>
      <c r="AI136" s="22"/>
    </row>
    <row r="137" spans="1:35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0"/>
        <v>15.03269754535898</v>
      </c>
      <c r="O137" s="7">
        <f t="shared" si="24"/>
        <v>4279.5000000000009</v>
      </c>
      <c r="P137" s="7">
        <f t="shared" si="25"/>
        <v>4264.467302454641</v>
      </c>
      <c r="Q137" s="7">
        <f t="shared" si="26"/>
        <v>1836.3839691213075</v>
      </c>
      <c r="R137" s="7">
        <f t="shared" si="27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31"/>
        <v>144668</v>
      </c>
      <c r="X137" s="104">
        <f t="shared" si="32"/>
        <v>154502</v>
      </c>
      <c r="Y137" s="104"/>
      <c r="Z137" s="7">
        <v>0</v>
      </c>
      <c r="AB137" s="2">
        <v>1830</v>
      </c>
      <c r="AC137" s="104">
        <v>146870</v>
      </c>
      <c r="AD137" s="104">
        <v>146498</v>
      </c>
      <c r="AE137" s="64">
        <f t="shared" si="33"/>
        <v>0</v>
      </c>
      <c r="AF137" s="64">
        <f t="shared" si="34"/>
        <v>8.1195647722153205E-3</v>
      </c>
      <c r="AG137" s="20">
        <f t="shared" si="28"/>
        <v>0</v>
      </c>
      <c r="AH137" s="20">
        <f t="shared" si="29"/>
        <v>15.03269754535898</v>
      </c>
      <c r="AI137" s="22"/>
    </row>
    <row r="138" spans="1:35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0"/>
        <v>16.459564099769288</v>
      </c>
      <c r="O138" s="7">
        <f t="shared" si="24"/>
        <v>2679.5833333333335</v>
      </c>
      <c r="P138" s="7">
        <f t="shared" si="25"/>
        <v>2663.123769233564</v>
      </c>
      <c r="Q138" s="7">
        <f t="shared" si="26"/>
        <v>1180.0404359002307</v>
      </c>
      <c r="R138" s="7">
        <f t="shared" si="27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31"/>
        <v>107764</v>
      </c>
      <c r="X138" s="104">
        <f t="shared" si="32"/>
        <v>115669</v>
      </c>
      <c r="Y138" s="104"/>
      <c r="Z138" s="7">
        <v>0</v>
      </c>
      <c r="AB138" s="2">
        <v>2330</v>
      </c>
      <c r="AC138" s="104">
        <v>91390</v>
      </c>
      <c r="AD138" s="104">
        <v>110094</v>
      </c>
      <c r="AE138" s="64">
        <f t="shared" si="33"/>
        <v>0</v>
      </c>
      <c r="AF138" s="64">
        <f t="shared" si="34"/>
        <v>1.3756426326593638E-2</v>
      </c>
      <c r="AG138" s="20">
        <f t="shared" si="28"/>
        <v>0</v>
      </c>
      <c r="AH138" s="20">
        <f t="shared" si="29"/>
        <v>16.459564099769288</v>
      </c>
      <c r="AI138" s="22"/>
    </row>
    <row r="139" spans="1:35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0"/>
        <v>6.9280666122936347</v>
      </c>
      <c r="O139" s="7">
        <f t="shared" si="24"/>
        <v>1418.7499999999998</v>
      </c>
      <c r="P139" s="7">
        <f t="shared" si="25"/>
        <v>1411.8219333877062</v>
      </c>
      <c r="Q139" s="7">
        <f t="shared" si="26"/>
        <v>605.65526672103965</v>
      </c>
      <c r="R139" s="7">
        <f t="shared" si="27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31"/>
        <v>61443</v>
      </c>
      <c r="X139" s="104">
        <f t="shared" si="32"/>
        <v>68451</v>
      </c>
      <c r="Y139" s="104"/>
      <c r="Z139" s="7">
        <v>0</v>
      </c>
      <c r="AB139" s="2">
        <v>1088</v>
      </c>
      <c r="AC139" s="104">
        <v>50435</v>
      </c>
      <c r="AD139" s="104">
        <v>62531</v>
      </c>
      <c r="AE139" s="64">
        <f t="shared" si="33"/>
        <v>0</v>
      </c>
      <c r="AF139" s="64">
        <f t="shared" si="34"/>
        <v>1.1309590443140203E-2</v>
      </c>
      <c r="AG139" s="20">
        <f t="shared" si="28"/>
        <v>0</v>
      </c>
      <c r="AH139" s="20">
        <f t="shared" si="29"/>
        <v>6.9280666122936347</v>
      </c>
      <c r="AI139" s="22"/>
    </row>
    <row r="140" spans="1:35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0"/>
        <v>19.85635614940556</v>
      </c>
      <c r="O140" s="7">
        <f t="shared" si="24"/>
        <v>5278.6666666666661</v>
      </c>
      <c r="P140" s="7">
        <f t="shared" si="25"/>
        <v>5258.8103105172604</v>
      </c>
      <c r="Q140" s="7">
        <f t="shared" si="26"/>
        <v>1957.3103105172606</v>
      </c>
      <c r="R140" s="7">
        <f t="shared" si="27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31"/>
        <v>149175</v>
      </c>
      <c r="X140" s="104">
        <f t="shared" si="32"/>
        <v>161698</v>
      </c>
      <c r="Y140" s="104"/>
      <c r="Z140" s="7">
        <v>0</v>
      </c>
      <c r="AB140" s="2">
        <v>2341</v>
      </c>
      <c r="AC140" s="104">
        <v>193913</v>
      </c>
      <c r="AD140" s="104">
        <v>151516</v>
      </c>
      <c r="AE140" s="64">
        <f t="shared" si="33"/>
        <v>0</v>
      </c>
      <c r="AF140" s="64">
        <f t="shared" si="34"/>
        <v>1.0042833760130944E-2</v>
      </c>
      <c r="AG140" s="20">
        <f t="shared" si="28"/>
        <v>0</v>
      </c>
      <c r="AH140" s="20">
        <f t="shared" si="29"/>
        <v>19.85635614940556</v>
      </c>
      <c r="AI140" s="22"/>
    </row>
    <row r="141" spans="1:35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0"/>
        <v>13.140374374292085</v>
      </c>
      <c r="O141" s="7">
        <f t="shared" si="24"/>
        <v>4829.083333333333</v>
      </c>
      <c r="P141" s="7">
        <f t="shared" si="25"/>
        <v>4815.9429589590409</v>
      </c>
      <c r="Q141" s="7">
        <f t="shared" si="26"/>
        <v>2091.0262922923748</v>
      </c>
      <c r="R141" s="7">
        <f t="shared" si="27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31"/>
        <v>180707</v>
      </c>
      <c r="X141" s="104">
        <f t="shared" si="32"/>
        <v>194175</v>
      </c>
      <c r="Y141" s="104"/>
      <c r="Z141" s="7">
        <v>0</v>
      </c>
      <c r="AB141" s="2">
        <v>1753</v>
      </c>
      <c r="AC141" s="104">
        <v>157970</v>
      </c>
      <c r="AD141" s="104">
        <v>182460</v>
      </c>
      <c r="AE141" s="64">
        <f t="shared" si="33"/>
        <v>0</v>
      </c>
      <c r="AF141" s="64">
        <f t="shared" si="34"/>
        <v>6.2449303957031682E-3</v>
      </c>
      <c r="AG141" s="20">
        <f t="shared" si="28"/>
        <v>0</v>
      </c>
      <c r="AH141" s="20">
        <f t="shared" si="29"/>
        <v>13.140374374292085</v>
      </c>
      <c r="AI141" s="22"/>
    </row>
    <row r="142" spans="1:35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0"/>
        <v>21.384503837735075</v>
      </c>
      <c r="O142" s="7">
        <f t="shared" si="24"/>
        <v>5236.7499999999991</v>
      </c>
      <c r="P142" s="7">
        <f t="shared" si="25"/>
        <v>5215.3654961622651</v>
      </c>
      <c r="Q142" s="7">
        <f t="shared" si="26"/>
        <v>2108.4488294955986</v>
      </c>
      <c r="R142" s="7">
        <f t="shared" si="27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31"/>
        <v>171073</v>
      </c>
      <c r="X142" s="104">
        <f t="shared" si="32"/>
        <v>184357</v>
      </c>
      <c r="Y142" s="104"/>
      <c r="Z142" s="7">
        <v>0</v>
      </c>
      <c r="AB142" s="2">
        <v>2684</v>
      </c>
      <c r="AC142" s="104">
        <v>192183</v>
      </c>
      <c r="AD142" s="104">
        <v>173757</v>
      </c>
      <c r="AE142" s="64">
        <f t="shared" si="33"/>
        <v>0</v>
      </c>
      <c r="AF142" s="64">
        <f t="shared" si="34"/>
        <v>1.0040458801659789E-2</v>
      </c>
      <c r="AG142" s="20">
        <f t="shared" si="28"/>
        <v>0</v>
      </c>
      <c r="AH142" s="20">
        <f t="shared" si="29"/>
        <v>21.384503837735075</v>
      </c>
      <c r="AI142" s="22"/>
    </row>
    <row r="143" spans="1:35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0"/>
        <v>15.93778504781532</v>
      </c>
      <c r="O143" s="7">
        <f t="shared" si="24"/>
        <v>4849</v>
      </c>
      <c r="P143" s="7">
        <f t="shared" si="25"/>
        <v>4833.0622149521851</v>
      </c>
      <c r="Q143" s="7">
        <f t="shared" si="26"/>
        <v>2046.6455482855181</v>
      </c>
      <c r="R143" s="7">
        <f t="shared" si="27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31"/>
        <v>188432</v>
      </c>
      <c r="X143" s="104">
        <f t="shared" si="32"/>
        <v>202925</v>
      </c>
      <c r="Y143" s="104"/>
      <c r="Z143" s="7">
        <v>0</v>
      </c>
      <c r="AB143" s="2">
        <v>2267</v>
      </c>
      <c r="AC143" s="104">
        <v>157367</v>
      </c>
      <c r="AD143" s="104">
        <v>190699</v>
      </c>
      <c r="AE143" s="64">
        <f t="shared" si="33"/>
        <v>0</v>
      </c>
      <c r="AF143" s="64">
        <f t="shared" si="34"/>
        <v>7.7270987262649518E-3</v>
      </c>
      <c r="AG143" s="20">
        <f t="shared" si="28"/>
        <v>0</v>
      </c>
      <c r="AH143" s="20">
        <f t="shared" si="29"/>
        <v>15.93778504781532</v>
      </c>
      <c r="AI143" s="22"/>
    </row>
    <row r="144" spans="1:35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0"/>
        <v>12.524566865471039</v>
      </c>
      <c r="O144" s="7">
        <f t="shared" si="24"/>
        <v>4411.75</v>
      </c>
      <c r="P144" s="7">
        <f t="shared" si="25"/>
        <v>4399.2254331345293</v>
      </c>
      <c r="Q144" s="7">
        <f t="shared" si="26"/>
        <v>1815.2254331345289</v>
      </c>
      <c r="R144" s="7">
        <f t="shared" si="27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31"/>
        <v>164906</v>
      </c>
      <c r="X144" s="104">
        <f t="shared" si="32"/>
        <v>176237</v>
      </c>
      <c r="Y144" s="104"/>
      <c r="Z144" s="7">
        <v>0</v>
      </c>
      <c r="AB144" s="2">
        <v>1757</v>
      </c>
      <c r="AC144" s="104">
        <v>130880</v>
      </c>
      <c r="AD144" s="104">
        <v>166663</v>
      </c>
      <c r="AE144" s="64">
        <f t="shared" si="33"/>
        <v>0</v>
      </c>
      <c r="AF144" s="64">
        <f t="shared" si="34"/>
        <v>6.8524507539165858E-3</v>
      </c>
      <c r="AG144" s="20">
        <f t="shared" si="28"/>
        <v>0</v>
      </c>
      <c r="AH144" s="20">
        <f t="shared" si="29"/>
        <v>12.524566865471039</v>
      </c>
      <c r="AI144" s="22"/>
    </row>
    <row r="145" spans="1:35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0"/>
        <v>15.44115253491697</v>
      </c>
      <c r="O145" s="7">
        <f t="shared" si="24"/>
        <v>3895.3333333333335</v>
      </c>
      <c r="P145" s="7">
        <f t="shared" si="25"/>
        <v>3879.8921807984166</v>
      </c>
      <c r="Q145" s="7">
        <f t="shared" si="26"/>
        <v>1299.2255141317498</v>
      </c>
      <c r="R145" s="7">
        <f t="shared" si="27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31"/>
        <v>116073</v>
      </c>
      <c r="X145" s="104">
        <f t="shared" si="32"/>
        <v>122700</v>
      </c>
      <c r="Y145" s="104"/>
      <c r="Z145" s="7">
        <v>0</v>
      </c>
      <c r="AB145" s="2">
        <v>2136</v>
      </c>
      <c r="AC145" s="104">
        <v>145419</v>
      </c>
      <c r="AD145" s="104">
        <v>118209</v>
      </c>
      <c r="AE145" s="64">
        <f t="shared" si="33"/>
        <v>0</v>
      </c>
      <c r="AF145" s="64">
        <f t="shared" si="34"/>
        <v>1.1745298581326296E-2</v>
      </c>
      <c r="AG145" s="20">
        <f t="shared" si="28"/>
        <v>0</v>
      </c>
      <c r="AH145" s="20">
        <f t="shared" si="29"/>
        <v>15.44115253491697</v>
      </c>
      <c r="AI145" s="22"/>
    </row>
    <row r="146" spans="1:35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0"/>
        <v>9.1952768815890256</v>
      </c>
      <c r="O146" s="7">
        <f t="shared" si="24"/>
        <v>1557.5833333333335</v>
      </c>
      <c r="P146" s="7">
        <f t="shared" si="25"/>
        <v>1548.3880564517444</v>
      </c>
      <c r="Q146" s="7">
        <f t="shared" si="26"/>
        <v>645.05472311841106</v>
      </c>
      <c r="R146" s="7">
        <f t="shared" si="27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31"/>
        <v>60044</v>
      </c>
      <c r="X146" s="104">
        <f t="shared" si="32"/>
        <v>67145</v>
      </c>
      <c r="Y146" s="104"/>
      <c r="Z146" s="7">
        <v>0</v>
      </c>
      <c r="AB146" s="2">
        <v>1327</v>
      </c>
      <c r="AC146" s="104">
        <v>50562</v>
      </c>
      <c r="AD146" s="104">
        <v>61371</v>
      </c>
      <c r="AE146" s="64">
        <f t="shared" si="33"/>
        <v>0</v>
      </c>
      <c r="AF146" s="64">
        <f t="shared" si="34"/>
        <v>1.4054683808313373E-2</v>
      </c>
      <c r="AG146" s="20">
        <f t="shared" si="28"/>
        <v>0</v>
      </c>
      <c r="AH146" s="20">
        <f t="shared" si="29"/>
        <v>9.1952768815890256</v>
      </c>
      <c r="AI146" s="22"/>
    </row>
    <row r="147" spans="1:35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0"/>
        <v>17.659058510214042</v>
      </c>
      <c r="O147" s="7">
        <f t="shared" si="24"/>
        <v>5328.1666666666661</v>
      </c>
      <c r="P147" s="7">
        <f t="shared" si="25"/>
        <v>5310.5076081564521</v>
      </c>
      <c r="Q147" s="7">
        <f t="shared" si="26"/>
        <v>2072.674274823119</v>
      </c>
      <c r="R147" s="7">
        <f t="shared" si="27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31"/>
        <v>169122</v>
      </c>
      <c r="X147" s="104">
        <f t="shared" si="32"/>
        <v>183290</v>
      </c>
      <c r="Y147" s="104"/>
      <c r="Z147" s="7">
        <v>0</v>
      </c>
      <c r="AB147" s="2">
        <v>2227</v>
      </c>
      <c r="AC147" s="104">
        <v>196963</v>
      </c>
      <c r="AD147" s="104">
        <v>171349</v>
      </c>
      <c r="AE147" s="64">
        <f t="shared" si="33"/>
        <v>0</v>
      </c>
      <c r="AF147" s="64">
        <f t="shared" si="34"/>
        <v>8.4479629294597573E-3</v>
      </c>
      <c r="AG147" s="20">
        <f t="shared" si="28"/>
        <v>0</v>
      </c>
      <c r="AH147" s="20">
        <f t="shared" si="29"/>
        <v>17.659058510214042</v>
      </c>
      <c r="AI147" s="22"/>
    </row>
    <row r="148" spans="1:35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0"/>
        <v>12.158780786605757</v>
      </c>
      <c r="O148" s="7">
        <f t="shared" si="24"/>
        <v>5470.8333333333339</v>
      </c>
      <c r="P148" s="7">
        <f t="shared" si="25"/>
        <v>5458.6745525467277</v>
      </c>
      <c r="Q148" s="7">
        <f t="shared" si="26"/>
        <v>2065.2578858800612</v>
      </c>
      <c r="R148" s="7">
        <f t="shared" si="27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31"/>
        <v>194141</v>
      </c>
      <c r="X148" s="104">
        <f t="shared" si="32"/>
        <v>211448</v>
      </c>
      <c r="Y148" s="104"/>
      <c r="Z148" s="7">
        <v>0</v>
      </c>
      <c r="AB148" s="2">
        <v>1764</v>
      </c>
      <c r="AC148" s="104">
        <v>202646</v>
      </c>
      <c r="AD148" s="104">
        <v>195905</v>
      </c>
      <c r="AE148" s="64">
        <f t="shared" si="33"/>
        <v>0</v>
      </c>
      <c r="AF148" s="64">
        <f t="shared" si="34"/>
        <v>5.852836834179833E-3</v>
      </c>
      <c r="AG148" s="20">
        <f t="shared" si="28"/>
        <v>0</v>
      </c>
      <c r="AH148" s="20">
        <f t="shared" si="29"/>
        <v>12.158780786605757</v>
      </c>
      <c r="AI148" s="22"/>
    </row>
    <row r="149" spans="1:35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0"/>
        <v>9.8357949320271896</v>
      </c>
      <c r="O149" s="7">
        <f t="shared" si="24"/>
        <v>5428.8333333333339</v>
      </c>
      <c r="P149" s="7">
        <f t="shared" si="25"/>
        <v>5418.9975384013069</v>
      </c>
      <c r="Q149" s="7">
        <f t="shared" si="26"/>
        <v>2051.1642050679729</v>
      </c>
      <c r="R149" s="7">
        <f t="shared" si="27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31"/>
        <v>198611</v>
      </c>
      <c r="X149" s="104">
        <f t="shared" si="32"/>
        <v>213572</v>
      </c>
      <c r="Y149" s="104"/>
      <c r="Z149" s="7">
        <v>0</v>
      </c>
      <c r="AB149" s="2">
        <v>1469</v>
      </c>
      <c r="AC149" s="104">
        <v>206613</v>
      </c>
      <c r="AD149" s="104">
        <v>200080</v>
      </c>
      <c r="AE149" s="64">
        <f t="shared" si="33"/>
        <v>0</v>
      </c>
      <c r="AF149" s="64">
        <f t="shared" si="34"/>
        <v>4.7723410635745703E-3</v>
      </c>
      <c r="AG149" s="20">
        <f t="shared" si="28"/>
        <v>0</v>
      </c>
      <c r="AH149" s="20">
        <f t="shared" si="29"/>
        <v>9.8357949320271896</v>
      </c>
      <c r="AI149" s="22"/>
    </row>
    <row r="150" spans="1:35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0"/>
        <v>12.668574723584975</v>
      </c>
      <c r="O150" s="7">
        <f t="shared" si="24"/>
        <v>5474.833333333333</v>
      </c>
      <c r="P150" s="7">
        <f t="shared" si="25"/>
        <v>5462.1647586097479</v>
      </c>
      <c r="Q150" s="7">
        <f t="shared" si="26"/>
        <v>2089.8314252764148</v>
      </c>
      <c r="R150" s="7">
        <f t="shared" si="27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31"/>
        <v>202956</v>
      </c>
      <c r="X150" s="104">
        <f t="shared" si="32"/>
        <v>213646</v>
      </c>
      <c r="Y150" s="104"/>
      <c r="Z150" s="7">
        <v>0</v>
      </c>
      <c r="AB150" s="2">
        <v>1899</v>
      </c>
      <c r="AC150" s="104">
        <v>206702</v>
      </c>
      <c r="AD150" s="104">
        <v>204855</v>
      </c>
      <c r="AE150" s="64">
        <f t="shared" si="33"/>
        <v>0</v>
      </c>
      <c r="AF150" s="64">
        <f t="shared" si="34"/>
        <v>6.0254814380903566E-3</v>
      </c>
      <c r="AG150" s="20">
        <f t="shared" si="28"/>
        <v>0</v>
      </c>
      <c r="AH150" s="20">
        <f t="shared" si="29"/>
        <v>12.668574723584975</v>
      </c>
      <c r="AI150" s="22"/>
    </row>
    <row r="151" spans="1:35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0"/>
        <v>11.198626058495753</v>
      </c>
      <c r="O151" s="7">
        <f t="shared" si="24"/>
        <v>5410.0833333333339</v>
      </c>
      <c r="P151" s="7">
        <f t="shared" si="25"/>
        <v>5398.8847072748376</v>
      </c>
      <c r="Q151" s="7">
        <f t="shared" si="26"/>
        <v>2111.5513739415046</v>
      </c>
      <c r="R151" s="7">
        <f t="shared" si="27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31"/>
        <v>194559</v>
      </c>
      <c r="X151" s="104">
        <f t="shared" si="32"/>
        <v>206946</v>
      </c>
      <c r="Y151" s="104"/>
      <c r="Z151" s="7">
        <v>0</v>
      </c>
      <c r="AB151" s="2">
        <v>1592</v>
      </c>
      <c r="AC151" s="104">
        <v>197727</v>
      </c>
      <c r="AD151" s="104">
        <v>196151</v>
      </c>
      <c r="AE151" s="64">
        <f t="shared" si="33"/>
        <v>0</v>
      </c>
      <c r="AF151" s="64">
        <f t="shared" si="34"/>
        <v>5.2755275272621605E-3</v>
      </c>
      <c r="AG151" s="20">
        <f t="shared" si="28"/>
        <v>0</v>
      </c>
      <c r="AH151" s="20">
        <f t="shared" si="29"/>
        <v>11.198626058495753</v>
      </c>
      <c r="AI151" s="22"/>
    </row>
    <row r="152" spans="1:35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0"/>
        <v>6.266152991286484</v>
      </c>
      <c r="O152" s="7">
        <f t="shared" si="24"/>
        <v>5651.9166666666661</v>
      </c>
      <c r="P152" s="7">
        <f t="shared" si="25"/>
        <v>5645.6505136753804</v>
      </c>
      <c r="Q152" s="7">
        <f t="shared" si="26"/>
        <v>2525.4838470087134</v>
      </c>
      <c r="R152" s="7">
        <f t="shared" si="27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31"/>
        <v>224996</v>
      </c>
      <c r="X152" s="104">
        <f t="shared" si="32"/>
        <v>237238</v>
      </c>
      <c r="Y152" s="104"/>
      <c r="Z152" s="7">
        <v>0</v>
      </c>
      <c r="AB152" s="2">
        <v>860</v>
      </c>
      <c r="AC152" s="104">
        <v>197735</v>
      </c>
      <c r="AD152" s="104">
        <v>225856</v>
      </c>
      <c r="AE152" s="64">
        <f t="shared" si="33"/>
        <v>0</v>
      </c>
      <c r="AF152" s="64">
        <f t="shared" si="34"/>
        <v>2.4750283366392748E-3</v>
      </c>
      <c r="AG152" s="20">
        <f t="shared" si="28"/>
        <v>0</v>
      </c>
      <c r="AH152" s="20">
        <f t="shared" si="29"/>
        <v>6.266152991286484</v>
      </c>
      <c r="AI152" s="22"/>
    </row>
    <row r="153" spans="1:35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0"/>
        <v>6.6681802060989863</v>
      </c>
      <c r="O153" s="7">
        <f t="shared" si="24"/>
        <v>4580.1666666666661</v>
      </c>
      <c r="P153" s="7">
        <f t="shared" si="25"/>
        <v>4573.4984864605676</v>
      </c>
      <c r="Q153" s="7">
        <f t="shared" si="26"/>
        <v>1999.8318197939011</v>
      </c>
      <c r="R153" s="7">
        <f t="shared" si="27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31"/>
        <v>175325</v>
      </c>
      <c r="X153" s="104">
        <f t="shared" si="32"/>
        <v>187680</v>
      </c>
      <c r="Y153" s="104"/>
      <c r="Z153" s="7">
        <v>0</v>
      </c>
      <c r="AB153" s="2">
        <v>901</v>
      </c>
      <c r="AC153" s="104">
        <v>171962</v>
      </c>
      <c r="AD153" s="104">
        <v>176226</v>
      </c>
      <c r="AE153" s="64">
        <f t="shared" si="33"/>
        <v>0</v>
      </c>
      <c r="AF153" s="64">
        <f t="shared" si="34"/>
        <v>3.3232894124590015E-3</v>
      </c>
      <c r="AG153" s="20">
        <f t="shared" si="28"/>
        <v>0</v>
      </c>
      <c r="AH153" s="20">
        <f t="shared" si="29"/>
        <v>6.6681802060989863</v>
      </c>
      <c r="AI153" s="22"/>
    </row>
    <row r="154" spans="1:35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0"/>
        <v>12.67773727722542</v>
      </c>
      <c r="O154" s="7">
        <f t="shared" si="24"/>
        <v>4415.9166666666661</v>
      </c>
      <c r="P154" s="7">
        <f t="shared" si="25"/>
        <v>4403.2389293894412</v>
      </c>
      <c r="Q154" s="7">
        <f t="shared" si="26"/>
        <v>2041.9889293894412</v>
      </c>
      <c r="R154" s="7">
        <f t="shared" si="27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31"/>
        <v>191577</v>
      </c>
      <c r="X154" s="104">
        <f t="shared" si="32"/>
        <v>206743</v>
      </c>
      <c r="Y154" s="104"/>
      <c r="Z154" s="7">
        <v>0</v>
      </c>
      <c r="AB154" s="2">
        <v>1836</v>
      </c>
      <c r="AC154" s="104">
        <v>131012</v>
      </c>
      <c r="AD154" s="104">
        <v>193413</v>
      </c>
      <c r="AE154" s="64">
        <f t="shared" si="33"/>
        <v>0</v>
      </c>
      <c r="AF154" s="64">
        <f t="shared" si="34"/>
        <v>6.1702160661382642E-3</v>
      </c>
      <c r="AG154" s="20">
        <f t="shared" si="28"/>
        <v>0</v>
      </c>
      <c r="AH154" s="20">
        <f t="shared" si="29"/>
        <v>12.67773727722542</v>
      </c>
      <c r="AI154" s="22"/>
    </row>
    <row r="155" spans="1:35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0"/>
        <v>8.6731210812722583</v>
      </c>
      <c r="O155" s="7">
        <f t="shared" si="24"/>
        <v>3913.5</v>
      </c>
      <c r="P155" s="7">
        <f t="shared" si="25"/>
        <v>3904.8268789187277</v>
      </c>
      <c r="Q155" s="7">
        <f t="shared" si="26"/>
        <v>1636.160212252061</v>
      </c>
      <c r="R155" s="7">
        <f t="shared" si="27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si="31"/>
        <v>147703</v>
      </c>
      <c r="X155" s="104">
        <f t="shared" si="32"/>
        <v>162268</v>
      </c>
      <c r="Y155" s="104"/>
      <c r="Z155" s="7">
        <v>0</v>
      </c>
      <c r="AB155" s="2">
        <v>1208</v>
      </c>
      <c r="AC155" s="104">
        <v>99030</v>
      </c>
      <c r="AD155" s="104">
        <v>148911</v>
      </c>
      <c r="AE155" s="64">
        <f t="shared" si="33"/>
        <v>0</v>
      </c>
      <c r="AF155" s="64">
        <f t="shared" si="34"/>
        <v>5.2729482711149616E-3</v>
      </c>
      <c r="AG155" s="20">
        <f t="shared" si="28"/>
        <v>0</v>
      </c>
      <c r="AH155" s="20">
        <f t="shared" si="29"/>
        <v>8.6731210812722583</v>
      </c>
      <c r="AI155" s="22"/>
    </row>
    <row r="156" spans="1:35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0"/>
        <v>12.775294480696706</v>
      </c>
      <c r="O156" s="7">
        <f t="shared" si="24"/>
        <v>3266.666666666667</v>
      </c>
      <c r="P156" s="7">
        <f t="shared" si="25"/>
        <v>3253.8913721859703</v>
      </c>
      <c r="Q156" s="7">
        <f t="shared" si="26"/>
        <v>1229.8080388526369</v>
      </c>
      <c r="R156" s="7">
        <f t="shared" si="27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1"/>
        <v>79333</v>
      </c>
      <c r="X156" s="104">
        <f t="shared" si="32"/>
        <v>85896</v>
      </c>
      <c r="Y156" s="104"/>
      <c r="Z156" s="7">
        <v>0</v>
      </c>
      <c r="AA156" s="7"/>
      <c r="AB156" s="2">
        <v>1275</v>
      </c>
      <c r="AC156" s="104">
        <v>68905</v>
      </c>
      <c r="AD156" s="104">
        <v>80608</v>
      </c>
      <c r="AE156" s="64">
        <f t="shared" si="33"/>
        <v>0</v>
      </c>
      <c r="AF156" s="64">
        <f t="shared" si="34"/>
        <v>1.0281237594283446E-2</v>
      </c>
      <c r="AG156" s="20">
        <f t="shared" si="28"/>
        <v>0</v>
      </c>
      <c r="AH156" s="20">
        <f t="shared" si="29"/>
        <v>12.775294480696706</v>
      </c>
      <c r="AI156" s="22"/>
    </row>
    <row r="157" spans="1:35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0"/>
        <v>8.3318668861866829</v>
      </c>
      <c r="O157" s="7">
        <f t="shared" si="24"/>
        <v>1706.0833333333335</v>
      </c>
      <c r="P157" s="7">
        <f t="shared" si="25"/>
        <v>1697.7514664471469</v>
      </c>
      <c r="Q157" s="7">
        <f t="shared" si="26"/>
        <v>611.08479978048001</v>
      </c>
      <c r="R157" s="7">
        <f t="shared" si="27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1"/>
        <v>39704</v>
      </c>
      <c r="X157" s="104">
        <f t="shared" si="32"/>
        <v>43934</v>
      </c>
      <c r="Y157" s="104"/>
      <c r="Z157" s="7">
        <v>0</v>
      </c>
      <c r="AA157" s="7"/>
      <c r="AB157" s="2">
        <v>839</v>
      </c>
      <c r="AC157" s="104">
        <v>36317</v>
      </c>
      <c r="AD157" s="104">
        <v>40543</v>
      </c>
      <c r="AE157" s="64">
        <f t="shared" si="33"/>
        <v>0</v>
      </c>
      <c r="AF157" s="64">
        <f t="shared" si="34"/>
        <v>1.3451150630195101E-2</v>
      </c>
      <c r="AG157" s="20">
        <f t="shared" si="28"/>
        <v>0</v>
      </c>
      <c r="AH157" s="20">
        <f t="shared" si="29"/>
        <v>8.3318668861866829</v>
      </c>
      <c r="AI157" s="22"/>
    </row>
    <row r="158" spans="1:35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0"/>
        <v>0</v>
      </c>
      <c r="O158" s="7">
        <f t="shared" si="24"/>
        <v>0</v>
      </c>
      <c r="P158" s="7">
        <f t="shared" si="25"/>
        <v>0</v>
      </c>
      <c r="Q158" s="7">
        <f t="shared" si="26"/>
        <v>0</v>
      </c>
      <c r="R158" s="7">
        <f t="shared" si="27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1"/>
        <v>0</v>
      </c>
      <c r="X158" s="104">
        <f t="shared" si="32"/>
        <v>0</v>
      </c>
      <c r="Y158" s="104"/>
      <c r="Z158" s="7">
        <v>0</v>
      </c>
      <c r="AA158" s="7"/>
      <c r="AB158" s="2">
        <v>0</v>
      </c>
      <c r="AC158" s="104">
        <v>0</v>
      </c>
      <c r="AD158" s="104">
        <v>0</v>
      </c>
      <c r="AE158" s="64" t="e">
        <f t="shared" si="33"/>
        <v>#DIV/0!</v>
      </c>
      <c r="AF158" s="64"/>
      <c r="AG158" s="20"/>
      <c r="AH158" s="20"/>
      <c r="AI158" s="22"/>
    </row>
    <row r="159" spans="1:35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0"/>
        <v>0</v>
      </c>
      <c r="O159" s="7">
        <f t="shared" si="24"/>
        <v>0</v>
      </c>
      <c r="P159" s="7">
        <f t="shared" si="25"/>
        <v>0</v>
      </c>
      <c r="Q159" s="7">
        <f t="shared" si="26"/>
        <v>0</v>
      </c>
      <c r="R159" s="7">
        <f t="shared" si="27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1"/>
        <v>0</v>
      </c>
      <c r="X159" s="104">
        <f t="shared" si="32"/>
        <v>0</v>
      </c>
      <c r="Y159" s="104"/>
      <c r="Z159" s="7">
        <v>0</v>
      </c>
      <c r="AA159" s="7"/>
      <c r="AB159" s="2">
        <v>0</v>
      </c>
      <c r="AC159" s="104">
        <v>0</v>
      </c>
      <c r="AD159" s="104">
        <v>0</v>
      </c>
      <c r="AE159" s="64" t="e">
        <f t="shared" si="33"/>
        <v>#DIV/0!</v>
      </c>
      <c r="AF159" s="64"/>
      <c r="AG159" s="20"/>
      <c r="AH159" s="20"/>
      <c r="AI159" s="22"/>
    </row>
    <row r="160" spans="1:35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0"/>
        <v>0</v>
      </c>
      <c r="O160" s="7">
        <f t="shared" si="24"/>
        <v>0</v>
      </c>
      <c r="P160" s="7">
        <f t="shared" si="25"/>
        <v>0</v>
      </c>
      <c r="Q160" s="7">
        <f t="shared" si="26"/>
        <v>0</v>
      </c>
      <c r="R160" s="7">
        <f t="shared" si="27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1"/>
        <v>0</v>
      </c>
      <c r="X160" s="104">
        <f t="shared" si="32"/>
        <v>0</v>
      </c>
      <c r="Y160" s="104"/>
      <c r="Z160" s="7">
        <v>0</v>
      </c>
      <c r="AA160" s="7"/>
      <c r="AB160" s="2">
        <v>0</v>
      </c>
      <c r="AC160" s="104">
        <v>0</v>
      </c>
      <c r="AD160" s="104">
        <v>0</v>
      </c>
      <c r="AE160" s="64" t="e">
        <f t="shared" si="33"/>
        <v>#DIV/0!</v>
      </c>
      <c r="AF160" s="64"/>
      <c r="AG160" s="20"/>
      <c r="AH160" s="20"/>
      <c r="AI160" s="22"/>
    </row>
    <row r="161" spans="1:35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0"/>
        <v>0</v>
      </c>
      <c r="O161" s="7">
        <f t="shared" si="24"/>
        <v>0</v>
      </c>
      <c r="P161" s="7">
        <f t="shared" si="25"/>
        <v>0</v>
      </c>
      <c r="Q161" s="7">
        <f t="shared" si="26"/>
        <v>0</v>
      </c>
      <c r="R161" s="7">
        <f t="shared" si="27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1"/>
        <v>0</v>
      </c>
      <c r="X161" s="104">
        <f t="shared" si="32"/>
        <v>0</v>
      </c>
      <c r="Y161" s="104"/>
      <c r="Z161" s="7">
        <v>0</v>
      </c>
      <c r="AA161" s="7"/>
      <c r="AB161" s="2">
        <v>0</v>
      </c>
      <c r="AC161" s="104">
        <v>0</v>
      </c>
      <c r="AD161" s="104">
        <v>0</v>
      </c>
      <c r="AE161" s="64" t="e">
        <f t="shared" si="33"/>
        <v>#DIV/0!</v>
      </c>
      <c r="AF161" s="64"/>
      <c r="AG161" s="20"/>
      <c r="AH161" s="20"/>
      <c r="AI161" s="22"/>
    </row>
    <row r="162" spans="1:35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0"/>
        <v>38.729540794738249</v>
      </c>
      <c r="O162" s="7">
        <f t="shared" si="24"/>
        <v>4655.5</v>
      </c>
      <c r="P162" s="7">
        <f t="shared" si="25"/>
        <v>4616.7704592052614</v>
      </c>
      <c r="Q162" s="7">
        <f t="shared" si="26"/>
        <v>1649.1871258719282</v>
      </c>
      <c r="R162" s="7">
        <f t="shared" si="27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1"/>
        <v>103356</v>
      </c>
      <c r="X162" s="104">
        <f t="shared" si="32"/>
        <v>115252</v>
      </c>
      <c r="Y162" s="104"/>
      <c r="Z162" s="7">
        <v>0</v>
      </c>
      <c r="AA162" s="7"/>
      <c r="AB162" s="2">
        <v>3782</v>
      </c>
      <c r="AC162" s="104">
        <v>163488</v>
      </c>
      <c r="AD162" s="104">
        <v>107138</v>
      </c>
      <c r="AE162" s="64">
        <f t="shared" si="33"/>
        <v>0</v>
      </c>
      <c r="AF162" s="64">
        <f t="shared" si="34"/>
        <v>2.2945173514532659E-2</v>
      </c>
      <c r="AG162" s="20">
        <f t="shared" si="28"/>
        <v>0</v>
      </c>
      <c r="AH162" s="20">
        <f t="shared" si="29"/>
        <v>38.729540794738249</v>
      </c>
      <c r="AI162" s="22"/>
    </row>
    <row r="163" spans="1:35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0"/>
        <v>36.172564224271547</v>
      </c>
      <c r="O163" s="7">
        <f t="shared" si="24"/>
        <v>4979.8333333333339</v>
      </c>
      <c r="P163" s="7">
        <f t="shared" si="25"/>
        <v>4943.6607691090621</v>
      </c>
      <c r="Q163" s="7">
        <f t="shared" si="26"/>
        <v>2117.0774357757286</v>
      </c>
      <c r="R163" s="7">
        <f t="shared" si="27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1"/>
        <v>175987</v>
      </c>
      <c r="X163" s="104">
        <f t="shared" si="32"/>
        <v>190850</v>
      </c>
      <c r="Y163" s="104"/>
      <c r="Z163" s="7">
        <v>0</v>
      </c>
      <c r="AA163" s="7"/>
      <c r="AB163" s="2">
        <v>4669</v>
      </c>
      <c r="AC163" s="104">
        <v>160871</v>
      </c>
      <c r="AD163" s="104">
        <v>180656</v>
      </c>
      <c r="AE163" s="64">
        <f t="shared" si="33"/>
        <v>0</v>
      </c>
      <c r="AF163" s="64">
        <f t="shared" si="34"/>
        <v>1.6799054556726596E-2</v>
      </c>
      <c r="AG163" s="20">
        <f t="shared" si="28"/>
        <v>0</v>
      </c>
      <c r="AH163" s="20">
        <f t="shared" si="29"/>
        <v>36.172564224271547</v>
      </c>
      <c r="AI163" s="22"/>
    </row>
    <row r="164" spans="1:35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0"/>
        <v>17.725593940675022</v>
      </c>
      <c r="O164" s="7">
        <f t="shared" si="24"/>
        <v>5029.6666666666661</v>
      </c>
      <c r="P164" s="7">
        <f t="shared" si="25"/>
        <v>5011.941072725991</v>
      </c>
      <c r="Q164" s="7">
        <f t="shared" si="26"/>
        <v>2052.6910727259919</v>
      </c>
      <c r="R164" s="7">
        <f t="shared" si="27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1"/>
        <v>179739</v>
      </c>
      <c r="X164" s="104">
        <f t="shared" si="32"/>
        <v>190826</v>
      </c>
      <c r="Y164" s="104"/>
      <c r="Z164" s="7">
        <v>0</v>
      </c>
      <c r="AA164" s="7"/>
      <c r="AB164" s="2">
        <v>2399</v>
      </c>
      <c r="AC164" s="104">
        <v>173561</v>
      </c>
      <c r="AD164" s="104">
        <v>182138</v>
      </c>
      <c r="AE164" s="64">
        <f t="shared" si="33"/>
        <v>0</v>
      </c>
      <c r="AF164" s="64">
        <f t="shared" si="34"/>
        <v>8.561365557983508E-3</v>
      </c>
      <c r="AG164" s="20">
        <f t="shared" si="28"/>
        <v>0</v>
      </c>
      <c r="AH164" s="20">
        <f t="shared" si="29"/>
        <v>17.725593940675022</v>
      </c>
      <c r="AI164" s="22"/>
    </row>
    <row r="165" spans="1:35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0"/>
        <v>9.2921926290244912</v>
      </c>
      <c r="O165" s="7">
        <f t="shared" si="24"/>
        <v>5177.5</v>
      </c>
      <c r="P165" s="7">
        <f t="shared" si="25"/>
        <v>5168.2078073709754</v>
      </c>
      <c r="Q165" s="7">
        <f t="shared" si="26"/>
        <v>2109.6244740376419</v>
      </c>
      <c r="R165" s="7">
        <f t="shared" si="27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1"/>
        <v>178726</v>
      </c>
      <c r="X165" s="104">
        <f t="shared" si="32"/>
        <v>186095</v>
      </c>
      <c r="Y165" s="104"/>
      <c r="Z165" s="7">
        <v>0</v>
      </c>
      <c r="AA165" s="7"/>
      <c r="AB165" s="2">
        <v>1214</v>
      </c>
      <c r="AC165" s="104">
        <v>180107</v>
      </c>
      <c r="AD165" s="104">
        <v>179940</v>
      </c>
      <c r="AE165" s="64">
        <f t="shared" si="33"/>
        <v>0</v>
      </c>
      <c r="AF165" s="64">
        <f t="shared" si="34"/>
        <v>4.3853506724463717E-3</v>
      </c>
      <c r="AG165" s="20">
        <f t="shared" si="28"/>
        <v>0</v>
      </c>
      <c r="AH165" s="20">
        <f t="shared" si="29"/>
        <v>9.2921926290244912</v>
      </c>
      <c r="AI165" s="22"/>
    </row>
    <row r="166" spans="1:35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0"/>
        <v>6.6833647475439806</v>
      </c>
      <c r="O166" s="7">
        <f t="shared" si="24"/>
        <v>5372.2500000000009</v>
      </c>
      <c r="P166" s="7">
        <f t="shared" si="25"/>
        <v>5365.5666352524568</v>
      </c>
      <c r="Q166" s="7">
        <f t="shared" si="26"/>
        <v>2136.3999685857893</v>
      </c>
      <c r="R166" s="7">
        <f t="shared" si="27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1"/>
        <v>198924</v>
      </c>
      <c r="X166" s="104">
        <f t="shared" si="32"/>
        <v>205995</v>
      </c>
      <c r="Y166" s="104"/>
      <c r="Z166" s="7">
        <v>0</v>
      </c>
      <c r="AA166" s="7"/>
      <c r="AB166" s="2">
        <v>959</v>
      </c>
      <c r="AC166" s="104">
        <v>189171</v>
      </c>
      <c r="AD166" s="104">
        <v>199883</v>
      </c>
      <c r="AE166" s="64">
        <f t="shared" si="33"/>
        <v>0</v>
      </c>
      <c r="AF166" s="64">
        <f t="shared" si="34"/>
        <v>3.1185743660041127E-3</v>
      </c>
      <c r="AG166" s="20">
        <f t="shared" si="28"/>
        <v>0</v>
      </c>
      <c r="AH166" s="20">
        <f t="shared" si="29"/>
        <v>6.6833647475439806</v>
      </c>
      <c r="AI166" s="22"/>
    </row>
    <row r="167" spans="1:35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0"/>
        <v>4.3440805368413207</v>
      </c>
      <c r="O167" s="7">
        <f t="shared" si="24"/>
        <v>4733.75</v>
      </c>
      <c r="P167" s="7">
        <f t="shared" si="25"/>
        <v>4729.4059194631573</v>
      </c>
      <c r="Q167" s="7">
        <f t="shared" si="26"/>
        <v>2074.9059194631582</v>
      </c>
      <c r="R167" s="7">
        <f t="shared" si="27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1"/>
        <v>187310</v>
      </c>
      <c r="X167" s="104">
        <f t="shared" si="32"/>
        <v>192365</v>
      </c>
      <c r="Y167" s="104"/>
      <c r="Z167" s="7">
        <v>0</v>
      </c>
      <c r="AA167" s="7"/>
      <c r="AB167" s="2">
        <v>604</v>
      </c>
      <c r="AC167" s="104">
        <v>173851</v>
      </c>
      <c r="AD167" s="104">
        <v>187914</v>
      </c>
      <c r="AE167" s="64">
        <f t="shared" si="33"/>
        <v>0</v>
      </c>
      <c r="AF167" s="64">
        <f t="shared" si="34"/>
        <v>2.089253594729504E-3</v>
      </c>
      <c r="AG167" s="20">
        <f t="shared" si="28"/>
        <v>0</v>
      </c>
      <c r="AH167" s="20">
        <f t="shared" si="29"/>
        <v>4.3440805368413207</v>
      </c>
      <c r="AI167" s="22"/>
    </row>
    <row r="168" spans="1:35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0"/>
        <v>8.266318820169996</v>
      </c>
      <c r="O168" s="7">
        <f t="shared" si="24"/>
        <v>4652.916666666667</v>
      </c>
      <c r="P168" s="7">
        <f t="shared" si="25"/>
        <v>4644.6503478464974</v>
      </c>
      <c r="Q168" s="7">
        <f t="shared" si="26"/>
        <v>2064.98368117983</v>
      </c>
      <c r="R168" s="7">
        <f t="shared" si="27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1"/>
        <v>178551</v>
      </c>
      <c r="X168" s="104">
        <f t="shared" si="32"/>
        <v>189360</v>
      </c>
      <c r="Y168" s="104"/>
      <c r="Z168" s="7">
        <v>0</v>
      </c>
      <c r="AA168" s="7"/>
      <c r="AB168" s="2">
        <v>1102</v>
      </c>
      <c r="AC168" s="104">
        <v>149019</v>
      </c>
      <c r="AD168" s="104">
        <v>179653</v>
      </c>
      <c r="AE168" s="64">
        <f t="shared" si="33"/>
        <v>0</v>
      </c>
      <c r="AF168" s="64">
        <f t="shared" si="34"/>
        <v>3.9871307464946319E-3</v>
      </c>
      <c r="AG168" s="20">
        <f t="shared" si="28"/>
        <v>0</v>
      </c>
      <c r="AH168" s="20">
        <f t="shared" si="29"/>
        <v>8.266318820169996</v>
      </c>
      <c r="AI168" s="22"/>
    </row>
    <row r="169" spans="1:35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0"/>
        <v>66.202298005999836</v>
      </c>
      <c r="O169" s="7">
        <f t="shared" si="24"/>
        <v>4748.583333333333</v>
      </c>
      <c r="P169" s="7">
        <f t="shared" si="25"/>
        <v>4682.3810353273329</v>
      </c>
      <c r="Q169" s="7">
        <f t="shared" si="26"/>
        <v>2083.2277155174816</v>
      </c>
      <c r="R169" s="7">
        <f t="shared" si="27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1"/>
        <v>178492</v>
      </c>
      <c r="X169" s="104">
        <f t="shared" si="32"/>
        <v>187350</v>
      </c>
      <c r="Y169" s="104"/>
      <c r="Z169" s="7">
        <v>6290</v>
      </c>
      <c r="AA169" s="7"/>
      <c r="AB169" s="2">
        <v>751</v>
      </c>
      <c r="AC169" s="104">
        <v>162680</v>
      </c>
      <c r="AD169" s="104">
        <v>179243</v>
      </c>
      <c r="AE169" s="64">
        <f t="shared" si="33"/>
        <v>3.5571674452913697E-2</v>
      </c>
      <c r="AF169" s="64">
        <f t="shared" si="34"/>
        <v>2.7233978453830832E-3</v>
      </c>
      <c r="AG169" s="20">
        <f t="shared" si="28"/>
        <v>60.513346856815019</v>
      </c>
      <c r="AH169" s="20">
        <f t="shared" si="29"/>
        <v>5.6889511491848115</v>
      </c>
      <c r="AI169" s="22"/>
    </row>
    <row r="170" spans="1:35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0"/>
        <v>133.09058875796012</v>
      </c>
      <c r="O170" s="7">
        <f t="shared" si="24"/>
        <v>5172.333333333333</v>
      </c>
      <c r="P170" s="7">
        <f t="shared" si="25"/>
        <v>5039.2427445753729</v>
      </c>
      <c r="Q170" s="7">
        <f t="shared" si="26"/>
        <v>2281.3770054499478</v>
      </c>
      <c r="R170" s="7">
        <f t="shared" si="27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1"/>
        <v>164118</v>
      </c>
      <c r="X170" s="104">
        <f t="shared" si="32"/>
        <v>176527</v>
      </c>
      <c r="Y170" s="104"/>
      <c r="Z170" s="7">
        <v>13261</v>
      </c>
      <c r="AA170" s="7"/>
      <c r="AB170" s="2">
        <v>1327</v>
      </c>
      <c r="AC170" s="104">
        <v>185149</v>
      </c>
      <c r="AD170" s="104">
        <v>165445</v>
      </c>
      <c r="AE170" s="64">
        <f t="shared" si="33"/>
        <v>6.5893523594510367E-2</v>
      </c>
      <c r="AF170" s="64">
        <f t="shared" si="34"/>
        <v>5.2135150654295985E-3</v>
      </c>
      <c r="AG170" s="20">
        <f t="shared" si="28"/>
        <v>121.13426087457491</v>
      </c>
      <c r="AH170" s="20">
        <f t="shared" si="29"/>
        <v>11.95632788338521</v>
      </c>
      <c r="AI170" s="22"/>
    </row>
    <row r="171" spans="1:35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0"/>
        <v>576.79934701665456</v>
      </c>
      <c r="O171" s="7">
        <f t="shared" si="24"/>
        <v>5093.416666666667</v>
      </c>
      <c r="P171" s="7">
        <f t="shared" si="25"/>
        <v>4516.6173196500122</v>
      </c>
      <c r="Q171" s="7">
        <f t="shared" si="26"/>
        <v>1895.6943351338393</v>
      </c>
      <c r="R171" s="7">
        <f t="shared" si="27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1"/>
        <v>169164</v>
      </c>
      <c r="X171" s="104">
        <f t="shared" si="32"/>
        <v>214254</v>
      </c>
      <c r="Y171" s="104"/>
      <c r="Z171" s="7">
        <v>41502</v>
      </c>
      <c r="AA171" s="7"/>
      <c r="AB171" s="2">
        <v>35223</v>
      </c>
      <c r="AC171" s="104">
        <v>226193</v>
      </c>
      <c r="AD171" s="104">
        <v>204387</v>
      </c>
      <c r="AE171" s="64">
        <f t="shared" si="33"/>
        <v>0.16880204073512442</v>
      </c>
      <c r="AF171" s="64">
        <f t="shared" si="34"/>
        <v>0.11201764300077793</v>
      </c>
      <c r="AG171" s="20">
        <f t="shared" si="28"/>
        <v>337.66034881716052</v>
      </c>
      <c r="AH171" s="20">
        <f t="shared" si="29"/>
        <v>239.1389981994941</v>
      </c>
      <c r="AI171" s="22"/>
    </row>
    <row r="172" spans="1:35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0"/>
        <v>470.65553141720238</v>
      </c>
      <c r="O172" s="7">
        <f t="shared" si="24"/>
        <v>4387.833333333333</v>
      </c>
      <c r="P172" s="7">
        <f t="shared" si="25"/>
        <v>3917.1778019161302</v>
      </c>
      <c r="Q172" s="7">
        <f t="shared" si="26"/>
        <v>1515.8871560297141</v>
      </c>
      <c r="R172" s="7">
        <f t="shared" si="27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1"/>
        <v>120202</v>
      </c>
      <c r="X172" s="104">
        <f t="shared" si="32"/>
        <v>158649</v>
      </c>
      <c r="Y172" s="104"/>
      <c r="Z172" s="7">
        <v>27661</v>
      </c>
      <c r="AA172" s="7"/>
      <c r="AB172" s="2">
        <v>30029</v>
      </c>
      <c r="AC172" s="104">
        <v>169937</v>
      </c>
      <c r="AD172" s="104">
        <v>150231</v>
      </c>
      <c r="AE172" s="64">
        <f t="shared" si="33"/>
        <v>0.14975031923595217</v>
      </c>
      <c r="AF172" s="64">
        <f t="shared" si="34"/>
        <v>0.12992558127150855</v>
      </c>
      <c r="AG172" s="20">
        <f t="shared" si="28"/>
        <v>244.29268744691663</v>
      </c>
      <c r="AH172" s="20">
        <f t="shared" si="29"/>
        <v>226.36284397028575</v>
      </c>
      <c r="AI172" s="22"/>
    </row>
    <row r="173" spans="1:35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0"/>
        <v>255.54025107584448</v>
      </c>
      <c r="O173" s="7">
        <f t="shared" si="24"/>
        <v>3351.1666666666665</v>
      </c>
      <c r="P173" s="7">
        <f t="shared" si="25"/>
        <v>3095.626415590822</v>
      </c>
      <c r="Q173" s="7">
        <f t="shared" si="26"/>
        <v>1218.9074760460267</v>
      </c>
      <c r="R173" s="7">
        <f t="shared" si="27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1"/>
        <v>112206</v>
      </c>
      <c r="X173" s="104">
        <f t="shared" si="32"/>
        <v>141784</v>
      </c>
      <c r="Y173" s="104"/>
      <c r="Z173" s="7">
        <v>8888</v>
      </c>
      <c r="AA173" s="7"/>
      <c r="AB173" s="2">
        <v>24932</v>
      </c>
      <c r="AC173" s="104">
        <v>114498</v>
      </c>
      <c r="AD173" s="104">
        <v>137138</v>
      </c>
      <c r="AE173" s="64">
        <f t="shared" si="33"/>
        <v>7.1415745253192192E-2</v>
      </c>
      <c r="AF173" s="64">
        <f t="shared" si="34"/>
        <v>0.11817147690647377</v>
      </c>
      <c r="AG173" s="20">
        <f t="shared" si="28"/>
        <v>92.197727121871125</v>
      </c>
      <c r="AH173" s="20">
        <f t="shared" si="29"/>
        <v>163.34252395397337</v>
      </c>
      <c r="AI173" s="22"/>
    </row>
    <row r="174" spans="1:35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0"/>
        <v>0</v>
      </c>
      <c r="O174" s="7">
        <f t="shared" si="24"/>
        <v>1318.25</v>
      </c>
      <c r="P174" s="7">
        <f t="shared" si="25"/>
        <v>1318.25</v>
      </c>
      <c r="Q174" s="7">
        <f t="shared" si="26"/>
        <v>611.25</v>
      </c>
      <c r="R174" s="7">
        <f t="shared" si="27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1"/>
        <v>53146</v>
      </c>
      <c r="X174" s="104">
        <f t="shared" si="32"/>
        <v>56689</v>
      </c>
      <c r="Y174" s="104"/>
      <c r="Z174" s="7">
        <v>0</v>
      </c>
      <c r="AA174" s="7"/>
      <c r="AB174" s="2">
        <v>0</v>
      </c>
      <c r="AC174" s="104">
        <v>39818</v>
      </c>
      <c r="AD174" s="104">
        <v>53146</v>
      </c>
      <c r="AE174" s="64">
        <f t="shared" si="33"/>
        <v>0</v>
      </c>
      <c r="AF174" s="64">
        <f t="shared" si="34"/>
        <v>0</v>
      </c>
      <c r="AG174" s="20">
        <f t="shared" si="28"/>
        <v>0</v>
      </c>
      <c r="AH174" s="20">
        <f t="shared" si="29"/>
        <v>0</v>
      </c>
      <c r="AI174" s="22"/>
    </row>
    <row r="175" spans="1:35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0"/>
        <v>26.488158241016663</v>
      </c>
      <c r="O175" s="7">
        <f t="shared" si="24"/>
        <v>4817.0000000000009</v>
      </c>
      <c r="P175" s="7">
        <f t="shared" si="25"/>
        <v>4790.5118417589838</v>
      </c>
      <c r="Q175" s="7">
        <f t="shared" si="26"/>
        <v>1692.3807116953765</v>
      </c>
      <c r="R175" s="7">
        <f t="shared" si="27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1"/>
        <v>127975</v>
      </c>
      <c r="X175" s="104">
        <f t="shared" si="32"/>
        <v>137509</v>
      </c>
      <c r="Y175" s="104"/>
      <c r="Z175" s="7">
        <v>723</v>
      </c>
      <c r="AA175" s="7"/>
      <c r="AB175" s="2">
        <v>2179</v>
      </c>
      <c r="AC175" s="104">
        <v>178282</v>
      </c>
      <c r="AD175" s="104">
        <v>130154</v>
      </c>
      <c r="AE175" s="64">
        <f t="shared" si="33"/>
        <v>3.7309431125968971E-3</v>
      </c>
      <c r="AF175" s="64">
        <f t="shared" si="34"/>
        <v>1.0882108886396118E-2</v>
      </c>
      <c r="AG175" s="20">
        <f t="shared" si="28"/>
        <v>7.8688699363929064</v>
      </c>
      <c r="AH175" s="20">
        <f t="shared" si="29"/>
        <v>18.619288304623758</v>
      </c>
      <c r="AI175" s="22"/>
    </row>
    <row r="176" spans="1:35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0"/>
        <v>8.8964659373614001</v>
      </c>
      <c r="O176" s="7">
        <f t="shared" si="24"/>
        <v>4407.25</v>
      </c>
      <c r="P176" s="7">
        <f t="shared" si="25"/>
        <v>4398.3535340626386</v>
      </c>
      <c r="Q176" s="7">
        <f t="shared" si="26"/>
        <v>1708.4885298741492</v>
      </c>
      <c r="R176" s="7">
        <f t="shared" si="27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1"/>
        <v>121036</v>
      </c>
      <c r="X176" s="104">
        <f t="shared" si="32"/>
        <v>131670</v>
      </c>
      <c r="Y176" s="104"/>
      <c r="Z176" s="7">
        <v>163</v>
      </c>
      <c r="AA176" s="7"/>
      <c r="AB176" s="2">
        <v>775</v>
      </c>
      <c r="AC176" s="104">
        <v>137281</v>
      </c>
      <c r="AD176" s="104">
        <v>121811</v>
      </c>
      <c r="AE176" s="64">
        <f t="shared" si="33"/>
        <v>1.0923580102126297E-3</v>
      </c>
      <c r="AF176" s="64">
        <f t="shared" si="34"/>
        <v>4.1355050036532004E-3</v>
      </c>
      <c r="AG176" s="20">
        <f t="shared" si="28"/>
        <v>1.8016624781773638</v>
      </c>
      <c r="AH176" s="20">
        <f t="shared" si="29"/>
        <v>7.0948034591840363</v>
      </c>
      <c r="AI176" s="22"/>
    </row>
    <row r="177" spans="1:35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0"/>
        <v>22.110185676064951</v>
      </c>
      <c r="O177" s="7">
        <f t="shared" si="24"/>
        <v>4567.833333333333</v>
      </c>
      <c r="P177" s="7">
        <f t="shared" si="25"/>
        <v>4545.7231476572679</v>
      </c>
      <c r="Q177" s="7">
        <f t="shared" si="26"/>
        <v>1913.6170910085943</v>
      </c>
      <c r="R177" s="7">
        <f t="shared" si="27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1"/>
        <v>159463</v>
      </c>
      <c r="X177" s="104">
        <f t="shared" si="32"/>
        <v>170743</v>
      </c>
      <c r="Y177" s="104"/>
      <c r="Z177" s="7">
        <v>1170</v>
      </c>
      <c r="AA177" s="7"/>
      <c r="AB177" s="2">
        <v>1335</v>
      </c>
      <c r="AC177" s="104">
        <v>137832</v>
      </c>
      <c r="AD177" s="104">
        <v>160798</v>
      </c>
      <c r="AE177" s="64">
        <f t="shared" si="33"/>
        <v>7.8095072261884042E-3</v>
      </c>
      <c r="AF177" s="64">
        <f t="shared" si="34"/>
        <v>5.3965223448052832E-3</v>
      </c>
      <c r="AG177" s="20">
        <f t="shared" si="28"/>
        <v>11.727276684659586</v>
      </c>
      <c r="AH177" s="20">
        <f t="shared" si="29"/>
        <v>10.382908991405364</v>
      </c>
      <c r="AI177" s="22"/>
    </row>
    <row r="178" spans="1:35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0"/>
        <v>458.28601138513392</v>
      </c>
      <c r="O178" s="7">
        <f t="shared" si="24"/>
        <v>4381.9166666666661</v>
      </c>
      <c r="P178" s="7">
        <f t="shared" si="25"/>
        <v>3923.6306552815327</v>
      </c>
      <c r="Q178" s="7">
        <f t="shared" si="26"/>
        <v>1426.629423108443</v>
      </c>
      <c r="R178" s="7">
        <f t="shared" si="27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1"/>
        <v>125346</v>
      </c>
      <c r="X178" s="104">
        <f t="shared" si="32"/>
        <v>156646</v>
      </c>
      <c r="Y178" s="104"/>
      <c r="Z178" s="7">
        <v>39372</v>
      </c>
      <c r="AA178" s="7"/>
      <c r="AB178" s="2">
        <v>21081</v>
      </c>
      <c r="AC178" s="104">
        <v>209094</v>
      </c>
      <c r="AD178" s="104">
        <v>146427</v>
      </c>
      <c r="AE178" s="64">
        <f t="shared" si="33"/>
        <v>0.17323423914603001</v>
      </c>
      <c r="AF178" s="64">
        <f t="shared" si="34"/>
        <v>9.3580077444733567E-2</v>
      </c>
      <c r="AG178" s="20">
        <f t="shared" si="28"/>
        <v>310.99876782691035</v>
      </c>
      <c r="AH178" s="20">
        <f t="shared" si="29"/>
        <v>147.28724355822357</v>
      </c>
      <c r="AI178" s="22"/>
    </row>
    <row r="179" spans="1:35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0"/>
        <v>8.9801505975588309</v>
      </c>
      <c r="O179" s="7">
        <f t="shared" si="24"/>
        <v>4780.916666666667</v>
      </c>
      <c r="P179" s="7">
        <f t="shared" si="25"/>
        <v>4771.9365160691086</v>
      </c>
      <c r="Q179" s="7">
        <f t="shared" si="26"/>
        <v>2133.1865160691082</v>
      </c>
      <c r="R179" s="7">
        <f t="shared" si="27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1"/>
        <v>176854</v>
      </c>
      <c r="X179" s="104">
        <f t="shared" si="32"/>
        <v>184067</v>
      </c>
      <c r="Y179" s="104"/>
      <c r="Z179" s="7">
        <v>0</v>
      </c>
      <c r="AA179" s="7"/>
      <c r="AB179" s="2">
        <v>1148</v>
      </c>
      <c r="AC179" s="104">
        <v>157236</v>
      </c>
      <c r="AD179" s="104">
        <v>178002</v>
      </c>
      <c r="AE179" s="64">
        <f t="shared" si="33"/>
        <v>0</v>
      </c>
      <c r="AF179" s="64">
        <f t="shared" si="34"/>
        <v>4.1920877293513559E-3</v>
      </c>
      <c r="AG179" s="20">
        <f t="shared" si="28"/>
        <v>0</v>
      </c>
      <c r="AH179" s="20">
        <f t="shared" si="29"/>
        <v>8.9801505975588309</v>
      </c>
      <c r="AI179" s="22"/>
    </row>
    <row r="180" spans="1:35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0"/>
        <v>135.29503460366129</v>
      </c>
      <c r="O180" s="7">
        <f t="shared" si="24"/>
        <v>3636.4166666666665</v>
      </c>
      <c r="P180" s="7">
        <f t="shared" si="25"/>
        <v>3501.1216320630056</v>
      </c>
      <c r="Q180" s="7">
        <f t="shared" si="26"/>
        <v>1236.6216320630056</v>
      </c>
      <c r="R180" s="7">
        <f t="shared" si="27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1"/>
        <v>109558</v>
      </c>
      <c r="X180" s="104">
        <f t="shared" si="32"/>
        <v>134937</v>
      </c>
      <c r="Y180" s="104"/>
      <c r="Z180" s="7">
        <v>0</v>
      </c>
      <c r="AA180" s="7"/>
      <c r="AB180" s="2">
        <v>19595</v>
      </c>
      <c r="AC180" s="104">
        <v>135803</v>
      </c>
      <c r="AD180" s="104">
        <v>129153</v>
      </c>
      <c r="AE180" s="64">
        <f t="shared" si="33"/>
        <v>0</v>
      </c>
      <c r="AF180" s="64">
        <f t="shared" si="34"/>
        <v>9.861753114523085E-2</v>
      </c>
      <c r="AG180" s="20">
        <f t="shared" si="28"/>
        <v>0</v>
      </c>
      <c r="AH180" s="20">
        <f t="shared" si="29"/>
        <v>135.29503460366129</v>
      </c>
      <c r="AI180" s="22"/>
    </row>
    <row r="181" spans="1:35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0"/>
        <v>0</v>
      </c>
      <c r="O181" s="7">
        <f t="shared" si="24"/>
        <v>1367</v>
      </c>
      <c r="P181" s="7">
        <f t="shared" si="25"/>
        <v>1367</v>
      </c>
      <c r="Q181" s="7">
        <f t="shared" si="26"/>
        <v>647.66666666666663</v>
      </c>
      <c r="R181" s="7">
        <f t="shared" si="27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1"/>
        <v>64380</v>
      </c>
      <c r="X181" s="104">
        <f t="shared" si="32"/>
        <v>67947</v>
      </c>
      <c r="Y181" s="104"/>
      <c r="Z181" s="7">
        <v>0</v>
      </c>
      <c r="AA181" s="7"/>
      <c r="AB181" s="2">
        <v>0</v>
      </c>
      <c r="AC181" s="104">
        <v>45285</v>
      </c>
      <c r="AD181" s="104">
        <v>64380</v>
      </c>
      <c r="AE181" s="64">
        <f t="shared" si="33"/>
        <v>0</v>
      </c>
      <c r="AF181" s="64">
        <f t="shared" si="34"/>
        <v>0</v>
      </c>
      <c r="AG181" s="20">
        <f t="shared" si="28"/>
        <v>0</v>
      </c>
      <c r="AH181" s="20">
        <f t="shared" si="29"/>
        <v>0</v>
      </c>
      <c r="AI181" s="22"/>
    </row>
    <row r="182" spans="1:35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0"/>
        <v>111.00644001852073</v>
      </c>
      <c r="O182" s="7">
        <f t="shared" si="24"/>
        <v>4963.75</v>
      </c>
      <c r="P182" s="7">
        <f t="shared" si="25"/>
        <v>4852.7435599814798</v>
      </c>
      <c r="Q182" s="7">
        <f t="shared" si="26"/>
        <v>1915.2540529065548</v>
      </c>
      <c r="R182" s="7">
        <f t="shared" si="27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1"/>
        <v>164559</v>
      </c>
      <c r="X182" s="104">
        <f t="shared" si="32"/>
        <v>176223</v>
      </c>
      <c r="Y182" s="104"/>
      <c r="Z182" s="7">
        <v>9391</v>
      </c>
      <c r="AA182" s="7"/>
      <c r="AB182" s="2">
        <v>2569</v>
      </c>
      <c r="AC182" s="104">
        <v>198306</v>
      </c>
      <c r="AD182" s="104">
        <v>167128</v>
      </c>
      <c r="AE182" s="64">
        <f t="shared" si="33"/>
        <v>4.3567617722106239E-2</v>
      </c>
      <c r="AF182" s="64">
        <f t="shared" si="34"/>
        <v>9.9914436838830119E-3</v>
      </c>
      <c r="AG182" s="20">
        <f t="shared" si="28"/>
        <v>91.677159591742054</v>
      </c>
      <c r="AH182" s="20">
        <f t="shared" si="29"/>
        <v>19.329280426778677</v>
      </c>
      <c r="AI182" s="22"/>
    </row>
    <row r="183" spans="1:35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0"/>
        <v>110.86050311776239</v>
      </c>
      <c r="O183" s="7">
        <f t="shared" si="24"/>
        <v>4722</v>
      </c>
      <c r="P183" s="7">
        <f t="shared" si="25"/>
        <v>4611.1394968822369</v>
      </c>
      <c r="Q183" s="7">
        <f t="shared" si="26"/>
        <v>1997.7892745098036</v>
      </c>
      <c r="R183" s="7">
        <f t="shared" si="27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1"/>
        <v>170067</v>
      </c>
      <c r="X183" s="104">
        <f t="shared" si="32"/>
        <v>191012</v>
      </c>
      <c r="Y183" s="104"/>
      <c r="Z183" s="7">
        <v>1959</v>
      </c>
      <c r="AA183" s="7"/>
      <c r="AB183" s="2">
        <v>12258</v>
      </c>
      <c r="AC183" s="104">
        <v>149419</v>
      </c>
      <c r="AD183" s="104">
        <v>182325</v>
      </c>
      <c r="AE183" s="64">
        <f t="shared" si="33"/>
        <v>1.2061919836165414E-2</v>
      </c>
      <c r="AF183" s="64">
        <f t="shared" si="34"/>
        <v>4.3700534759358291E-2</v>
      </c>
      <c r="AG183" s="20">
        <f t="shared" si="28"/>
        <v>19.566444294232994</v>
      </c>
      <c r="AH183" s="20">
        <f t="shared" si="29"/>
        <v>91.294058823529397</v>
      </c>
      <c r="AI183" s="22"/>
    </row>
    <row r="184" spans="1:35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0"/>
        <v>356.05556166156919</v>
      </c>
      <c r="O184" s="7">
        <f t="shared" si="24"/>
        <v>3952.75</v>
      </c>
      <c r="P184" s="7">
        <f t="shared" si="25"/>
        <v>3596.6944383384307</v>
      </c>
      <c r="Q184" s="7">
        <f t="shared" si="26"/>
        <v>1326.2015152338445</v>
      </c>
      <c r="R184" s="7">
        <f t="shared" si="27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1"/>
        <v>111654</v>
      </c>
      <c r="X184" s="104">
        <f t="shared" si="32"/>
        <v>136109</v>
      </c>
      <c r="Y184" s="104"/>
      <c r="Z184" s="7">
        <v>29533</v>
      </c>
      <c r="AA184" s="7"/>
      <c r="AB184" s="2">
        <v>17171</v>
      </c>
      <c r="AC184" s="104">
        <v>181671</v>
      </c>
      <c r="AD184" s="104">
        <v>128825</v>
      </c>
      <c r="AE184" s="64">
        <f t="shared" si="33"/>
        <v>0.14955804723924015</v>
      </c>
      <c r="AF184" s="64">
        <f t="shared" si="34"/>
        <v>8.6638074907820689E-2</v>
      </c>
      <c r="AG184" s="20">
        <f t="shared" si="28"/>
        <v>230.25707689541352</v>
      </c>
      <c r="AH184" s="20">
        <f t="shared" si="29"/>
        <v>125.79848476615564</v>
      </c>
      <c r="AI184" s="22"/>
    </row>
    <row r="185" spans="1:35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0"/>
        <v>698.69913157843052</v>
      </c>
      <c r="O185" s="7">
        <f t="shared" si="24"/>
        <v>4271.8333333333339</v>
      </c>
      <c r="P185" s="7">
        <f t="shared" si="25"/>
        <v>3573.1342017549032</v>
      </c>
      <c r="Q185" s="7">
        <f t="shared" si="26"/>
        <v>1435.0856670775702</v>
      </c>
      <c r="R185" s="7">
        <f t="shared" si="27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1"/>
        <v>108301</v>
      </c>
      <c r="X185" s="104">
        <f t="shared" si="32"/>
        <v>163120</v>
      </c>
      <c r="Y185" s="104"/>
      <c r="Z185" s="7">
        <v>49729</v>
      </c>
      <c r="AA185" s="7"/>
      <c r="AB185" s="2">
        <v>47859</v>
      </c>
      <c r="AC185" s="104">
        <v>201885</v>
      </c>
      <c r="AD185" s="104">
        <v>156160</v>
      </c>
      <c r="AE185" s="64">
        <f t="shared" si="33"/>
        <v>0.22661752978180649</v>
      </c>
      <c r="AF185" s="64">
        <f t="shared" si="34"/>
        <v>0.19920818391393441</v>
      </c>
      <c r="AG185" s="20">
        <f t="shared" si="28"/>
        <v>341.70146532266722</v>
      </c>
      <c r="AH185" s="20">
        <f t="shared" si="29"/>
        <v>356.99766625576331</v>
      </c>
      <c r="AI185" s="22"/>
    </row>
    <row r="186" spans="1:35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0"/>
        <v>65.009960176189793</v>
      </c>
      <c r="O186" s="7">
        <f t="shared" si="24"/>
        <v>3489.9166666666665</v>
      </c>
      <c r="P186" s="7">
        <f t="shared" si="25"/>
        <v>3424.9067064904775</v>
      </c>
      <c r="Q186" s="7">
        <f t="shared" si="26"/>
        <v>1207.9067064904771</v>
      </c>
      <c r="R186" s="7">
        <f t="shared" si="27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1"/>
        <v>113625</v>
      </c>
      <c r="X186" s="104">
        <f t="shared" si="32"/>
        <v>127130</v>
      </c>
      <c r="Y186" s="104"/>
      <c r="Z186" s="7">
        <v>0</v>
      </c>
      <c r="AA186" s="7"/>
      <c r="AB186" s="2">
        <v>9689</v>
      </c>
      <c r="AC186" s="104">
        <v>108991</v>
      </c>
      <c r="AD186" s="104">
        <v>123314</v>
      </c>
      <c r="AE186" s="64">
        <f t="shared" si="33"/>
        <v>0</v>
      </c>
      <c r="AF186" s="64">
        <f t="shared" si="34"/>
        <v>5.1071654475566441E-2</v>
      </c>
      <c r="AG186" s="20">
        <f t="shared" si="28"/>
        <v>0</v>
      </c>
      <c r="AH186" s="20">
        <f t="shared" si="29"/>
        <v>65.009960176189793</v>
      </c>
      <c r="AI186" s="22"/>
    </row>
    <row r="187" spans="1:35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0"/>
        <v>17.109737262559918</v>
      </c>
      <c r="O187" s="7">
        <f t="shared" si="24"/>
        <v>2660.5000000000005</v>
      </c>
      <c r="P187" s="7">
        <f t="shared" si="25"/>
        <v>2643.3902627374405</v>
      </c>
      <c r="Q187" s="7">
        <f t="shared" si="26"/>
        <v>1245.2235960707735</v>
      </c>
      <c r="R187" s="7">
        <f t="shared" si="27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si="31"/>
        <v>71702</v>
      </c>
      <c r="X187" s="104">
        <f t="shared" si="32"/>
        <v>77220</v>
      </c>
      <c r="Y187" s="104"/>
      <c r="Z187" s="7">
        <v>0</v>
      </c>
      <c r="AA187" s="7"/>
      <c r="AB187" s="2">
        <v>1527</v>
      </c>
      <c r="AC187" s="104">
        <v>59930</v>
      </c>
      <c r="AD187" s="104">
        <v>73229</v>
      </c>
      <c r="AE187" s="64">
        <f t="shared" si="33"/>
        <v>0</v>
      </c>
      <c r="AF187" s="64">
        <f t="shared" si="34"/>
        <v>1.355405645304456E-2</v>
      </c>
      <c r="AG187" s="20">
        <f t="shared" si="28"/>
        <v>0</v>
      </c>
      <c r="AH187" s="20">
        <f t="shared" si="29"/>
        <v>17.109737262559918</v>
      </c>
      <c r="AI187" s="22"/>
    </row>
    <row r="188" spans="1:35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0"/>
        <v>3.7462243278467975</v>
      </c>
      <c r="O188" s="7">
        <f t="shared" si="24"/>
        <v>1201.9166666666665</v>
      </c>
      <c r="P188" s="7">
        <f t="shared" si="25"/>
        <v>1198.1704423388198</v>
      </c>
      <c r="Q188" s="7">
        <f t="shared" si="26"/>
        <v>516.50377567215321</v>
      </c>
      <c r="R188" s="7">
        <f t="shared" si="27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1"/>
        <v>47044</v>
      </c>
      <c r="X188" s="104">
        <f t="shared" si="32"/>
        <v>49123</v>
      </c>
      <c r="Y188" s="104"/>
      <c r="Z188" s="7">
        <v>0</v>
      </c>
      <c r="AA188" s="7"/>
      <c r="AB188" s="2">
        <v>527</v>
      </c>
      <c r="AC188" s="104">
        <v>38029</v>
      </c>
      <c r="AD188" s="104">
        <v>47571</v>
      </c>
      <c r="AE188" s="64">
        <f t="shared" si="33"/>
        <v>0</v>
      </c>
      <c r="AF188" s="64">
        <f t="shared" si="34"/>
        <v>7.2008156229635707E-3</v>
      </c>
      <c r="AG188" s="20">
        <f t="shared" si="28"/>
        <v>0</v>
      </c>
      <c r="AH188" s="20">
        <f t="shared" si="29"/>
        <v>3.7462243278467975</v>
      </c>
      <c r="AI188" s="22"/>
    </row>
    <row r="189" spans="1:35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0"/>
        <v>14.790285994878889</v>
      </c>
      <c r="O189" s="7">
        <f t="shared" si="24"/>
        <v>3648.083333333333</v>
      </c>
      <c r="P189" s="7">
        <f t="shared" si="25"/>
        <v>3633.2930473384549</v>
      </c>
      <c r="Q189" s="7">
        <f t="shared" si="26"/>
        <v>1191.0430473384545</v>
      </c>
      <c r="R189" s="7">
        <f t="shared" si="27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1"/>
        <v>82254</v>
      </c>
      <c r="X189" s="104">
        <f t="shared" si="32"/>
        <v>91732</v>
      </c>
      <c r="Y189" s="104"/>
      <c r="Z189" s="7">
        <v>0</v>
      </c>
      <c r="AA189" s="7"/>
      <c r="AB189" s="2">
        <v>1582</v>
      </c>
      <c r="AC189" s="104">
        <v>132553</v>
      </c>
      <c r="AD189" s="104">
        <v>83836</v>
      </c>
      <c r="AE189" s="64">
        <f t="shared" si="33"/>
        <v>0</v>
      </c>
      <c r="AF189" s="64">
        <f t="shared" si="34"/>
        <v>1.2265613817453122E-2</v>
      </c>
      <c r="AG189" s="20">
        <f t="shared" si="28"/>
        <v>0</v>
      </c>
      <c r="AH189" s="20">
        <f t="shared" si="29"/>
        <v>14.790285994878889</v>
      </c>
      <c r="AI189" s="22"/>
    </row>
    <row r="190" spans="1:35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0"/>
        <v>8.3214328426523352</v>
      </c>
      <c r="O190" s="7">
        <f t="shared" si="24"/>
        <v>4254.75</v>
      </c>
      <c r="P190" s="7">
        <f t="shared" si="25"/>
        <v>4246.4285671573471</v>
      </c>
      <c r="Q190" s="7">
        <f t="shared" si="26"/>
        <v>1588.511900490681</v>
      </c>
      <c r="R190" s="7">
        <f t="shared" si="27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1"/>
        <v>134372</v>
      </c>
      <c r="X190" s="104">
        <f t="shared" si="32"/>
        <v>140810</v>
      </c>
      <c r="Y190" s="104"/>
      <c r="Z190" s="7">
        <v>0</v>
      </c>
      <c r="AA190" s="7"/>
      <c r="AB190" s="2">
        <v>1086</v>
      </c>
      <c r="AC190" s="104">
        <v>142822</v>
      </c>
      <c r="AD190" s="104">
        <v>135458</v>
      </c>
      <c r="AE190" s="64">
        <f t="shared" si="33"/>
        <v>0</v>
      </c>
      <c r="AF190" s="64">
        <f t="shared" si="34"/>
        <v>5.2112093785527617E-3</v>
      </c>
      <c r="AG190" s="20">
        <f t="shared" si="28"/>
        <v>0</v>
      </c>
      <c r="AH190" s="20">
        <f t="shared" si="29"/>
        <v>8.3214328426523352</v>
      </c>
      <c r="AI190" s="22"/>
    </row>
    <row r="191" spans="1:35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0"/>
        <v>6.0362179034772252</v>
      </c>
      <c r="O191" s="7">
        <f t="shared" si="24"/>
        <v>4472.25</v>
      </c>
      <c r="P191" s="7">
        <f t="shared" si="25"/>
        <v>4466.2137820965227</v>
      </c>
      <c r="Q191" s="7">
        <f t="shared" si="26"/>
        <v>1855.2137820965224</v>
      </c>
      <c r="R191" s="7">
        <f t="shared" si="27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1"/>
        <v>162133</v>
      </c>
      <c r="X191" s="104">
        <f t="shared" si="32"/>
        <v>167834</v>
      </c>
      <c r="Y191" s="104"/>
      <c r="Z191" s="7">
        <v>0</v>
      </c>
      <c r="AA191" s="7"/>
      <c r="AB191" s="2">
        <v>813</v>
      </c>
      <c r="AC191" s="104">
        <v>139190</v>
      </c>
      <c r="AD191" s="104">
        <v>162946</v>
      </c>
      <c r="AE191" s="64">
        <f t="shared" si="33"/>
        <v>0</v>
      </c>
      <c r="AF191" s="64">
        <f t="shared" si="34"/>
        <v>3.2430989407533787E-3</v>
      </c>
      <c r="AG191" s="20">
        <f t="shared" si="28"/>
        <v>0</v>
      </c>
      <c r="AH191" s="20">
        <f t="shared" si="29"/>
        <v>6.0362179034772252</v>
      </c>
      <c r="AI191" s="22"/>
    </row>
    <row r="192" spans="1:35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0"/>
        <v>10.23176561810352</v>
      </c>
      <c r="O192" s="7">
        <f t="shared" si="24"/>
        <v>4013.5833333333326</v>
      </c>
      <c r="P192" s="7">
        <f t="shared" si="25"/>
        <v>4003.3515677152291</v>
      </c>
      <c r="Q192" s="7">
        <f t="shared" si="26"/>
        <v>1635.934901048563</v>
      </c>
      <c r="R192" s="7">
        <f t="shared" si="27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1"/>
        <v>138379</v>
      </c>
      <c r="X192" s="104">
        <f t="shared" si="32"/>
        <v>147667</v>
      </c>
      <c r="Y192" s="104"/>
      <c r="Z192" s="7">
        <v>0</v>
      </c>
      <c r="AA192" s="7"/>
      <c r="AB192" s="2">
        <v>1336</v>
      </c>
      <c r="AC192" s="104">
        <v>113597</v>
      </c>
      <c r="AD192" s="104">
        <v>139715</v>
      </c>
      <c r="AE192" s="64">
        <f t="shared" si="33"/>
        <v>0</v>
      </c>
      <c r="AF192" s="64">
        <f t="shared" si="34"/>
        <v>6.2155101456536528E-3</v>
      </c>
      <c r="AG192" s="20">
        <f t="shared" si="28"/>
        <v>0</v>
      </c>
      <c r="AH192" s="20">
        <f t="shared" si="29"/>
        <v>10.23176561810352</v>
      </c>
      <c r="AI192" s="22"/>
    </row>
    <row r="193" spans="1:35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0"/>
        <v>8.1250101181967835</v>
      </c>
      <c r="O193" s="7">
        <f t="shared" si="24"/>
        <v>3698.3333333333335</v>
      </c>
      <c r="P193" s="7">
        <f t="shared" si="25"/>
        <v>3690.2083232151372</v>
      </c>
      <c r="Q193" s="7">
        <f t="shared" si="26"/>
        <v>1456.29165654847</v>
      </c>
      <c r="R193" s="7">
        <f t="shared" si="27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1"/>
        <v>122077</v>
      </c>
      <c r="X193" s="104">
        <f t="shared" si="32"/>
        <v>129191</v>
      </c>
      <c r="Y193" s="104"/>
      <c r="Z193" s="7">
        <v>0</v>
      </c>
      <c r="AA193" s="7"/>
      <c r="AB193" s="2">
        <v>1051</v>
      </c>
      <c r="AC193" s="104">
        <v>99025</v>
      </c>
      <c r="AD193" s="104">
        <v>123128</v>
      </c>
      <c r="AE193" s="64">
        <f t="shared" si="33"/>
        <v>0</v>
      </c>
      <c r="AF193" s="64">
        <f t="shared" si="34"/>
        <v>5.5482912091482043E-3</v>
      </c>
      <c r="AG193" s="20">
        <f t="shared" si="28"/>
        <v>0</v>
      </c>
      <c r="AH193" s="20">
        <f t="shared" si="29"/>
        <v>8.1250101181967835</v>
      </c>
      <c r="AI193" s="22"/>
    </row>
    <row r="194" spans="1:35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0"/>
        <v>11.023583008960047</v>
      </c>
      <c r="O194" s="7">
        <f t="shared" ref="O194:O257" si="35">+B194+C194+D194+F194+I194+K194+J194</f>
        <v>2746</v>
      </c>
      <c r="P194" s="7">
        <f t="shared" ref="P194:P257" si="36">+B194+C194+D194+F194+J194+Q194+R194</f>
        <v>2734.97641699104</v>
      </c>
      <c r="Q194" s="7">
        <f t="shared" ref="Q194:Q257" si="37">+I194-AH194</f>
        <v>1227.97641699104</v>
      </c>
      <c r="R194" s="7">
        <f t="shared" ref="R194:R257" si="38">+K194-AG194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1"/>
        <v>107437</v>
      </c>
      <c r="X194" s="104">
        <f t="shared" si="32"/>
        <v>111857</v>
      </c>
      <c r="Y194" s="104"/>
      <c r="Z194" s="7">
        <v>0</v>
      </c>
      <c r="AA194" s="7"/>
      <c r="AB194" s="2">
        <v>1491</v>
      </c>
      <c r="AC194" s="104">
        <v>71147</v>
      </c>
      <c r="AD194" s="104">
        <v>108928</v>
      </c>
      <c r="AE194" s="64">
        <f t="shared" si="33"/>
        <v>0</v>
      </c>
      <c r="AF194" s="64">
        <f t="shared" si="34"/>
        <v>8.8971614277320796E-3</v>
      </c>
      <c r="AG194" s="20">
        <f t="shared" ref="AG194:AG257" si="39">+AE194*K194</f>
        <v>0</v>
      </c>
      <c r="AH194" s="20">
        <f t="shared" ref="AH194:AH257" si="40">+AF194*I194</f>
        <v>11.023583008960047</v>
      </c>
      <c r="AI194" s="22"/>
    </row>
    <row r="195" spans="1:35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1">+AH195+AG195</f>
        <v>3.6634825527579506</v>
      </c>
      <c r="O195" s="7">
        <f t="shared" si="35"/>
        <v>1256.3333333333333</v>
      </c>
      <c r="P195" s="7">
        <f t="shared" si="36"/>
        <v>1252.6698507805754</v>
      </c>
      <c r="Q195" s="7">
        <f t="shared" si="37"/>
        <v>540.25318411390867</v>
      </c>
      <c r="R195" s="7">
        <f t="shared" si="38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ref="W195:W258" si="42">+V195-U195-S195+AA195</f>
        <v>53101</v>
      </c>
      <c r="X195" s="104">
        <f t="shared" ref="X195:X258" si="43">+V195+AB195+AA195</f>
        <v>55959</v>
      </c>
      <c r="Y195" s="104"/>
      <c r="Z195" s="7">
        <v>0</v>
      </c>
      <c r="AA195" s="7"/>
      <c r="AB195" s="2">
        <v>556</v>
      </c>
      <c r="AC195" s="104">
        <v>40670</v>
      </c>
      <c r="AD195" s="104">
        <v>53657</v>
      </c>
      <c r="AE195" s="64">
        <f t="shared" ref="AE195:AE258" si="44">+(Z195/AC195*0.92)</f>
        <v>0</v>
      </c>
      <c r="AF195" s="64">
        <f t="shared" ref="AF195:AF258" si="45">+(AB195/AD195*0.65)</f>
        <v>6.7353746948208074E-3</v>
      </c>
      <c r="AG195" s="20">
        <f t="shared" si="39"/>
        <v>0</v>
      </c>
      <c r="AH195" s="20">
        <f t="shared" si="40"/>
        <v>3.6634825527579506</v>
      </c>
      <c r="AI195" s="22"/>
    </row>
    <row r="196" spans="1:35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1"/>
        <v>12.566232702112165</v>
      </c>
      <c r="O196" s="7">
        <f t="shared" si="35"/>
        <v>3793</v>
      </c>
      <c r="P196" s="7">
        <f t="shared" si="36"/>
        <v>3780.4337672978877</v>
      </c>
      <c r="Q196" s="7">
        <f t="shared" si="37"/>
        <v>1149.9337672978879</v>
      </c>
      <c r="R196" s="7">
        <f t="shared" si="38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42"/>
        <v>89111</v>
      </c>
      <c r="X196" s="104">
        <f t="shared" si="43"/>
        <v>95558</v>
      </c>
      <c r="Y196" s="104"/>
      <c r="Z196" s="7">
        <v>0</v>
      </c>
      <c r="AA196" s="7"/>
      <c r="AB196" s="2">
        <v>1507</v>
      </c>
      <c r="AC196" s="104">
        <v>152620</v>
      </c>
      <c r="AD196" s="104">
        <v>90618</v>
      </c>
      <c r="AE196" s="64">
        <f t="shared" si="44"/>
        <v>0</v>
      </c>
      <c r="AF196" s="64">
        <f t="shared" si="45"/>
        <v>1.0809662539451325E-2</v>
      </c>
      <c r="AG196" s="20">
        <f t="shared" si="39"/>
        <v>0</v>
      </c>
      <c r="AH196" s="20">
        <f t="shared" si="40"/>
        <v>12.566232702112165</v>
      </c>
      <c r="AI196" s="22"/>
    </row>
    <row r="197" spans="1:35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1"/>
        <v>0</v>
      </c>
      <c r="O197" s="7">
        <f t="shared" si="35"/>
        <v>0</v>
      </c>
      <c r="P197" s="7">
        <f t="shared" si="36"/>
        <v>0</v>
      </c>
      <c r="Q197" s="7">
        <f t="shared" si="37"/>
        <v>0</v>
      </c>
      <c r="R197" s="7">
        <f t="shared" si="38"/>
        <v>0</v>
      </c>
      <c r="S197" s="7"/>
      <c r="T197" s="7"/>
      <c r="U197" s="7"/>
      <c r="V197" s="7"/>
      <c r="W197" s="7">
        <f t="shared" si="42"/>
        <v>0</v>
      </c>
      <c r="X197" s="104">
        <f t="shared" si="43"/>
        <v>0</v>
      </c>
      <c r="Y197" s="104"/>
      <c r="Z197" s="7">
        <v>0</v>
      </c>
      <c r="AA197" s="7"/>
      <c r="AB197" s="2">
        <v>0</v>
      </c>
      <c r="AC197" s="104">
        <v>0</v>
      </c>
      <c r="AD197" s="104">
        <v>0</v>
      </c>
      <c r="AE197" s="64" t="e">
        <f t="shared" si="44"/>
        <v>#DIV/0!</v>
      </c>
      <c r="AF197" s="64"/>
      <c r="AG197" s="20"/>
      <c r="AH197" s="20"/>
      <c r="AI197" s="22"/>
    </row>
    <row r="198" spans="1:35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1"/>
        <v>13.326267948519151</v>
      </c>
      <c r="O198" s="7">
        <f t="shared" si="35"/>
        <v>4802.0833333333339</v>
      </c>
      <c r="P198" s="7">
        <f t="shared" si="36"/>
        <v>4788.7570653848143</v>
      </c>
      <c r="Q198" s="7">
        <f t="shared" si="37"/>
        <v>1804.8403987181475</v>
      </c>
      <c r="R198" s="7">
        <f t="shared" si="38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si="42"/>
        <v>159407</v>
      </c>
      <c r="X198" s="104">
        <f t="shared" si="43"/>
        <v>168204</v>
      </c>
      <c r="Y198" s="104"/>
      <c r="Z198" s="7">
        <v>0</v>
      </c>
      <c r="AA198" s="7"/>
      <c r="AB198" s="2">
        <v>1818</v>
      </c>
      <c r="AC198" s="104">
        <v>164041</v>
      </c>
      <c r="AD198" s="104">
        <v>161225</v>
      </c>
      <c r="AE198" s="64">
        <f t="shared" si="44"/>
        <v>0</v>
      </c>
      <c r="AF198" s="64">
        <f t="shared" si="45"/>
        <v>7.3295084509226241E-3</v>
      </c>
      <c r="AG198" s="20">
        <f t="shared" si="39"/>
        <v>0</v>
      </c>
      <c r="AH198" s="20">
        <f t="shared" si="40"/>
        <v>13.326267948519151</v>
      </c>
      <c r="AI198" s="22"/>
    </row>
    <row r="199" spans="1:35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1"/>
        <v>390.61720760999646</v>
      </c>
      <c r="O199" s="7">
        <f t="shared" si="35"/>
        <v>4598.5</v>
      </c>
      <c r="P199" s="7">
        <f t="shared" si="36"/>
        <v>4207.8827923900035</v>
      </c>
      <c r="Q199" s="7">
        <f t="shared" si="37"/>
        <v>1573.7843262672366</v>
      </c>
      <c r="R199" s="7">
        <f t="shared" si="38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2"/>
        <v>133737</v>
      </c>
      <c r="X199" s="104">
        <f t="shared" si="43"/>
        <v>144463</v>
      </c>
      <c r="Y199" s="104"/>
      <c r="Z199" s="7">
        <v>45753</v>
      </c>
      <c r="AA199" s="7"/>
      <c r="AB199" s="2">
        <v>1439</v>
      </c>
      <c r="AC199" s="104">
        <v>226022</v>
      </c>
      <c r="AD199" s="104">
        <v>135176</v>
      </c>
      <c r="AE199" s="64">
        <f t="shared" si="44"/>
        <v>0.18623302156427252</v>
      </c>
      <c r="AF199" s="64">
        <f t="shared" si="45"/>
        <v>6.9194975439427122E-3</v>
      </c>
      <c r="AG199" s="20">
        <f t="shared" si="39"/>
        <v>379.65153387723325</v>
      </c>
      <c r="AH199" s="20">
        <f t="shared" si="40"/>
        <v>10.965673732763211</v>
      </c>
      <c r="AI199" s="22"/>
    </row>
    <row r="200" spans="1:35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1"/>
        <v>652.59958561661233</v>
      </c>
      <c r="O200" s="7">
        <f t="shared" si="35"/>
        <v>4551.9166666666661</v>
      </c>
      <c r="P200" s="7">
        <f t="shared" si="36"/>
        <v>3899.3170810500542</v>
      </c>
      <c r="Q200" s="7">
        <f t="shared" si="37"/>
        <v>1752.5060558933033</v>
      </c>
      <c r="R200" s="7">
        <f t="shared" si="38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2"/>
        <v>138296</v>
      </c>
      <c r="X200" s="104">
        <f t="shared" si="43"/>
        <v>176674</v>
      </c>
      <c r="Y200" s="104"/>
      <c r="Z200" s="7">
        <v>60803</v>
      </c>
      <c r="AA200" s="7"/>
      <c r="AB200" s="2">
        <v>31456</v>
      </c>
      <c r="AC200" s="104">
        <v>235086</v>
      </c>
      <c r="AD200" s="104">
        <v>169752</v>
      </c>
      <c r="AE200" s="64">
        <f t="shared" si="44"/>
        <v>0.23795019694920155</v>
      </c>
      <c r="AF200" s="64">
        <f t="shared" si="45"/>
        <v>0.12044865450775248</v>
      </c>
      <c r="AG200" s="20">
        <f t="shared" si="39"/>
        <v>412.60564150991547</v>
      </c>
      <c r="AH200" s="20">
        <f t="shared" si="40"/>
        <v>239.99394410669683</v>
      </c>
      <c r="AI200" s="22"/>
    </row>
    <row r="201" spans="1:35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1"/>
        <v>659.51597036641476</v>
      </c>
      <c r="O201" s="7">
        <f t="shared" si="35"/>
        <v>4144.5</v>
      </c>
      <c r="P201" s="7">
        <f t="shared" si="36"/>
        <v>3484.9840296335856</v>
      </c>
      <c r="Q201" s="7">
        <f t="shared" si="37"/>
        <v>1359.2648540702112</v>
      </c>
      <c r="R201" s="7">
        <f t="shared" si="38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2"/>
        <v>111576</v>
      </c>
      <c r="X201" s="104">
        <f t="shared" si="43"/>
        <v>187456</v>
      </c>
      <c r="Y201" s="104"/>
      <c r="Z201" s="7">
        <v>28813</v>
      </c>
      <c r="AA201" s="7"/>
      <c r="AB201" s="2">
        <v>67911</v>
      </c>
      <c r="AC201" s="104">
        <v>198107</v>
      </c>
      <c r="AD201" s="104">
        <v>179487</v>
      </c>
      <c r="AE201" s="64">
        <f t="shared" si="44"/>
        <v>0.13380627640618453</v>
      </c>
      <c r="AF201" s="64">
        <f t="shared" si="45"/>
        <v>0.24593508164936737</v>
      </c>
      <c r="AG201" s="20">
        <f t="shared" si="39"/>
        <v>216.19749110329266</v>
      </c>
      <c r="AH201" s="20">
        <f t="shared" si="40"/>
        <v>443.31847926312213</v>
      </c>
      <c r="AI201" s="22"/>
    </row>
    <row r="202" spans="1:35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1"/>
        <v>384.37122963116155</v>
      </c>
      <c r="O202" s="7">
        <f t="shared" si="35"/>
        <v>2730.666666666667</v>
      </c>
      <c r="P202" s="7">
        <f t="shared" si="36"/>
        <v>2346.2954370355051</v>
      </c>
      <c r="Q202" s="7">
        <f t="shared" si="37"/>
        <v>836.37877036883845</v>
      </c>
      <c r="R202" s="7">
        <f t="shared" si="38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2"/>
        <v>78533</v>
      </c>
      <c r="X202" s="104">
        <f t="shared" si="43"/>
        <v>160892</v>
      </c>
      <c r="Y202" s="104"/>
      <c r="Z202" s="7">
        <v>0</v>
      </c>
      <c r="AA202" s="7"/>
      <c r="AB202" s="2">
        <v>73783</v>
      </c>
      <c r="AC202" s="104">
        <v>78532</v>
      </c>
      <c r="AD202" s="104">
        <v>152316</v>
      </c>
      <c r="AE202" s="64">
        <f t="shared" si="44"/>
        <v>0</v>
      </c>
      <c r="AF202" s="64">
        <f t="shared" si="45"/>
        <v>0.31486482050474018</v>
      </c>
      <c r="AG202" s="20">
        <f t="shared" si="39"/>
        <v>0</v>
      </c>
      <c r="AH202" s="20">
        <f t="shared" si="40"/>
        <v>384.37122963116155</v>
      </c>
      <c r="AI202" s="22"/>
    </row>
    <row r="203" spans="1:35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1"/>
        <v>6.5711790747689207</v>
      </c>
      <c r="O203" s="7">
        <f t="shared" si="35"/>
        <v>3066.5</v>
      </c>
      <c r="P203" s="7">
        <f t="shared" si="36"/>
        <v>3059.9288209252309</v>
      </c>
      <c r="Q203" s="7">
        <f t="shared" si="37"/>
        <v>1155.0121542585644</v>
      </c>
      <c r="R203" s="7">
        <f t="shared" si="38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2"/>
        <v>108319</v>
      </c>
      <c r="X203" s="104">
        <f t="shared" si="43"/>
        <v>114555</v>
      </c>
      <c r="Y203" s="104"/>
      <c r="Z203" s="7">
        <v>0</v>
      </c>
      <c r="AA203" s="7"/>
      <c r="AB203" s="2">
        <v>951</v>
      </c>
      <c r="AC203" s="104">
        <v>92881</v>
      </c>
      <c r="AD203" s="104">
        <v>109270</v>
      </c>
      <c r="AE203" s="64">
        <f t="shared" si="44"/>
        <v>0</v>
      </c>
      <c r="AF203" s="64">
        <f t="shared" si="45"/>
        <v>5.6570879472865382E-3</v>
      </c>
      <c r="AG203" s="20">
        <f t="shared" si="39"/>
        <v>0</v>
      </c>
      <c r="AH203" s="20">
        <f t="shared" si="40"/>
        <v>6.5711790747689207</v>
      </c>
      <c r="AI203" s="22"/>
    </row>
    <row r="204" spans="1:35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1"/>
        <v>6.9242179387331255</v>
      </c>
      <c r="O204" s="7">
        <f t="shared" si="35"/>
        <v>2940.3333333333335</v>
      </c>
      <c r="P204" s="7">
        <f t="shared" si="36"/>
        <v>2933.4091153946001</v>
      </c>
      <c r="Q204" s="7">
        <f t="shared" si="37"/>
        <v>1112.5757820612669</v>
      </c>
      <c r="R204" s="7">
        <f t="shared" si="38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2"/>
        <v>99199</v>
      </c>
      <c r="X204" s="104">
        <f t="shared" si="43"/>
        <v>106171</v>
      </c>
      <c r="Y204" s="104"/>
      <c r="Z204" s="7">
        <v>0</v>
      </c>
      <c r="AA204" s="7"/>
      <c r="AB204" s="2">
        <v>953</v>
      </c>
      <c r="AC204" s="104">
        <v>107137</v>
      </c>
      <c r="AD204" s="104">
        <v>100152</v>
      </c>
      <c r="AE204" s="64">
        <f t="shared" si="44"/>
        <v>0</v>
      </c>
      <c r="AF204" s="64">
        <f t="shared" si="45"/>
        <v>6.1850986500519211E-3</v>
      </c>
      <c r="AG204" s="20">
        <f t="shared" si="39"/>
        <v>0</v>
      </c>
      <c r="AH204" s="20">
        <f t="shared" si="40"/>
        <v>6.9242179387331255</v>
      </c>
      <c r="AI204" s="22"/>
    </row>
    <row r="205" spans="1:35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1"/>
        <v>10.097641246486504</v>
      </c>
      <c r="O205" s="7">
        <f t="shared" si="35"/>
        <v>3117</v>
      </c>
      <c r="P205" s="7">
        <f t="shared" si="36"/>
        <v>3106.9023587535135</v>
      </c>
      <c r="Q205" s="7">
        <f t="shared" si="37"/>
        <v>1355.4023587535135</v>
      </c>
      <c r="R205" s="7">
        <f t="shared" si="38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2"/>
        <v>125917</v>
      </c>
      <c r="X205" s="104">
        <f t="shared" si="43"/>
        <v>130055</v>
      </c>
      <c r="Y205" s="104"/>
      <c r="Z205" s="7">
        <v>0</v>
      </c>
      <c r="AA205" s="7"/>
      <c r="AB205" s="2">
        <v>1449</v>
      </c>
      <c r="AC205" s="104">
        <v>100719</v>
      </c>
      <c r="AD205" s="104">
        <v>127366</v>
      </c>
      <c r="AE205" s="64">
        <f t="shared" si="44"/>
        <v>0</v>
      </c>
      <c r="AF205" s="64">
        <f t="shared" si="45"/>
        <v>7.3948306455411958E-3</v>
      </c>
      <c r="AG205" s="20">
        <f t="shared" si="39"/>
        <v>0</v>
      </c>
      <c r="AH205" s="20">
        <f t="shared" si="40"/>
        <v>10.097641246486504</v>
      </c>
      <c r="AI205" s="22"/>
    </row>
    <row r="206" spans="1:35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1"/>
        <v>121.00132695732256</v>
      </c>
      <c r="O206" s="7">
        <f t="shared" si="35"/>
        <v>3046.166666666667</v>
      </c>
      <c r="P206" s="7">
        <f t="shared" si="36"/>
        <v>2925.1653397093442</v>
      </c>
      <c r="Q206" s="7">
        <f t="shared" si="37"/>
        <v>1188.568171080756</v>
      </c>
      <c r="R206" s="7">
        <f t="shared" si="38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2"/>
        <v>107202</v>
      </c>
      <c r="X206" s="104">
        <f t="shared" si="43"/>
        <v>111382</v>
      </c>
      <c r="Y206" s="104"/>
      <c r="Z206" s="7">
        <v>14860</v>
      </c>
      <c r="AA206" s="7"/>
      <c r="AB206" s="2">
        <v>1805</v>
      </c>
      <c r="AC206" s="104">
        <v>131079</v>
      </c>
      <c r="AD206" s="104">
        <v>109007</v>
      </c>
      <c r="AE206" s="64">
        <f t="shared" si="44"/>
        <v>0.10429740843308234</v>
      </c>
      <c r="AF206" s="64">
        <f t="shared" si="45"/>
        <v>1.0763070261542837E-2</v>
      </c>
      <c r="AG206" s="20">
        <f t="shared" si="39"/>
        <v>108.06949803807885</v>
      </c>
      <c r="AH206" s="20">
        <f t="shared" si="40"/>
        <v>12.931828919243717</v>
      </c>
      <c r="AI206" s="22"/>
    </row>
    <row r="207" spans="1:35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1"/>
        <v>534.51238799050429</v>
      </c>
      <c r="O207" s="7">
        <f t="shared" si="35"/>
        <v>3098.5</v>
      </c>
      <c r="P207" s="7">
        <f t="shared" si="36"/>
        <v>2563.9876120094955</v>
      </c>
      <c r="Q207" s="7">
        <f t="shared" si="37"/>
        <v>980.09085068768366</v>
      </c>
      <c r="R207" s="7">
        <f t="shared" si="38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2"/>
        <v>70237</v>
      </c>
      <c r="X207" s="104">
        <f t="shared" si="43"/>
        <v>115143</v>
      </c>
      <c r="Y207" s="104"/>
      <c r="Z207" s="7">
        <v>29261</v>
      </c>
      <c r="AA207" s="7"/>
      <c r="AB207" s="2">
        <v>42751</v>
      </c>
      <c r="AC207" s="104">
        <v>150793</v>
      </c>
      <c r="AD207" s="104">
        <v>112988</v>
      </c>
      <c r="AE207" s="64">
        <f t="shared" si="44"/>
        <v>0.17852367152321394</v>
      </c>
      <c r="AF207" s="64">
        <f t="shared" si="45"/>
        <v>0.24593894926894891</v>
      </c>
      <c r="AG207" s="20">
        <f t="shared" si="39"/>
        <v>214.85323867818798</v>
      </c>
      <c r="AH207" s="20">
        <f t="shared" si="40"/>
        <v>319.65914931231634</v>
      </c>
      <c r="AI207" s="22"/>
    </row>
    <row r="208" spans="1:35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1"/>
        <v>21.731272166722015</v>
      </c>
      <c r="O208" s="7">
        <f t="shared" si="35"/>
        <v>1730.5</v>
      </c>
      <c r="P208" s="7">
        <f t="shared" si="36"/>
        <v>1708.768727833278</v>
      </c>
      <c r="Q208" s="7">
        <f t="shared" si="37"/>
        <v>626.87634897932651</v>
      </c>
      <c r="R208" s="7">
        <f t="shared" si="38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2"/>
        <v>68691</v>
      </c>
      <c r="X208" s="104">
        <f t="shared" si="43"/>
        <v>72124</v>
      </c>
      <c r="Y208" s="104"/>
      <c r="Z208" s="7">
        <v>2204</v>
      </c>
      <c r="AA208" s="7"/>
      <c r="AB208" s="2">
        <v>528</v>
      </c>
      <c r="AC208" s="104">
        <v>65355</v>
      </c>
      <c r="AD208" s="104">
        <v>69219</v>
      </c>
      <c r="AE208" s="64">
        <f t="shared" si="44"/>
        <v>3.1025629255604009E-2</v>
      </c>
      <c r="AF208" s="64">
        <f t="shared" si="45"/>
        <v>4.9581762232912933E-3</v>
      </c>
      <c r="AG208" s="20">
        <f t="shared" si="39"/>
        <v>18.607621146048501</v>
      </c>
      <c r="AH208" s="20">
        <f t="shared" si="40"/>
        <v>3.1236510206735146</v>
      </c>
      <c r="AI208" s="22"/>
    </row>
    <row r="209" spans="1:35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1"/>
        <v>22.238105375790301</v>
      </c>
      <c r="O209" s="7">
        <f t="shared" si="35"/>
        <v>1391.3333333333335</v>
      </c>
      <c r="P209" s="7">
        <f t="shared" si="36"/>
        <v>1369.0952279575431</v>
      </c>
      <c r="Q209" s="7">
        <f t="shared" si="37"/>
        <v>568.51189462420984</v>
      </c>
      <c r="R209" s="7">
        <f t="shared" si="38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2"/>
        <v>53047</v>
      </c>
      <c r="X209" s="104">
        <f t="shared" si="43"/>
        <v>61822</v>
      </c>
      <c r="Y209" s="104"/>
      <c r="Z209" s="7">
        <v>0</v>
      </c>
      <c r="AB209" s="2">
        <v>3261</v>
      </c>
      <c r="AC209" s="104">
        <v>51606</v>
      </c>
      <c r="AD209" s="104">
        <v>56308</v>
      </c>
      <c r="AE209" s="64">
        <f t="shared" si="44"/>
        <v>0</v>
      </c>
      <c r="AF209" s="64">
        <f t="shared" si="45"/>
        <v>3.7643851672941681E-2</v>
      </c>
      <c r="AG209" s="20">
        <f t="shared" si="39"/>
        <v>0</v>
      </c>
      <c r="AH209" s="20">
        <f t="shared" si="40"/>
        <v>22.238105375790301</v>
      </c>
      <c r="AI209" s="22"/>
    </row>
    <row r="210" spans="1:35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1"/>
        <v>19.708621225166453</v>
      </c>
      <c r="O210" s="7">
        <f t="shared" si="35"/>
        <v>3228.2500000000005</v>
      </c>
      <c r="P210" s="7">
        <f t="shared" si="36"/>
        <v>3208.5413787748339</v>
      </c>
      <c r="Q210" s="7">
        <f t="shared" si="37"/>
        <v>1286.4511102824185</v>
      </c>
      <c r="R210" s="7">
        <f t="shared" si="38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2"/>
        <v>115829</v>
      </c>
      <c r="X210" s="104">
        <f t="shared" si="43"/>
        <v>122307</v>
      </c>
      <c r="Y210" s="104"/>
      <c r="Z210" s="7">
        <v>968</v>
      </c>
      <c r="AB210" s="2">
        <v>1491</v>
      </c>
      <c r="AC210" s="104">
        <v>109252</v>
      </c>
      <c r="AD210" s="104">
        <v>117320</v>
      </c>
      <c r="AE210" s="64">
        <f t="shared" si="44"/>
        <v>8.1514297221103506E-3</v>
      </c>
      <c r="AF210" s="64">
        <f t="shared" si="45"/>
        <v>8.2607398568019103E-3</v>
      </c>
      <c r="AG210" s="20">
        <f t="shared" si="39"/>
        <v>8.9930648409182439</v>
      </c>
      <c r="AH210" s="20">
        <f t="shared" si="40"/>
        <v>10.715556384248211</v>
      </c>
      <c r="AI210" s="22"/>
    </row>
    <row r="211" spans="1:35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1"/>
        <v>22.197614832592848</v>
      </c>
      <c r="O211" s="7">
        <f t="shared" si="35"/>
        <v>3247.6666666666665</v>
      </c>
      <c r="P211" s="7">
        <f t="shared" si="36"/>
        <v>3225.469051834074</v>
      </c>
      <c r="Q211" s="7">
        <f t="shared" si="37"/>
        <v>1181.4498689984143</v>
      </c>
      <c r="R211" s="7">
        <f t="shared" si="38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2"/>
        <v>91059</v>
      </c>
      <c r="X211" s="104">
        <f t="shared" si="43"/>
        <v>96343</v>
      </c>
      <c r="Y211" s="104"/>
      <c r="Z211" s="7">
        <v>696</v>
      </c>
      <c r="AB211" s="2">
        <v>1847</v>
      </c>
      <c r="AC211" s="104">
        <v>115705</v>
      </c>
      <c r="AD211" s="104">
        <v>92906</v>
      </c>
      <c r="AE211" s="64">
        <f t="shared" si="44"/>
        <v>5.534073721965343E-3</v>
      </c>
      <c r="AF211" s="64">
        <f t="shared" si="45"/>
        <v>1.2922200934277657E-2</v>
      </c>
      <c r="AG211" s="20">
        <f t="shared" si="39"/>
        <v>6.7308171643403476</v>
      </c>
      <c r="AH211" s="20">
        <f t="shared" si="40"/>
        <v>15.4667976682525</v>
      </c>
      <c r="AI211" s="22"/>
    </row>
    <row r="212" spans="1:35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1"/>
        <v>72.98522065883175</v>
      </c>
      <c r="O212" s="7">
        <f t="shared" si="35"/>
        <v>3242.333333333333</v>
      </c>
      <c r="P212" s="7">
        <f t="shared" si="36"/>
        <v>3169.3481126745014</v>
      </c>
      <c r="Q212" s="7">
        <f t="shared" si="37"/>
        <v>1330.3385874193941</v>
      </c>
      <c r="R212" s="7">
        <f t="shared" si="38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2"/>
        <v>122340</v>
      </c>
      <c r="X212" s="104">
        <f t="shared" si="43"/>
        <v>130204</v>
      </c>
      <c r="Y212" s="104"/>
      <c r="Z212" s="7">
        <v>8298</v>
      </c>
      <c r="AB212" s="2">
        <v>945</v>
      </c>
      <c r="AC212" s="104">
        <v>125176</v>
      </c>
      <c r="AD212" s="104">
        <v>123285</v>
      </c>
      <c r="AE212" s="64">
        <f t="shared" si="44"/>
        <v>6.0987409727104237E-2</v>
      </c>
      <c r="AF212" s="64">
        <f t="shared" si="45"/>
        <v>4.98235795108894E-3</v>
      </c>
      <c r="AG212" s="20">
        <f t="shared" si="39"/>
        <v>66.323808078225838</v>
      </c>
      <c r="AH212" s="20">
        <f t="shared" si="40"/>
        <v>6.661412580605913</v>
      </c>
      <c r="AI212" s="22"/>
    </row>
    <row r="213" spans="1:35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1"/>
        <v>193.79540847056364</v>
      </c>
      <c r="O213" s="7">
        <f t="shared" si="35"/>
        <v>3184.4166666666665</v>
      </c>
      <c r="P213" s="7">
        <f t="shared" si="36"/>
        <v>2990.6212581961031</v>
      </c>
      <c r="Q213" s="7">
        <f t="shared" si="37"/>
        <v>1327.4225063730541</v>
      </c>
      <c r="R213" s="7">
        <f t="shared" si="38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2"/>
        <v>109182</v>
      </c>
      <c r="X213" s="104">
        <f t="shared" si="43"/>
        <v>114530</v>
      </c>
      <c r="Y213" s="104"/>
      <c r="Z213" s="7">
        <v>26926</v>
      </c>
      <c r="AB213" s="2">
        <v>1440</v>
      </c>
      <c r="AC213" s="104">
        <v>145818</v>
      </c>
      <c r="AD213" s="104">
        <v>110622</v>
      </c>
      <c r="AE213" s="64">
        <f t="shared" si="44"/>
        <v>0.16988245621253892</v>
      </c>
      <c r="AF213" s="64">
        <f t="shared" si="45"/>
        <v>8.4612464066822161E-3</v>
      </c>
      <c r="AG213" s="20">
        <f t="shared" si="39"/>
        <v>182.46791484361782</v>
      </c>
      <c r="AH213" s="20">
        <f t="shared" si="40"/>
        <v>11.327493626945817</v>
      </c>
      <c r="AI213" s="22"/>
    </row>
    <row r="214" spans="1:35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1"/>
        <v>513.4050005322373</v>
      </c>
      <c r="O214" s="7">
        <f t="shared" si="35"/>
        <v>3127.5</v>
      </c>
      <c r="P214" s="7">
        <f t="shared" si="36"/>
        <v>2614.0949994677626</v>
      </c>
      <c r="Q214" s="7">
        <f t="shared" si="37"/>
        <v>1036.8602870485347</v>
      </c>
      <c r="R214" s="7">
        <f t="shared" si="38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2"/>
        <v>87679</v>
      </c>
      <c r="X214" s="104">
        <f t="shared" si="43"/>
        <v>138060</v>
      </c>
      <c r="Y214" s="104"/>
      <c r="Z214" s="7">
        <v>36026</v>
      </c>
      <c r="AB214" s="2">
        <v>43588</v>
      </c>
      <c r="AC214" s="104">
        <v>147999</v>
      </c>
      <c r="AD214" s="104">
        <v>131267</v>
      </c>
      <c r="AE214" s="64">
        <f t="shared" si="44"/>
        <v>0.22394691856026055</v>
      </c>
      <c r="AF214" s="64">
        <f t="shared" si="45"/>
        <v>0.21583642499638142</v>
      </c>
      <c r="AG214" s="20">
        <f t="shared" si="39"/>
        <v>228.01528758077194</v>
      </c>
      <c r="AH214" s="20">
        <f t="shared" si="40"/>
        <v>285.38971295146536</v>
      </c>
      <c r="AI214" s="22"/>
    </row>
    <row r="215" spans="1:35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1"/>
        <v>18.222185878922122</v>
      </c>
      <c r="O215" s="7">
        <f t="shared" si="35"/>
        <v>1757.8333333333333</v>
      </c>
      <c r="P215" s="7">
        <f t="shared" si="36"/>
        <v>1739.6111474544111</v>
      </c>
      <c r="Q215" s="7">
        <f t="shared" si="37"/>
        <v>636.07415775309551</v>
      </c>
      <c r="R215" s="7">
        <f t="shared" si="38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2"/>
        <v>61698</v>
      </c>
      <c r="X215" s="104">
        <f t="shared" si="43"/>
        <v>65557</v>
      </c>
      <c r="Y215" s="104"/>
      <c r="Z215" s="7">
        <v>954</v>
      </c>
      <c r="AB215" s="2">
        <v>1595</v>
      </c>
      <c r="AC215" s="104">
        <v>59684</v>
      </c>
      <c r="AD215" s="104">
        <v>63293</v>
      </c>
      <c r="AE215" s="64">
        <f t="shared" si="44"/>
        <v>1.4705448696468065E-2</v>
      </c>
      <c r="AF215" s="64">
        <f t="shared" si="45"/>
        <v>1.6380168423048364E-2</v>
      </c>
      <c r="AG215" s="20">
        <f t="shared" si="39"/>
        <v>7.6296769653508463</v>
      </c>
      <c r="AH215" s="20">
        <f t="shared" si="40"/>
        <v>10.592508913571276</v>
      </c>
      <c r="AI215" s="22"/>
    </row>
    <row r="216" spans="1:35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1"/>
        <v>3.6153348447155129</v>
      </c>
      <c r="O216" s="7">
        <f t="shared" si="35"/>
        <v>1328.25</v>
      </c>
      <c r="P216" s="7">
        <f t="shared" si="36"/>
        <v>1324.6346651552844</v>
      </c>
      <c r="Q216" s="7">
        <f t="shared" si="37"/>
        <v>552.63466515528444</v>
      </c>
      <c r="R216" s="7">
        <f t="shared" si="38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2"/>
        <v>61682</v>
      </c>
      <c r="X216" s="104">
        <f t="shared" si="43"/>
        <v>65632</v>
      </c>
      <c r="Y216" s="104"/>
      <c r="Z216" s="7">
        <v>0</v>
      </c>
      <c r="AB216" s="2">
        <v>623</v>
      </c>
      <c r="AC216" s="104">
        <v>49041</v>
      </c>
      <c r="AD216" s="104">
        <v>62305</v>
      </c>
      <c r="AE216" s="64">
        <f t="shared" si="44"/>
        <v>0</v>
      </c>
      <c r="AF216" s="64">
        <f t="shared" si="45"/>
        <v>6.4994783725222703E-3</v>
      </c>
      <c r="AG216" s="20">
        <f t="shared" si="39"/>
        <v>0</v>
      </c>
      <c r="AH216" s="20">
        <f t="shared" si="40"/>
        <v>3.6153348447155129</v>
      </c>
      <c r="AI216" s="22"/>
    </row>
    <row r="217" spans="1:35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1"/>
        <v>447.08568302999231</v>
      </c>
      <c r="O217" s="7">
        <f t="shared" si="35"/>
        <v>3235.5833333333335</v>
      </c>
      <c r="P217" s="7">
        <f t="shared" si="36"/>
        <v>2788.4976503033413</v>
      </c>
      <c r="Q217" s="7">
        <f t="shared" si="37"/>
        <v>997.27082347507621</v>
      </c>
      <c r="R217" s="7">
        <f t="shared" si="38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2"/>
        <v>77230</v>
      </c>
      <c r="X217" s="104">
        <f t="shared" si="43"/>
        <v>128110</v>
      </c>
      <c r="Y217" s="104"/>
      <c r="Z217" s="7">
        <v>16751</v>
      </c>
      <c r="AB217" s="2">
        <v>46186</v>
      </c>
      <c r="AC217" s="104">
        <v>153137</v>
      </c>
      <c r="AD217" s="104">
        <v>123416</v>
      </c>
      <c r="AE217" s="64">
        <f t="shared" si="44"/>
        <v>0.10063485637043955</v>
      </c>
      <c r="AF217" s="64">
        <f t="shared" si="45"/>
        <v>0.24324965968756079</v>
      </c>
      <c r="AG217" s="20">
        <f t="shared" si="39"/>
        <v>126.52317317173512</v>
      </c>
      <c r="AH217" s="20">
        <f t="shared" si="40"/>
        <v>320.56250985825722</v>
      </c>
      <c r="AI217" s="22"/>
    </row>
    <row r="218" spans="1:35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1"/>
        <v>124.70838841534363</v>
      </c>
      <c r="O218" s="7">
        <f t="shared" si="35"/>
        <v>2885.5833333333335</v>
      </c>
      <c r="P218" s="7">
        <f t="shared" si="36"/>
        <v>2760.87494491799</v>
      </c>
      <c r="Q218" s="7">
        <f t="shared" si="37"/>
        <v>1129.2764661700455</v>
      </c>
      <c r="R218" s="7">
        <f t="shared" si="38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2"/>
        <v>104139</v>
      </c>
      <c r="X218" s="104">
        <f t="shared" si="43"/>
        <v>112558</v>
      </c>
      <c r="Y218" s="104"/>
      <c r="Z218" s="7">
        <v>15724</v>
      </c>
      <c r="AB218" s="2">
        <v>1374</v>
      </c>
      <c r="AC218" s="104">
        <v>120804</v>
      </c>
      <c r="AD218" s="104">
        <v>105513</v>
      </c>
      <c r="AE218" s="64">
        <f t="shared" si="44"/>
        <v>0.11974835270355287</v>
      </c>
      <c r="AF218" s="64">
        <f t="shared" si="45"/>
        <v>8.4643598419152141E-3</v>
      </c>
      <c r="AG218" s="20">
        <f t="shared" si="39"/>
        <v>115.06818791872236</v>
      </c>
      <c r="AH218" s="20">
        <f t="shared" si="40"/>
        <v>9.6402004966212704</v>
      </c>
      <c r="AI218" s="22"/>
    </row>
    <row r="219" spans="1:35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1"/>
        <v>309.57224964029939</v>
      </c>
      <c r="O219" s="7">
        <f t="shared" si="35"/>
        <v>2913.25</v>
      </c>
      <c r="P219" s="7">
        <f t="shared" si="36"/>
        <v>2603.6777503597004</v>
      </c>
      <c r="Q219" s="7">
        <f t="shared" si="37"/>
        <v>1161.6284516692438</v>
      </c>
      <c r="R219" s="7">
        <f t="shared" si="38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2"/>
        <v>82983</v>
      </c>
      <c r="X219" s="104">
        <f t="shared" si="43"/>
        <v>107462</v>
      </c>
      <c r="Y219" s="104"/>
      <c r="Z219" s="7">
        <v>24582</v>
      </c>
      <c r="AB219" s="2">
        <v>18550</v>
      </c>
      <c r="AC219" s="104">
        <v>128569</v>
      </c>
      <c r="AD219" s="104">
        <v>101533</v>
      </c>
      <c r="AE219" s="64">
        <f t="shared" si="44"/>
        <v>0.17590118924468573</v>
      </c>
      <c r="AF219" s="64">
        <f t="shared" si="45"/>
        <v>0.11875449361291403</v>
      </c>
      <c r="AG219" s="20">
        <f t="shared" si="39"/>
        <v>153.03403464287658</v>
      </c>
      <c r="AH219" s="20">
        <f t="shared" si="40"/>
        <v>156.53821499742281</v>
      </c>
      <c r="AI219" s="22"/>
    </row>
    <row r="220" spans="1:35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1"/>
        <v>74.337519239566205</v>
      </c>
      <c r="O220" s="7">
        <f t="shared" si="35"/>
        <v>2887.1666666666665</v>
      </c>
      <c r="P220" s="7">
        <f t="shared" si="36"/>
        <v>2812.8291474271005</v>
      </c>
      <c r="Q220" s="7">
        <f t="shared" si="37"/>
        <v>1304.3024373833102</v>
      </c>
      <c r="R220" s="7">
        <f t="shared" si="38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2"/>
        <v>90204</v>
      </c>
      <c r="X220" s="104">
        <f t="shared" si="43"/>
        <v>95038</v>
      </c>
      <c r="Y220" s="104"/>
      <c r="Z220" s="7">
        <v>8091</v>
      </c>
      <c r="AB220" s="2">
        <v>1385</v>
      </c>
      <c r="AC220" s="104">
        <v>104894</v>
      </c>
      <c r="AD220" s="104">
        <v>91589</v>
      </c>
      <c r="AE220" s="64">
        <f t="shared" si="44"/>
        <v>7.0964211489694354E-2</v>
      </c>
      <c r="AF220" s="64">
        <f t="shared" si="45"/>
        <v>9.8292371354638669E-3</v>
      </c>
      <c r="AG220" s="20">
        <f t="shared" si="39"/>
        <v>61.389956622876426</v>
      </c>
      <c r="AH220" s="20">
        <f t="shared" si="40"/>
        <v>12.947562616689778</v>
      </c>
      <c r="AI220" s="22"/>
    </row>
    <row r="221" spans="1:35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1"/>
        <v>144.66605949197356</v>
      </c>
      <c r="O221" s="7">
        <f t="shared" si="35"/>
        <v>2859.666666666667</v>
      </c>
      <c r="P221" s="7">
        <f t="shared" si="36"/>
        <v>2715.000607174693</v>
      </c>
      <c r="Q221" s="7">
        <f t="shared" si="37"/>
        <v>1165.7556208565945</v>
      </c>
      <c r="R221" s="7">
        <f t="shared" si="38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2"/>
        <v>85671</v>
      </c>
      <c r="X221" s="104">
        <f t="shared" si="43"/>
        <v>107357</v>
      </c>
      <c r="Y221" s="104"/>
      <c r="Z221" s="7">
        <v>20</v>
      </c>
      <c r="AB221" s="2">
        <v>17505</v>
      </c>
      <c r="AC221" s="104">
        <v>88438</v>
      </c>
      <c r="AD221" s="104">
        <v>103176</v>
      </c>
      <c r="AE221" s="64">
        <f t="shared" si="44"/>
        <v>2.0805536081774803E-4</v>
      </c>
      <c r="AF221" s="64">
        <f t="shared" si="45"/>
        <v>0.11028000697836707</v>
      </c>
      <c r="AG221" s="20">
        <f t="shared" si="39"/>
        <v>0.17168034856811176</v>
      </c>
      <c r="AH221" s="20">
        <f t="shared" si="40"/>
        <v>144.49437914340544</v>
      </c>
      <c r="AI221" s="22"/>
    </row>
    <row r="222" spans="1:35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1"/>
        <v>8.1644460698099159</v>
      </c>
      <c r="O222" s="7">
        <f t="shared" si="35"/>
        <v>1607.583333333333</v>
      </c>
      <c r="P222" s="7">
        <f t="shared" si="36"/>
        <v>1599.4188872635232</v>
      </c>
      <c r="Q222" s="7">
        <f t="shared" si="37"/>
        <v>590.33555393018992</v>
      </c>
      <c r="R222" s="7">
        <f t="shared" si="38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2"/>
        <v>57891</v>
      </c>
      <c r="X222" s="104">
        <f t="shared" si="43"/>
        <v>61082</v>
      </c>
      <c r="Y222" s="104"/>
      <c r="Z222" s="7">
        <v>0</v>
      </c>
      <c r="AB222" s="2">
        <v>1241</v>
      </c>
      <c r="AC222" s="104">
        <v>68473</v>
      </c>
      <c r="AD222" s="104">
        <v>59132</v>
      </c>
      <c r="AE222" s="64">
        <f t="shared" si="44"/>
        <v>0</v>
      </c>
      <c r="AF222" s="64">
        <f t="shared" si="45"/>
        <v>1.3641513901102619E-2</v>
      </c>
      <c r="AG222" s="20">
        <f t="shared" si="39"/>
        <v>0</v>
      </c>
      <c r="AH222" s="20">
        <f t="shared" si="40"/>
        <v>8.1644460698099159</v>
      </c>
      <c r="AI222" s="22"/>
    </row>
    <row r="223" spans="1:35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1"/>
        <v>2.8593883136493559</v>
      </c>
      <c r="O223" s="7">
        <f t="shared" si="35"/>
        <v>1219.8333333333335</v>
      </c>
      <c r="P223" s="7">
        <f t="shared" si="36"/>
        <v>1216.9739450196839</v>
      </c>
      <c r="Q223" s="7">
        <f t="shared" si="37"/>
        <v>547.55727835301741</v>
      </c>
      <c r="R223" s="7">
        <f t="shared" si="38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2"/>
        <v>61316</v>
      </c>
      <c r="X223" s="104">
        <f t="shared" si="43"/>
        <v>64124</v>
      </c>
      <c r="Y223" s="104"/>
      <c r="Z223" s="7">
        <v>0</v>
      </c>
      <c r="AB223" s="2">
        <v>494</v>
      </c>
      <c r="AC223" s="104">
        <v>45570</v>
      </c>
      <c r="AD223" s="104">
        <v>61810</v>
      </c>
      <c r="AE223" s="64">
        <f t="shared" si="44"/>
        <v>0</v>
      </c>
      <c r="AF223" s="64">
        <f t="shared" si="45"/>
        <v>5.1949522730949686E-3</v>
      </c>
      <c r="AG223" s="20">
        <f t="shared" si="39"/>
        <v>0</v>
      </c>
      <c r="AH223" s="20">
        <f t="shared" si="40"/>
        <v>2.8593883136493559</v>
      </c>
      <c r="AI223" s="22"/>
    </row>
    <row r="224" spans="1:35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1"/>
        <v>108.86459206707515</v>
      </c>
      <c r="O224" s="7">
        <f t="shared" si="35"/>
        <v>3020.583333333333</v>
      </c>
      <c r="P224" s="7">
        <f t="shared" si="36"/>
        <v>2911.7187412662579</v>
      </c>
      <c r="Q224" s="7">
        <f t="shared" si="37"/>
        <v>1200.6354079329249</v>
      </c>
      <c r="R224" s="7">
        <f t="shared" si="38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2"/>
        <v>105471</v>
      </c>
      <c r="X224" s="104">
        <f t="shared" si="43"/>
        <v>126492</v>
      </c>
      <c r="Y224" s="104"/>
      <c r="Z224" s="7">
        <v>0</v>
      </c>
      <c r="AB224" s="2">
        <v>15468</v>
      </c>
      <c r="AC224" s="104">
        <v>122561</v>
      </c>
      <c r="AD224" s="104">
        <v>120939</v>
      </c>
      <c r="AE224" s="64">
        <f t="shared" si="44"/>
        <v>0</v>
      </c>
      <c r="AF224" s="64">
        <f t="shared" si="45"/>
        <v>8.313447275072558E-2</v>
      </c>
      <c r="AG224" s="20">
        <f t="shared" si="39"/>
        <v>0</v>
      </c>
      <c r="AH224" s="20">
        <f t="shared" si="40"/>
        <v>108.86459206707515</v>
      </c>
      <c r="AI224" s="22"/>
    </row>
    <row r="225" spans="1:35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1"/>
        <v>113.99904738880814</v>
      </c>
      <c r="O225" s="7">
        <f t="shared" si="35"/>
        <v>3041.7499999999995</v>
      </c>
      <c r="P225" s="7">
        <f t="shared" si="36"/>
        <v>2927.7509526111917</v>
      </c>
      <c r="Q225" s="7">
        <f t="shared" si="37"/>
        <v>1286.8539155481474</v>
      </c>
      <c r="R225" s="7">
        <f t="shared" si="38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2"/>
        <v>101457</v>
      </c>
      <c r="X225" s="104">
        <f t="shared" si="43"/>
        <v>113416</v>
      </c>
      <c r="Y225" s="104"/>
      <c r="Z225" s="7">
        <v>14531</v>
      </c>
      <c r="AB225" s="2">
        <v>1134</v>
      </c>
      <c r="AC225" s="104">
        <v>128169</v>
      </c>
      <c r="AD225" s="104">
        <v>102591</v>
      </c>
      <c r="AE225" s="64">
        <f t="shared" si="44"/>
        <v>0.10430384882459877</v>
      </c>
      <c r="AF225" s="64">
        <f t="shared" si="45"/>
        <v>7.1848407755066238E-3</v>
      </c>
      <c r="AG225" s="20">
        <f t="shared" si="39"/>
        <v>104.68629627028896</v>
      </c>
      <c r="AH225" s="20">
        <f t="shared" si="40"/>
        <v>9.3127511185191683</v>
      </c>
      <c r="AI225" s="22"/>
    </row>
    <row r="226" spans="1:35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1"/>
        <v>242.18568403235855</v>
      </c>
      <c r="O226" s="7">
        <f t="shared" si="35"/>
        <v>2961.4166666666665</v>
      </c>
      <c r="P226" s="7">
        <f t="shared" si="36"/>
        <v>2719.230982634308</v>
      </c>
      <c r="Q226" s="7">
        <f t="shared" si="37"/>
        <v>1143.4358076340084</v>
      </c>
      <c r="R226" s="7">
        <f t="shared" si="38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2"/>
        <v>104894</v>
      </c>
      <c r="X226" s="104">
        <f t="shared" si="43"/>
        <v>129851</v>
      </c>
      <c r="Y226" s="104"/>
      <c r="Z226" s="7">
        <v>20954</v>
      </c>
      <c r="AB226" s="2">
        <v>16056</v>
      </c>
      <c r="AC226" s="104">
        <v>139095</v>
      </c>
      <c r="AD226" s="104">
        <v>120950</v>
      </c>
      <c r="AE226" s="64">
        <f t="shared" si="44"/>
        <v>0.13859362306337394</v>
      </c>
      <c r="AF226" s="64">
        <f t="shared" si="45"/>
        <v>8.6286895411326989E-2</v>
      </c>
      <c r="AG226" s="20">
        <f t="shared" si="39"/>
        <v>134.20482499970043</v>
      </c>
      <c r="AH226" s="20">
        <f t="shared" si="40"/>
        <v>107.9808590326581</v>
      </c>
      <c r="AI226" s="22"/>
    </row>
    <row r="227" spans="1:35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1"/>
        <v>332.69958785457203</v>
      </c>
      <c r="O227" s="7">
        <f t="shared" si="35"/>
        <v>2970.4166666666665</v>
      </c>
      <c r="P227" s="7">
        <f t="shared" si="36"/>
        <v>2637.7170788120948</v>
      </c>
      <c r="Q227" s="7">
        <f t="shared" si="37"/>
        <v>1046.220308628014</v>
      </c>
      <c r="R227" s="7">
        <f t="shared" si="38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2"/>
        <v>76625</v>
      </c>
      <c r="X227" s="104">
        <f t="shared" si="43"/>
        <v>109390</v>
      </c>
      <c r="Y227" s="104"/>
      <c r="Z227" s="7">
        <v>17877</v>
      </c>
      <c r="AB227" s="2">
        <v>25067</v>
      </c>
      <c r="AC227" s="104">
        <v>119368</v>
      </c>
      <c r="AD227" s="104">
        <v>101692</v>
      </c>
      <c r="AE227" s="64">
        <f t="shared" si="44"/>
        <v>0.13778265531800818</v>
      </c>
      <c r="AF227" s="64">
        <f t="shared" si="45"/>
        <v>0.16022450143570782</v>
      </c>
      <c r="AG227" s="20">
        <f t="shared" si="39"/>
        <v>133.08656314925273</v>
      </c>
      <c r="AH227" s="20">
        <f t="shared" si="40"/>
        <v>199.6130247053193</v>
      </c>
      <c r="AI227" s="22"/>
    </row>
    <row r="228" spans="1:35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1"/>
        <v>18.031655664608458</v>
      </c>
      <c r="O228" s="7">
        <f t="shared" si="35"/>
        <v>2662.333333333333</v>
      </c>
      <c r="P228" s="7">
        <f t="shared" si="36"/>
        <v>2644.3016776687246</v>
      </c>
      <c r="Q228" s="7">
        <f t="shared" si="37"/>
        <v>954.59276519550906</v>
      </c>
      <c r="R228" s="7">
        <f t="shared" si="38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2"/>
        <v>95494</v>
      </c>
      <c r="X228" s="104">
        <f t="shared" si="43"/>
        <v>101029</v>
      </c>
      <c r="Y228" s="104"/>
      <c r="Z228" s="7">
        <v>1156</v>
      </c>
      <c r="AB228" s="2">
        <v>938</v>
      </c>
      <c r="AC228" s="104">
        <v>86027</v>
      </c>
      <c r="AD228" s="104">
        <v>96432</v>
      </c>
      <c r="AE228" s="64">
        <f t="shared" si="44"/>
        <v>1.2362630336987226E-2</v>
      </c>
      <c r="AF228" s="64">
        <f t="shared" si="45"/>
        <v>6.3225900116144016E-3</v>
      </c>
      <c r="AG228" s="20">
        <f t="shared" si="39"/>
        <v>11.95775419345089</v>
      </c>
      <c r="AH228" s="20">
        <f t="shared" si="40"/>
        <v>6.0739014711575683</v>
      </c>
      <c r="AI228" s="22"/>
    </row>
    <row r="229" spans="1:35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1"/>
        <v>16.329311442540163</v>
      </c>
      <c r="O229" s="7">
        <f t="shared" si="35"/>
        <v>1569.416666666667</v>
      </c>
      <c r="P229" s="7">
        <f t="shared" si="36"/>
        <v>1553.0873552241267</v>
      </c>
      <c r="Q229" s="7">
        <f t="shared" si="37"/>
        <v>590.48032570730015</v>
      </c>
      <c r="R229" s="7">
        <f t="shared" si="38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2"/>
        <v>55431</v>
      </c>
      <c r="X229" s="104">
        <f t="shared" si="43"/>
        <v>59960</v>
      </c>
      <c r="Y229" s="104"/>
      <c r="Z229" s="7">
        <v>434</v>
      </c>
      <c r="AB229" s="2">
        <v>1829</v>
      </c>
      <c r="AC229" s="104">
        <v>56736</v>
      </c>
      <c r="AD229" s="104">
        <v>57260</v>
      </c>
      <c r="AE229" s="64">
        <f t="shared" si="44"/>
        <v>7.0375070501974054E-3</v>
      </c>
      <c r="AF229" s="64">
        <f t="shared" si="45"/>
        <v>2.0762312259867272E-2</v>
      </c>
      <c r="AG229" s="20">
        <f t="shared" si="39"/>
        <v>3.8096371498401957</v>
      </c>
      <c r="AH229" s="20">
        <f t="shared" si="40"/>
        <v>12.519674292699968</v>
      </c>
      <c r="AI229" s="22"/>
    </row>
    <row r="230" spans="1:35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1"/>
        <v>2.1483153657585379</v>
      </c>
      <c r="O230" s="7">
        <f t="shared" si="35"/>
        <v>1219.5</v>
      </c>
      <c r="P230" s="7">
        <f t="shared" si="36"/>
        <v>1217.3516846342413</v>
      </c>
      <c r="Q230" s="7">
        <f t="shared" si="37"/>
        <v>542.10168463424145</v>
      </c>
      <c r="R230" s="7">
        <f t="shared" si="38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si="42"/>
        <v>53520</v>
      </c>
      <c r="X230" s="104">
        <f t="shared" si="43"/>
        <v>55064</v>
      </c>
      <c r="Y230" s="104"/>
      <c r="Z230" s="7">
        <v>0</v>
      </c>
      <c r="AB230" s="2">
        <v>327</v>
      </c>
      <c r="AC230" s="104">
        <v>45814</v>
      </c>
      <c r="AD230" s="104">
        <v>53847</v>
      </c>
      <c r="AE230" s="64">
        <f t="shared" si="44"/>
        <v>0</v>
      </c>
      <c r="AF230" s="64">
        <f t="shared" si="45"/>
        <v>3.9472951139339239E-3</v>
      </c>
      <c r="AG230" s="20">
        <f t="shared" si="39"/>
        <v>0</v>
      </c>
      <c r="AH230" s="20">
        <f t="shared" si="40"/>
        <v>2.1483153657585379</v>
      </c>
      <c r="AI230" s="22"/>
    </row>
    <row r="231" spans="1:35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1"/>
        <v>15.500161083314673</v>
      </c>
      <c r="O231" s="7">
        <f t="shared" si="35"/>
        <v>2870.8333333333335</v>
      </c>
      <c r="P231" s="7">
        <f t="shared" si="36"/>
        <v>2855.3331722500188</v>
      </c>
      <c r="Q231" s="7">
        <f t="shared" si="37"/>
        <v>1044.473331172039</v>
      </c>
      <c r="R231" s="7">
        <f t="shared" si="38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2"/>
        <v>95544</v>
      </c>
      <c r="X231" s="104">
        <f t="shared" si="43"/>
        <v>105397</v>
      </c>
      <c r="Y231" s="104"/>
      <c r="Z231" s="7">
        <v>453</v>
      </c>
      <c r="AB231" s="2">
        <v>1620</v>
      </c>
      <c r="AC231" s="104">
        <v>110033</v>
      </c>
      <c r="AD231" s="104">
        <v>97164</v>
      </c>
      <c r="AE231" s="64">
        <f t="shared" si="44"/>
        <v>3.7875909954286444E-3</v>
      </c>
      <c r="AF231" s="64">
        <f t="shared" si="45"/>
        <v>1.0837347165616896E-2</v>
      </c>
      <c r="AG231" s="20">
        <f t="shared" si="39"/>
        <v>4.0568255886870315</v>
      </c>
      <c r="AH231" s="20">
        <f t="shared" si="40"/>
        <v>11.443335494627641</v>
      </c>
      <c r="AI231" s="22"/>
    </row>
    <row r="232" spans="1:35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1"/>
        <v>79.431602765733885</v>
      </c>
      <c r="O232" s="7">
        <f t="shared" si="35"/>
        <v>2926.0833333333335</v>
      </c>
      <c r="P232" s="7">
        <f t="shared" si="36"/>
        <v>2846.6517305675998</v>
      </c>
      <c r="Q232" s="7">
        <f t="shared" si="37"/>
        <v>1178.1365136673378</v>
      </c>
      <c r="R232" s="7">
        <f t="shared" si="38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2"/>
        <v>74754</v>
      </c>
      <c r="X232" s="104">
        <f t="shared" si="43"/>
        <v>82477</v>
      </c>
      <c r="Y232" s="104"/>
      <c r="Z232" s="7">
        <v>6461</v>
      </c>
      <c r="AB232" s="2">
        <v>2730</v>
      </c>
      <c r="AC232" s="104">
        <v>101529</v>
      </c>
      <c r="AD232" s="104">
        <v>77484</v>
      </c>
      <c r="AE232" s="64">
        <f t="shared" si="44"/>
        <v>5.8546031183208731E-2</v>
      </c>
      <c r="AF232" s="64">
        <f t="shared" si="45"/>
        <v>2.2901502245624903E-2</v>
      </c>
      <c r="AG232" s="20">
        <f t="shared" si="39"/>
        <v>51.818116433071665</v>
      </c>
      <c r="AH232" s="20">
        <f t="shared" si="40"/>
        <v>27.613486332662227</v>
      </c>
      <c r="AI232" s="22"/>
    </row>
    <row r="233" spans="1:35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1"/>
        <v>131.62116538683509</v>
      </c>
      <c r="O233" s="7">
        <f t="shared" si="35"/>
        <v>2680.6666666666665</v>
      </c>
      <c r="P233" s="7">
        <f t="shared" si="36"/>
        <v>2549.0455012798316</v>
      </c>
      <c r="Q233" s="7">
        <f t="shared" si="37"/>
        <v>1201.6352609767609</v>
      </c>
      <c r="R233" s="7">
        <f t="shared" si="38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2"/>
        <v>94031</v>
      </c>
      <c r="X233" s="104">
        <f t="shared" si="43"/>
        <v>98667</v>
      </c>
      <c r="Y233" s="104"/>
      <c r="Z233" s="7">
        <v>15176</v>
      </c>
      <c r="AB233" s="2">
        <v>1284</v>
      </c>
      <c r="AC233" s="104">
        <v>98459</v>
      </c>
      <c r="AD233" s="104">
        <v>95315</v>
      </c>
      <c r="AE233" s="64">
        <f t="shared" si="44"/>
        <v>0.14180440589483947</v>
      </c>
      <c r="AF233" s="64">
        <f t="shared" si="45"/>
        <v>8.7562293448040715E-3</v>
      </c>
      <c r="AG233" s="20">
        <f t="shared" si="39"/>
        <v>121.00642636359636</v>
      </c>
      <c r="AH233" s="20">
        <f t="shared" si="40"/>
        <v>10.614739023238734</v>
      </c>
      <c r="AI233" s="22"/>
    </row>
    <row r="234" spans="1:35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1"/>
        <v>207.87460879561507</v>
      </c>
      <c r="O234" s="7">
        <f t="shared" si="35"/>
        <v>3094.9166666666665</v>
      </c>
      <c r="P234" s="7">
        <f t="shared" si="36"/>
        <v>2887.0420578710514</v>
      </c>
      <c r="Q234" s="7">
        <f t="shared" si="37"/>
        <v>1309.3274487635629</v>
      </c>
      <c r="R234" s="7">
        <f t="shared" si="38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2"/>
        <v>110057</v>
      </c>
      <c r="X234" s="104">
        <f t="shared" si="43"/>
        <v>135820</v>
      </c>
      <c r="Y234" s="104"/>
      <c r="Z234" s="7">
        <v>8457</v>
      </c>
      <c r="AB234" s="2">
        <v>20075</v>
      </c>
      <c r="AC234" s="104">
        <v>107472</v>
      </c>
      <c r="AD234" s="104">
        <v>130132</v>
      </c>
      <c r="AE234" s="64">
        <f t="shared" si="44"/>
        <v>7.2395042429656095E-2</v>
      </c>
      <c r="AF234" s="64">
        <f t="shared" si="45"/>
        <v>0.10027318415147697</v>
      </c>
      <c r="AG234" s="20">
        <f t="shared" si="39"/>
        <v>61.952057559178215</v>
      </c>
      <c r="AH234" s="20">
        <f t="shared" si="40"/>
        <v>145.92255123643685</v>
      </c>
      <c r="AI234" s="22"/>
    </row>
    <row r="235" spans="1:35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1"/>
        <v>140.2873909033618</v>
      </c>
      <c r="O235" s="7">
        <f t="shared" si="35"/>
        <v>2821.416666666667</v>
      </c>
      <c r="P235" s="7">
        <f t="shared" si="36"/>
        <v>2681.129275763305</v>
      </c>
      <c r="Q235" s="7">
        <f t="shared" si="37"/>
        <v>1180.3829326836637</v>
      </c>
      <c r="R235" s="7">
        <f t="shared" si="38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2"/>
        <v>109663</v>
      </c>
      <c r="X235" s="104">
        <f t="shared" si="43"/>
        <v>117300</v>
      </c>
      <c r="Y235" s="104"/>
      <c r="Z235" s="7">
        <v>17877</v>
      </c>
      <c r="AB235" s="2">
        <v>1573</v>
      </c>
      <c r="AC235" s="104">
        <v>111119</v>
      </c>
      <c r="AD235" s="104">
        <v>111236</v>
      </c>
      <c r="AE235" s="64">
        <f t="shared" si="44"/>
        <v>0.14801105121536373</v>
      </c>
      <c r="AF235" s="64">
        <f t="shared" si="45"/>
        <v>9.1917185083965625E-3</v>
      </c>
      <c r="AG235" s="20">
        <f t="shared" si="39"/>
        <v>129.33699025369202</v>
      </c>
      <c r="AH235" s="20">
        <f t="shared" si="40"/>
        <v>10.950400649669772</v>
      </c>
      <c r="AI235" s="22"/>
    </row>
    <row r="236" spans="1:35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1"/>
        <v>154.24698107107247</v>
      </c>
      <c r="O236" s="7">
        <f t="shared" si="35"/>
        <v>2777.9166666666665</v>
      </c>
      <c r="P236" s="7">
        <f t="shared" si="36"/>
        <v>2623.6696855955943</v>
      </c>
      <c r="Q236" s="7">
        <f t="shared" si="37"/>
        <v>1035.0515182509409</v>
      </c>
      <c r="R236" s="7">
        <f t="shared" si="38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2"/>
        <v>97395</v>
      </c>
      <c r="X236" s="104">
        <f t="shared" si="43"/>
        <v>123319</v>
      </c>
      <c r="Y236" s="104"/>
      <c r="Z236" s="7">
        <v>3192</v>
      </c>
      <c r="AB236" s="2">
        <v>20051</v>
      </c>
      <c r="AC236" s="104">
        <v>98822</v>
      </c>
      <c r="AD236" s="104">
        <v>117446</v>
      </c>
      <c r="AE236" s="64">
        <f t="shared" si="44"/>
        <v>2.9716459897593653E-2</v>
      </c>
      <c r="AF236" s="64">
        <f t="shared" si="45"/>
        <v>0.11097142516560803</v>
      </c>
      <c r="AG236" s="20">
        <f t="shared" si="39"/>
        <v>25.048499322013317</v>
      </c>
      <c r="AH236" s="20">
        <f t="shared" si="40"/>
        <v>129.19848174905914</v>
      </c>
      <c r="AI236" s="22"/>
    </row>
    <row r="237" spans="1:35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1"/>
        <v>133.53461996301732</v>
      </c>
      <c r="O237" s="7">
        <f t="shared" si="35"/>
        <v>2702.916666666667</v>
      </c>
      <c r="P237" s="7">
        <f t="shared" si="36"/>
        <v>2569.3820467036494</v>
      </c>
      <c r="Q237" s="7">
        <f t="shared" si="37"/>
        <v>1173.6403891633427</v>
      </c>
      <c r="R237" s="7">
        <f t="shared" si="38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2"/>
        <v>101139</v>
      </c>
      <c r="X237" s="104">
        <f t="shared" si="43"/>
        <v>107847</v>
      </c>
      <c r="Y237" s="104"/>
      <c r="Z237" s="7">
        <v>17016</v>
      </c>
      <c r="AB237" s="2">
        <v>1894</v>
      </c>
      <c r="AC237" s="104">
        <v>113773</v>
      </c>
      <c r="AD237" s="104">
        <v>103033</v>
      </c>
      <c r="AE237" s="64">
        <f t="shared" si="44"/>
        <v>0.13759609046082991</v>
      </c>
      <c r="AF237" s="64">
        <f t="shared" si="45"/>
        <v>1.1948598992555784E-2</v>
      </c>
      <c r="AG237" s="20">
        <f t="shared" si="39"/>
        <v>119.34167579302648</v>
      </c>
      <c r="AH237" s="20">
        <f t="shared" si="40"/>
        <v>14.192944169990847</v>
      </c>
      <c r="AI237" s="22"/>
    </row>
    <row r="238" spans="1:35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1"/>
        <v>282.62587363570134</v>
      </c>
      <c r="O238" s="7">
        <f t="shared" si="35"/>
        <v>3163.5</v>
      </c>
      <c r="P238" s="7">
        <f t="shared" si="36"/>
        <v>2880.8741263642987</v>
      </c>
      <c r="Q238" s="7">
        <f t="shared" si="37"/>
        <v>1175.1601561670032</v>
      </c>
      <c r="R238" s="7">
        <f t="shared" si="38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2"/>
        <v>100015</v>
      </c>
      <c r="X238" s="104">
        <f t="shared" si="43"/>
        <v>126452</v>
      </c>
      <c r="Y238" s="104"/>
      <c r="Z238" s="7">
        <v>16554</v>
      </c>
      <c r="AB238" s="2">
        <v>22354</v>
      </c>
      <c r="AC238" s="104">
        <v>139182</v>
      </c>
      <c r="AD238" s="104">
        <v>122369</v>
      </c>
      <c r="AE238" s="64">
        <f t="shared" si="44"/>
        <v>0.10942277018579989</v>
      </c>
      <c r="AF238" s="64">
        <f t="shared" si="45"/>
        <v>0.11874004036970148</v>
      </c>
      <c r="AG238" s="20">
        <f t="shared" si="39"/>
        <v>124.28602980270439</v>
      </c>
      <c r="AH238" s="20">
        <f t="shared" si="40"/>
        <v>158.33984383299693</v>
      </c>
      <c r="AI238" s="22"/>
    </row>
    <row r="239" spans="1:35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1"/>
        <v>153.35260979139591</v>
      </c>
      <c r="O239" s="7">
        <f t="shared" si="35"/>
        <v>3104.583333333333</v>
      </c>
      <c r="P239" s="7">
        <f t="shared" si="36"/>
        <v>2951.2307235419371</v>
      </c>
      <c r="Q239" s="7">
        <f t="shared" si="37"/>
        <v>1316.8881094094668</v>
      </c>
      <c r="R239" s="7">
        <f t="shared" si="38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2"/>
        <v>100925</v>
      </c>
      <c r="X239" s="104">
        <f t="shared" si="43"/>
        <v>108806</v>
      </c>
      <c r="Y239" s="104"/>
      <c r="Z239" s="7">
        <v>19878</v>
      </c>
      <c r="AB239" s="2">
        <v>1982</v>
      </c>
      <c r="AC239" s="104">
        <v>146825</v>
      </c>
      <c r="AD239" s="104">
        <v>102907</v>
      </c>
      <c r="AE239" s="64">
        <f t="shared" si="44"/>
        <v>0.12455481014813555</v>
      </c>
      <c r="AF239" s="64">
        <f t="shared" si="45"/>
        <v>1.2519070617159183E-2</v>
      </c>
      <c r="AG239" s="20">
        <f t="shared" si="39"/>
        <v>136.65738586752937</v>
      </c>
      <c r="AH239" s="20">
        <f t="shared" si="40"/>
        <v>16.695223923866532</v>
      </c>
      <c r="AI239" s="22"/>
    </row>
    <row r="240" spans="1:35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1"/>
        <v>288.41856493942072</v>
      </c>
      <c r="O240" s="7">
        <f t="shared" si="35"/>
        <v>3699.25</v>
      </c>
      <c r="P240" s="7">
        <f t="shared" si="36"/>
        <v>3410.8314350605788</v>
      </c>
      <c r="Q240" s="7">
        <f t="shared" si="37"/>
        <v>1439.6698913764628</v>
      </c>
      <c r="R240" s="7">
        <f t="shared" si="38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2"/>
        <v>108140</v>
      </c>
      <c r="X240" s="104">
        <f t="shared" si="43"/>
        <v>147516</v>
      </c>
      <c r="Y240" s="104"/>
      <c r="Z240" s="7">
        <v>3297</v>
      </c>
      <c r="AB240" s="2">
        <v>33542</v>
      </c>
      <c r="AC240" s="104">
        <v>128731</v>
      </c>
      <c r="AD240" s="104">
        <v>141682</v>
      </c>
      <c r="AE240" s="64">
        <f t="shared" si="44"/>
        <v>2.3562622833660889E-2</v>
      </c>
      <c r="AF240" s="64">
        <f t="shared" si="45"/>
        <v>0.15388193277904039</v>
      </c>
      <c r="AG240" s="20">
        <f t="shared" si="39"/>
        <v>26.588456315883505</v>
      </c>
      <c r="AH240" s="20">
        <f t="shared" si="40"/>
        <v>261.83010862353723</v>
      </c>
      <c r="AI240" s="22"/>
    </row>
    <row r="241" spans="1:35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1"/>
        <v>143.81350988066583</v>
      </c>
      <c r="O241" s="7">
        <f t="shared" si="35"/>
        <v>3660.666666666667</v>
      </c>
      <c r="P241" s="7">
        <f t="shared" si="36"/>
        <v>3516.8531567860005</v>
      </c>
      <c r="Q241" s="7">
        <f t="shared" si="37"/>
        <v>1679.2304502311758</v>
      </c>
      <c r="R241" s="7">
        <f t="shared" si="38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2"/>
        <v>135149</v>
      </c>
      <c r="X241" s="104">
        <f t="shared" si="43"/>
        <v>140935</v>
      </c>
      <c r="Y241" s="104"/>
      <c r="Z241" s="7">
        <v>18270</v>
      </c>
      <c r="AB241" s="2">
        <v>1255</v>
      </c>
      <c r="AC241" s="104">
        <v>147947</v>
      </c>
      <c r="AD241" s="104">
        <v>136404</v>
      </c>
      <c r="AE241" s="64">
        <f t="shared" si="44"/>
        <v>0.11361095527452399</v>
      </c>
      <c r="AF241" s="64">
        <f t="shared" si="45"/>
        <v>5.9803964693117499E-3</v>
      </c>
      <c r="AG241" s="20">
        <f t="shared" si="39"/>
        <v>133.71062677850853</v>
      </c>
      <c r="AH241" s="20">
        <f t="shared" si="40"/>
        <v>10.102883102157316</v>
      </c>
      <c r="AI241" s="22"/>
    </row>
    <row r="242" spans="1:35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1"/>
        <v>14.839272738584048</v>
      </c>
      <c r="O242" s="7">
        <f t="shared" si="35"/>
        <v>3556.1666666666665</v>
      </c>
      <c r="P242" s="7">
        <f t="shared" si="36"/>
        <v>3541.3273939280825</v>
      </c>
      <c r="Q242" s="7">
        <f t="shared" si="37"/>
        <v>1775.5773939280828</v>
      </c>
      <c r="R242" s="7">
        <f t="shared" si="38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2"/>
        <v>132242</v>
      </c>
      <c r="X242" s="104">
        <f t="shared" si="43"/>
        <v>140064</v>
      </c>
      <c r="Y242" s="104"/>
      <c r="Z242" s="7">
        <v>0</v>
      </c>
      <c r="AB242" s="2">
        <v>1708</v>
      </c>
      <c r="AC242" s="104">
        <v>101385</v>
      </c>
      <c r="AD242" s="104">
        <v>133950</v>
      </c>
      <c r="AE242" s="64">
        <f t="shared" si="44"/>
        <v>0</v>
      </c>
      <c r="AF242" s="64">
        <f t="shared" si="45"/>
        <v>8.2881672265770808E-3</v>
      </c>
      <c r="AG242" s="20">
        <f t="shared" si="39"/>
        <v>0</v>
      </c>
      <c r="AH242" s="20">
        <f t="shared" si="40"/>
        <v>14.839272738584048</v>
      </c>
      <c r="AI242" s="22"/>
    </row>
    <row r="243" spans="1:35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1"/>
        <v>4.0743193577274202</v>
      </c>
      <c r="O243" s="7">
        <f t="shared" si="35"/>
        <v>2953.0833333333335</v>
      </c>
      <c r="P243" s="7">
        <f t="shared" si="36"/>
        <v>2949.0090139756057</v>
      </c>
      <c r="Q243" s="7">
        <f t="shared" si="37"/>
        <v>1403.6756806422725</v>
      </c>
      <c r="R243" s="7">
        <f t="shared" si="38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2"/>
        <v>120066</v>
      </c>
      <c r="X243" s="104">
        <f t="shared" si="43"/>
        <v>124289</v>
      </c>
      <c r="Y243" s="104"/>
      <c r="Z243" s="7">
        <v>0</v>
      </c>
      <c r="AB243" s="2">
        <v>537</v>
      </c>
      <c r="AC243" s="104">
        <v>100795</v>
      </c>
      <c r="AD243" s="104">
        <v>120603</v>
      </c>
      <c r="AE243" s="64">
        <f t="shared" si="44"/>
        <v>0</v>
      </c>
      <c r="AF243" s="64">
        <f t="shared" si="45"/>
        <v>2.8942066117758269E-3</v>
      </c>
      <c r="AG243" s="20">
        <f t="shared" si="39"/>
        <v>0</v>
      </c>
      <c r="AH243" s="20">
        <f t="shared" si="40"/>
        <v>4.0743193577274202</v>
      </c>
      <c r="AI243" s="22"/>
    </row>
    <row r="244" spans="1:35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1"/>
        <v>260.04071267182184</v>
      </c>
      <c r="O244" s="7">
        <f t="shared" si="35"/>
        <v>2785.5</v>
      </c>
      <c r="P244" s="7">
        <f t="shared" si="36"/>
        <v>2525.4592873281781</v>
      </c>
      <c r="Q244" s="7">
        <f t="shared" si="37"/>
        <v>1312.8383210036009</v>
      </c>
      <c r="R244" s="7">
        <f t="shared" si="38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2"/>
        <v>87423</v>
      </c>
      <c r="X244" s="104">
        <f t="shared" si="43"/>
        <v>108403</v>
      </c>
      <c r="Y244" s="104"/>
      <c r="Z244" s="7">
        <v>10182</v>
      </c>
      <c r="AB244" s="2">
        <v>19027</v>
      </c>
      <c r="AC244" s="104">
        <v>95589</v>
      </c>
      <c r="AD244" s="104">
        <v>106450</v>
      </c>
      <c r="AE244" s="64">
        <f t="shared" si="44"/>
        <v>9.7997049869754896E-2</v>
      </c>
      <c r="AF244" s="64">
        <f t="shared" si="45"/>
        <v>0.11618177548144669</v>
      </c>
      <c r="AG244" s="20">
        <f t="shared" si="39"/>
        <v>87.462367008756246</v>
      </c>
      <c r="AH244" s="20">
        <f t="shared" si="40"/>
        <v>172.57834566306559</v>
      </c>
      <c r="AI244" s="22"/>
    </row>
    <row r="245" spans="1:35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1"/>
        <v>331.4767574425357</v>
      </c>
      <c r="O245" s="7">
        <f t="shared" si="35"/>
        <v>3153.333333333333</v>
      </c>
      <c r="P245" s="7">
        <f t="shared" si="36"/>
        <v>2821.8565758907971</v>
      </c>
      <c r="Q245" s="7">
        <f t="shared" si="37"/>
        <v>1127.0085335091439</v>
      </c>
      <c r="R245" s="7">
        <f t="shared" si="38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2"/>
        <v>100667</v>
      </c>
      <c r="X245" s="104">
        <f t="shared" si="43"/>
        <v>132554</v>
      </c>
      <c r="Y245" s="104"/>
      <c r="Z245" s="7">
        <v>27605</v>
      </c>
      <c r="AB245" s="2">
        <v>21434</v>
      </c>
      <c r="AC245" s="104">
        <v>137182</v>
      </c>
      <c r="AD245" s="104">
        <v>122101</v>
      </c>
      <c r="AE245" s="64">
        <f t="shared" si="44"/>
        <v>0.18513070227872463</v>
      </c>
      <c r="AF245" s="64">
        <f t="shared" si="45"/>
        <v>0.11410307859886488</v>
      </c>
      <c r="AG245" s="20">
        <f t="shared" si="39"/>
        <v>186.3186242850131</v>
      </c>
      <c r="AH245" s="20">
        <f t="shared" si="40"/>
        <v>145.1581331575226</v>
      </c>
      <c r="AI245" s="22"/>
    </row>
    <row r="246" spans="1:35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1"/>
        <v>312.06984897006464</v>
      </c>
      <c r="O246" s="7">
        <f t="shared" si="35"/>
        <v>3255.583333333333</v>
      </c>
      <c r="P246" s="7">
        <f t="shared" si="36"/>
        <v>2943.5134843632686</v>
      </c>
      <c r="Q246" s="7">
        <f t="shared" si="37"/>
        <v>1190.1757299034268</v>
      </c>
      <c r="R246" s="7">
        <f t="shared" si="38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2"/>
        <v>105281</v>
      </c>
      <c r="X246" s="104">
        <f t="shared" si="43"/>
        <v>134458</v>
      </c>
      <c r="Y246" s="104"/>
      <c r="Z246" s="7">
        <v>22732</v>
      </c>
      <c r="AB246" s="2">
        <v>21117</v>
      </c>
      <c r="AC246" s="104">
        <v>145334</v>
      </c>
      <c r="AD246" s="104">
        <v>126398</v>
      </c>
      <c r="AE246" s="64">
        <f t="shared" si="44"/>
        <v>0.14389915642588796</v>
      </c>
      <c r="AF246" s="64">
        <f t="shared" si="45"/>
        <v>0.10859388597920855</v>
      </c>
      <c r="AG246" s="20">
        <f t="shared" si="39"/>
        <v>167.07891220682473</v>
      </c>
      <c r="AH246" s="20">
        <f t="shared" si="40"/>
        <v>144.99093676323994</v>
      </c>
      <c r="AI246" s="22"/>
    </row>
    <row r="247" spans="1:35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1"/>
        <v>301.05682858165699</v>
      </c>
      <c r="O247" s="7">
        <f t="shared" si="35"/>
        <v>3229.25</v>
      </c>
      <c r="P247" s="7">
        <f t="shared" si="36"/>
        <v>2928.1931714183429</v>
      </c>
      <c r="Q247" s="7">
        <f t="shared" si="37"/>
        <v>1201.8962309698863</v>
      </c>
      <c r="R247" s="7">
        <f t="shared" si="38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2"/>
        <v>101162</v>
      </c>
      <c r="X247" s="104">
        <f t="shared" si="43"/>
        <v>126790</v>
      </c>
      <c r="Y247" s="104"/>
      <c r="Z247" s="7">
        <v>20671</v>
      </c>
      <c r="AB247" s="2">
        <v>21385</v>
      </c>
      <c r="AC247" s="104">
        <v>137360</v>
      </c>
      <c r="AD247" s="104">
        <v>122547</v>
      </c>
      <c r="AE247" s="64">
        <f t="shared" si="44"/>
        <v>0.13844874781595806</v>
      </c>
      <c r="AF247" s="64">
        <f t="shared" si="45"/>
        <v>0.11342790929194514</v>
      </c>
      <c r="AG247" s="20">
        <f t="shared" si="39"/>
        <v>147.28639288487673</v>
      </c>
      <c r="AH247" s="20">
        <f t="shared" si="40"/>
        <v>153.77043569678028</v>
      </c>
      <c r="AI247" s="22"/>
    </row>
    <row r="248" spans="1:35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1"/>
        <v>249.85046025390204</v>
      </c>
      <c r="O248" s="7">
        <f t="shared" si="35"/>
        <v>3113.416666666667</v>
      </c>
      <c r="P248" s="7">
        <f t="shared" si="36"/>
        <v>2863.566206412765</v>
      </c>
      <c r="Q248" s="7">
        <f t="shared" si="37"/>
        <v>1142.8073850894464</v>
      </c>
      <c r="R248" s="7">
        <f t="shared" si="38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2"/>
        <v>99084</v>
      </c>
      <c r="X248" s="104">
        <f t="shared" si="43"/>
        <v>121637</v>
      </c>
      <c r="Y248" s="104"/>
      <c r="Z248" s="7">
        <v>16366</v>
      </c>
      <c r="AB248" s="2">
        <v>17746</v>
      </c>
      <c r="AC248" s="104">
        <v>127810</v>
      </c>
      <c r="AD248" s="104">
        <v>116830</v>
      </c>
      <c r="AE248" s="64">
        <f t="shared" si="44"/>
        <v>0.11780549252797122</v>
      </c>
      <c r="AF248" s="64">
        <f t="shared" si="45"/>
        <v>9.8732346143969876E-2</v>
      </c>
      <c r="AG248" s="20">
        <f t="shared" si="39"/>
        <v>124.65784534334823</v>
      </c>
      <c r="AH248" s="20">
        <f t="shared" si="40"/>
        <v>125.19261491055383</v>
      </c>
      <c r="AI248" s="22"/>
    </row>
    <row r="249" spans="1:35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1"/>
        <v>194.05534312338006</v>
      </c>
      <c r="O249" s="7">
        <f t="shared" si="35"/>
        <v>3085.9166666666665</v>
      </c>
      <c r="P249" s="7">
        <f t="shared" si="36"/>
        <v>2891.8613235432863</v>
      </c>
      <c r="Q249" s="7">
        <f t="shared" si="37"/>
        <v>1262.1917883608287</v>
      </c>
      <c r="R249" s="7">
        <f t="shared" si="38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2"/>
        <v>92940</v>
      </c>
      <c r="X249" s="104">
        <f t="shared" si="43"/>
        <v>101770</v>
      </c>
      <c r="Y249" s="104"/>
      <c r="Z249" s="7">
        <v>22443</v>
      </c>
      <c r="AB249" s="2">
        <v>3682</v>
      </c>
      <c r="AC249" s="104">
        <v>122220</v>
      </c>
      <c r="AD249" s="104">
        <v>96622</v>
      </c>
      <c r="AE249" s="64">
        <f t="shared" si="44"/>
        <v>0.16893765341188025</v>
      </c>
      <c r="AF249" s="64">
        <f t="shared" si="45"/>
        <v>2.4769721181511457E-2</v>
      </c>
      <c r="AG249" s="20">
        <f t="shared" si="39"/>
        <v>161.99713148420884</v>
      </c>
      <c r="AH249" s="20">
        <f t="shared" si="40"/>
        <v>32.058211639171205</v>
      </c>
      <c r="AI249" s="22"/>
    </row>
    <row r="250" spans="1:35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1"/>
        <v>348.59098949465226</v>
      </c>
      <c r="O250" s="7">
        <f t="shared" si="35"/>
        <v>2788.7500000000005</v>
      </c>
      <c r="P250" s="7">
        <f t="shared" si="36"/>
        <v>2440.1590105053479</v>
      </c>
      <c r="Q250" s="7">
        <f t="shared" si="37"/>
        <v>928.33359913915479</v>
      </c>
      <c r="R250" s="7">
        <f t="shared" si="38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2"/>
        <v>96635</v>
      </c>
      <c r="X250" s="104">
        <f t="shared" si="43"/>
        <v>145749</v>
      </c>
      <c r="Y250" s="104"/>
      <c r="Z250" s="7">
        <v>14545</v>
      </c>
      <c r="AB250" s="2">
        <v>44273</v>
      </c>
      <c r="AC250" s="104">
        <v>107852</v>
      </c>
      <c r="AD250" s="104">
        <v>140908</v>
      </c>
      <c r="AE250" s="64">
        <f t="shared" si="44"/>
        <v>0.12407187627489524</v>
      </c>
      <c r="AF250" s="64">
        <f t="shared" si="45"/>
        <v>0.20422864564112755</v>
      </c>
      <c r="AG250" s="20">
        <f t="shared" si="39"/>
        <v>110.34125530047352</v>
      </c>
      <c r="AH250" s="20">
        <f t="shared" si="40"/>
        <v>238.24973419417876</v>
      </c>
      <c r="AI250" s="22"/>
    </row>
    <row r="251" spans="1:35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1"/>
        <v>72.070283282674779</v>
      </c>
      <c r="O251" s="7">
        <f t="shared" si="35"/>
        <v>2723</v>
      </c>
      <c r="P251" s="7">
        <f t="shared" si="36"/>
        <v>2650.9297167173254</v>
      </c>
      <c r="Q251" s="7">
        <f t="shared" si="37"/>
        <v>1021.0833333333335</v>
      </c>
      <c r="R251" s="7">
        <f t="shared" si="38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2"/>
        <v>94950</v>
      </c>
      <c r="X251" s="104">
        <f t="shared" si="43"/>
        <v>99087</v>
      </c>
      <c r="Y251" s="104"/>
      <c r="Z251" s="7">
        <v>8156</v>
      </c>
      <c r="AB251" s="2">
        <v>0</v>
      </c>
      <c r="AC251" s="104">
        <v>115150</v>
      </c>
      <c r="AD251" s="104">
        <v>94950</v>
      </c>
      <c r="AE251" s="64">
        <f t="shared" si="44"/>
        <v>6.5163004776378639E-2</v>
      </c>
      <c r="AF251" s="64">
        <f t="shared" si="45"/>
        <v>0</v>
      </c>
      <c r="AG251" s="20">
        <f t="shared" si="39"/>
        <v>72.070283282674779</v>
      </c>
      <c r="AH251" s="20">
        <f t="shared" si="40"/>
        <v>0</v>
      </c>
      <c r="AI251" s="22"/>
    </row>
    <row r="252" spans="1:35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1"/>
        <v>56.838326097443314</v>
      </c>
      <c r="O252" s="7">
        <f t="shared" si="35"/>
        <v>3588.9166666666665</v>
      </c>
      <c r="P252" s="7">
        <f t="shared" si="36"/>
        <v>3532.0783405692232</v>
      </c>
      <c r="Q252" s="7">
        <f t="shared" si="37"/>
        <v>1570.0833333333335</v>
      </c>
      <c r="R252" s="7">
        <f t="shared" si="38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2"/>
        <v>114541</v>
      </c>
      <c r="X252" s="104">
        <f t="shared" si="43"/>
        <v>120281</v>
      </c>
      <c r="Y252" s="104"/>
      <c r="Z252" s="7">
        <v>5710</v>
      </c>
      <c r="AB252" s="2">
        <v>0</v>
      </c>
      <c r="AC252" s="104">
        <v>127144</v>
      </c>
      <c r="AD252" s="104">
        <v>114541</v>
      </c>
      <c r="AE252" s="64">
        <f t="shared" si="44"/>
        <v>4.1316931982633864E-2</v>
      </c>
      <c r="AF252" s="64">
        <f t="shared" si="45"/>
        <v>0</v>
      </c>
      <c r="AG252" s="20">
        <f t="shared" si="39"/>
        <v>56.838326097443314</v>
      </c>
      <c r="AH252" s="20">
        <f t="shared" si="40"/>
        <v>0</v>
      </c>
      <c r="AI252" s="22"/>
    </row>
    <row r="253" spans="1:35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1"/>
        <v>298.22447839302077</v>
      </c>
      <c r="O253" s="7">
        <f t="shared" si="35"/>
        <v>4049</v>
      </c>
      <c r="P253" s="7">
        <f t="shared" si="36"/>
        <v>3750.7755216069791</v>
      </c>
      <c r="Q253" s="7">
        <f t="shared" si="37"/>
        <v>1572.2238639943785</v>
      </c>
      <c r="R253" s="7">
        <f t="shared" si="38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2"/>
        <v>112662</v>
      </c>
      <c r="X253" s="104">
        <f t="shared" si="43"/>
        <v>143028</v>
      </c>
      <c r="Y253" s="104"/>
      <c r="Z253" s="7">
        <v>10674</v>
      </c>
      <c r="AB253" s="2">
        <v>22765</v>
      </c>
      <c r="AC253" s="104">
        <v>139164</v>
      </c>
      <c r="AD253" s="104">
        <v>135427</v>
      </c>
      <c r="AE253" s="64">
        <f t="shared" si="44"/>
        <v>7.0564801241700434E-2</v>
      </c>
      <c r="AF253" s="64">
        <f t="shared" si="45"/>
        <v>0.1092636623420736</v>
      </c>
      <c r="AG253" s="20">
        <f t="shared" si="39"/>
        <v>105.36500905406568</v>
      </c>
      <c r="AH253" s="20">
        <f t="shared" si="40"/>
        <v>192.85946933895511</v>
      </c>
      <c r="AI253" s="22"/>
    </row>
    <row r="254" spans="1:35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1"/>
        <v>124.83017465153969</v>
      </c>
      <c r="O254" s="7">
        <f t="shared" si="35"/>
        <v>4636</v>
      </c>
      <c r="P254" s="7">
        <f t="shared" si="36"/>
        <v>4511.169825348461</v>
      </c>
      <c r="Q254" s="7">
        <f t="shared" si="37"/>
        <v>2144.166666666667</v>
      </c>
      <c r="R254" s="7">
        <f t="shared" si="38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2"/>
        <v>160569</v>
      </c>
      <c r="X254" s="104">
        <f t="shared" si="43"/>
        <v>165327</v>
      </c>
      <c r="Y254" s="104"/>
      <c r="Z254" s="7">
        <v>12756</v>
      </c>
      <c r="AB254" s="2">
        <v>0</v>
      </c>
      <c r="AC254" s="104">
        <v>154250</v>
      </c>
      <c r="AD254" s="104">
        <v>160569</v>
      </c>
      <c r="AE254" s="64">
        <f t="shared" si="44"/>
        <v>7.6081166936790928E-2</v>
      </c>
      <c r="AF254" s="64">
        <f t="shared" si="45"/>
        <v>0</v>
      </c>
      <c r="AG254" s="20">
        <f t="shared" si="39"/>
        <v>124.83017465153969</v>
      </c>
      <c r="AH254" s="20">
        <f t="shared" si="40"/>
        <v>0</v>
      </c>
      <c r="AI254" s="22"/>
    </row>
    <row r="255" spans="1:35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1"/>
        <v>399.28815704133029</v>
      </c>
      <c r="O255" s="7">
        <f t="shared" si="35"/>
        <v>5028.3333333333339</v>
      </c>
      <c r="P255" s="7">
        <f t="shared" si="36"/>
        <v>4629.0451762920038</v>
      </c>
      <c r="Q255" s="7">
        <f t="shared" si="37"/>
        <v>2456.666666666667</v>
      </c>
      <c r="R255" s="7">
        <f t="shared" si="38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2"/>
        <v>161724</v>
      </c>
      <c r="X255" s="104">
        <f t="shared" si="43"/>
        <v>171410</v>
      </c>
      <c r="Y255" s="104"/>
      <c r="Z255" s="7">
        <v>51007</v>
      </c>
      <c r="AB255" s="2">
        <v>0</v>
      </c>
      <c r="AC255" s="104">
        <v>212564</v>
      </c>
      <c r="AD255" s="104">
        <v>161724</v>
      </c>
      <c r="AE255" s="64">
        <f t="shared" si="44"/>
        <v>0.22076381701511075</v>
      </c>
      <c r="AF255" s="64">
        <f t="shared" si="45"/>
        <v>0</v>
      </c>
      <c r="AG255" s="20">
        <f t="shared" si="39"/>
        <v>399.28815704133029</v>
      </c>
      <c r="AH255" s="20">
        <f t="shared" si="40"/>
        <v>0</v>
      </c>
      <c r="AI255" s="22"/>
    </row>
    <row r="256" spans="1:35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1"/>
        <v>644.79580594680135</v>
      </c>
      <c r="O256" s="7">
        <f t="shared" si="35"/>
        <v>4383.1666666666661</v>
      </c>
      <c r="P256" s="7">
        <f t="shared" si="36"/>
        <v>3738.370860719865</v>
      </c>
      <c r="Q256" s="7">
        <f t="shared" si="37"/>
        <v>1744.825215300441</v>
      </c>
      <c r="R256" s="7">
        <f t="shared" si="38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2"/>
        <v>122683</v>
      </c>
      <c r="X256" s="104">
        <f t="shared" si="43"/>
        <v>177632</v>
      </c>
      <c r="Y256" s="104"/>
      <c r="Z256" s="7">
        <v>29741</v>
      </c>
      <c r="AB256" s="2">
        <v>48299</v>
      </c>
      <c r="AC256" s="104">
        <v>158499</v>
      </c>
      <c r="AD256" s="104">
        <v>170982</v>
      </c>
      <c r="AE256" s="64">
        <f t="shared" si="44"/>
        <v>0.17263023741474709</v>
      </c>
      <c r="AF256" s="64">
        <f t="shared" si="45"/>
        <v>0.18361201763928367</v>
      </c>
      <c r="AG256" s="20">
        <f t="shared" si="39"/>
        <v>252.37102124724231</v>
      </c>
      <c r="AH256" s="20">
        <f t="shared" si="40"/>
        <v>392.42478469955904</v>
      </c>
      <c r="AI256" s="22"/>
    </row>
    <row r="257" spans="1:35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1"/>
        <v>313.15095967869991</v>
      </c>
      <c r="O257" s="7">
        <f t="shared" si="35"/>
        <v>2933.583333333333</v>
      </c>
      <c r="P257" s="7">
        <f t="shared" si="36"/>
        <v>2620.4323736546335</v>
      </c>
      <c r="Q257" s="7">
        <f t="shared" si="37"/>
        <v>1326.3265816412149</v>
      </c>
      <c r="R257" s="7">
        <f t="shared" si="38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2"/>
        <v>94924</v>
      </c>
      <c r="X257" s="104">
        <f t="shared" si="43"/>
        <v>116155</v>
      </c>
      <c r="Y257" s="104"/>
      <c r="Z257" s="7">
        <v>16984</v>
      </c>
      <c r="AB257" s="2">
        <v>18297</v>
      </c>
      <c r="AC257" s="104">
        <v>103340</v>
      </c>
      <c r="AD257" s="104">
        <v>113221</v>
      </c>
      <c r="AE257" s="64">
        <f t="shared" si="44"/>
        <v>0.15120263208825238</v>
      </c>
      <c r="AF257" s="64">
        <f t="shared" si="45"/>
        <v>0.1050427924148347</v>
      </c>
      <c r="AG257" s="20">
        <f t="shared" si="39"/>
        <v>157.47754131991485</v>
      </c>
      <c r="AH257" s="20">
        <f t="shared" si="40"/>
        <v>155.67341835878503</v>
      </c>
      <c r="AI257" s="22"/>
    </row>
    <row r="258" spans="1:35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1"/>
        <v>35.583225806451615</v>
      </c>
      <c r="O258" s="7">
        <f t="shared" ref="O258:O321" si="46">+B258+C258+D258+F258+I258+K258+J258</f>
        <v>1883.3333333333333</v>
      </c>
      <c r="P258" s="7">
        <f t="shared" ref="P258:P321" si="47">+B258+C258+D258+F258+J258+Q258+R258</f>
        <v>1847.7501075268815</v>
      </c>
      <c r="Q258" s="7">
        <f t="shared" ref="Q258:Q321" si="48">+I258-AH258</f>
        <v>792.83333333333326</v>
      </c>
      <c r="R258" s="7">
        <f t="shared" ref="R258:R321" si="49">+K258-AG258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2"/>
        <v>55861</v>
      </c>
      <c r="X258" s="104">
        <f t="shared" si="43"/>
        <v>57650</v>
      </c>
      <c r="Y258" s="104"/>
      <c r="Z258" s="7">
        <v>3706</v>
      </c>
      <c r="AB258" s="2">
        <v>0</v>
      </c>
      <c r="AC258" s="104">
        <v>60605</v>
      </c>
      <c r="AD258" s="104">
        <v>55861</v>
      </c>
      <c r="AE258" s="64">
        <f t="shared" si="44"/>
        <v>5.6258064516129039E-2</v>
      </c>
      <c r="AF258" s="64">
        <f t="shared" si="45"/>
        <v>0</v>
      </c>
      <c r="AG258" s="20">
        <f t="shared" ref="AG258:AG321" si="50">+AE258*K258</f>
        <v>35.583225806451615</v>
      </c>
      <c r="AH258" s="20">
        <f t="shared" ref="AH258:AH321" si="51">+AF258*I258</f>
        <v>0</v>
      </c>
      <c r="AI258" s="22"/>
    </row>
    <row r="259" spans="1:35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2">+AH259+AG259</f>
        <v>327.37882297406014</v>
      </c>
      <c r="O259" s="7">
        <f t="shared" si="46"/>
        <v>3980.666666666667</v>
      </c>
      <c r="P259" s="7">
        <f t="shared" si="47"/>
        <v>3653.2878436926067</v>
      </c>
      <c r="Q259" s="7">
        <f t="shared" si="48"/>
        <v>1605.3577366771199</v>
      </c>
      <c r="R259" s="7">
        <f t="shared" si="49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ref="W259:W322" si="53">+V259-U259-S259+AA259</f>
        <v>113870</v>
      </c>
      <c r="X259" s="104">
        <f t="shared" ref="X259:X322" si="54">+V259+AB259+AA259</f>
        <v>146853</v>
      </c>
      <c r="Y259" s="104"/>
      <c r="Z259" s="7">
        <v>12523</v>
      </c>
      <c r="AB259" s="2">
        <v>25483</v>
      </c>
      <c r="AC259" s="104">
        <v>136460</v>
      </c>
      <c r="AD259" s="104">
        <v>139353</v>
      </c>
      <c r="AE259" s="64">
        <f t="shared" ref="AE259:AE322" si="55">+(Z259/AC259*0.92)</f>
        <v>8.4428843617177202E-2</v>
      </c>
      <c r="AF259" s="64">
        <f t="shared" ref="AF259:AF322" si="56">+(AB259/AD259*0.65)</f>
        <v>0.11886324657524418</v>
      </c>
      <c r="AG259" s="20">
        <f t="shared" si="50"/>
        <v>110.81989298451317</v>
      </c>
      <c r="AH259" s="20">
        <f t="shared" si="51"/>
        <v>216.55892998954695</v>
      </c>
      <c r="AI259" s="22"/>
    </row>
    <row r="260" spans="1:35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2"/>
        <v>121.24624583829797</v>
      </c>
      <c r="O260" s="7">
        <f t="shared" si="46"/>
        <v>4040</v>
      </c>
      <c r="P260" s="7">
        <f t="shared" si="47"/>
        <v>3918.7537541617021</v>
      </c>
      <c r="Q260" s="7">
        <f t="shared" si="48"/>
        <v>1850.1666666666665</v>
      </c>
      <c r="R260" s="7">
        <f t="shared" si="49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53"/>
        <v>133449</v>
      </c>
      <c r="X260" s="104">
        <f t="shared" si="54"/>
        <v>143001</v>
      </c>
      <c r="Y260" s="104"/>
      <c r="Z260" s="7">
        <v>13679</v>
      </c>
      <c r="AB260" s="2">
        <v>0</v>
      </c>
      <c r="AC260" s="104">
        <v>135962</v>
      </c>
      <c r="AD260" s="104">
        <v>133449</v>
      </c>
      <c r="AE260" s="64">
        <f t="shared" si="55"/>
        <v>9.2560274194260161E-2</v>
      </c>
      <c r="AF260" s="64">
        <f t="shared" si="56"/>
        <v>0</v>
      </c>
      <c r="AG260" s="20">
        <f t="shared" si="50"/>
        <v>121.24624583829797</v>
      </c>
      <c r="AH260" s="20">
        <f t="shared" si="51"/>
        <v>0</v>
      </c>
      <c r="AI260" s="22"/>
    </row>
    <row r="261" spans="1:35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2"/>
        <v>384.24659736360184</v>
      </c>
      <c r="O261" s="7">
        <f t="shared" si="46"/>
        <v>3851.4166666666661</v>
      </c>
      <c r="P261" s="7">
        <f t="shared" si="47"/>
        <v>3467.1700693030648</v>
      </c>
      <c r="Q261" s="7">
        <f t="shared" si="48"/>
        <v>1576.5210639022516</v>
      </c>
      <c r="R261" s="7">
        <f t="shared" si="49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53"/>
        <v>138100</v>
      </c>
      <c r="X261" s="104">
        <f t="shared" si="54"/>
        <v>181505</v>
      </c>
      <c r="Y261" s="104"/>
      <c r="Z261" s="7">
        <v>19175</v>
      </c>
      <c r="AB261" s="2">
        <v>34643</v>
      </c>
      <c r="AC261" s="104">
        <v>137325</v>
      </c>
      <c r="AD261" s="104">
        <v>172743</v>
      </c>
      <c r="AE261" s="64">
        <f t="shared" si="55"/>
        <v>0.12846167849990897</v>
      </c>
      <c r="AF261" s="64">
        <f t="shared" si="56"/>
        <v>0.13035520976247952</v>
      </c>
      <c r="AG261" s="20">
        <f t="shared" si="50"/>
        <v>147.93432793252018</v>
      </c>
      <c r="AH261" s="20">
        <f t="shared" si="51"/>
        <v>236.31226943108163</v>
      </c>
      <c r="AI261" s="22"/>
    </row>
    <row r="262" spans="1:35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2"/>
        <v>229.50346422272128</v>
      </c>
      <c r="O262" s="7">
        <f t="shared" si="46"/>
        <v>3562.8333333333335</v>
      </c>
      <c r="P262" s="7">
        <f t="shared" si="47"/>
        <v>3333.329869110612</v>
      </c>
      <c r="Q262" s="7">
        <f t="shared" si="48"/>
        <v>1471.1348317665042</v>
      </c>
      <c r="R262" s="7">
        <f t="shared" si="49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si="53"/>
        <v>123171</v>
      </c>
      <c r="X262" s="104">
        <f t="shared" si="54"/>
        <v>151021</v>
      </c>
      <c r="Y262" s="104"/>
      <c r="Z262" s="7">
        <v>10007</v>
      </c>
      <c r="AB262" s="2">
        <v>20112</v>
      </c>
      <c r="AC262" s="104">
        <v>114342</v>
      </c>
      <c r="AD262" s="104">
        <v>143283</v>
      </c>
      <c r="AE262" s="64">
        <f t="shared" si="55"/>
        <v>8.0516695527452734E-2</v>
      </c>
      <c r="AF262" s="64">
        <f t="shared" si="56"/>
        <v>9.1237620652833903E-2</v>
      </c>
      <c r="AG262" s="20">
        <f t="shared" si="50"/>
        <v>81.80496265589197</v>
      </c>
      <c r="AH262" s="20">
        <f t="shared" si="51"/>
        <v>147.69850156682929</v>
      </c>
      <c r="AI262" s="22"/>
    </row>
    <row r="263" spans="1:35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2"/>
        <v>135.18659529052789</v>
      </c>
      <c r="O263" s="7">
        <f t="shared" si="46"/>
        <v>3515.666666666667</v>
      </c>
      <c r="P263" s="7">
        <f t="shared" si="47"/>
        <v>3380.4800713761388</v>
      </c>
      <c r="Q263" s="7">
        <f t="shared" si="48"/>
        <v>1487.9041862796792</v>
      </c>
      <c r="R263" s="7">
        <f t="shared" si="49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3"/>
        <v>97939</v>
      </c>
      <c r="X263" s="104">
        <f t="shared" si="54"/>
        <v>112709</v>
      </c>
      <c r="Y263" s="104"/>
      <c r="Z263" s="7">
        <v>8888</v>
      </c>
      <c r="AB263" s="2">
        <v>6371</v>
      </c>
      <c r="AC263" s="104">
        <v>113208</v>
      </c>
      <c r="AD263" s="104">
        <v>104310</v>
      </c>
      <c r="AE263" s="64">
        <f t="shared" si="55"/>
        <v>7.2229524415235682E-2</v>
      </c>
      <c r="AF263" s="64">
        <f t="shared" si="56"/>
        <v>3.9700412232767712E-2</v>
      </c>
      <c r="AG263" s="20">
        <f t="shared" si="50"/>
        <v>73.674114903540385</v>
      </c>
      <c r="AH263" s="20">
        <f t="shared" si="51"/>
        <v>61.512480386987512</v>
      </c>
      <c r="AI263" s="22"/>
    </row>
    <row r="264" spans="1:35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2"/>
        <v>9.9724958347579253</v>
      </c>
      <c r="O264" s="7">
        <f t="shared" si="46"/>
        <v>1894.5</v>
      </c>
      <c r="P264" s="7">
        <f t="shared" si="47"/>
        <v>1884.5275041652421</v>
      </c>
      <c r="Q264" s="7">
        <f t="shared" si="48"/>
        <v>845.75</v>
      </c>
      <c r="R264" s="7">
        <f t="shared" si="49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3"/>
        <v>79824</v>
      </c>
      <c r="X264" s="104">
        <f t="shared" si="54"/>
        <v>83419</v>
      </c>
      <c r="Y264" s="104"/>
      <c r="Z264" s="7">
        <v>1075</v>
      </c>
      <c r="AB264" s="2">
        <v>0</v>
      </c>
      <c r="AC264" s="104">
        <v>61421</v>
      </c>
      <c r="AD264" s="104">
        <v>79824</v>
      </c>
      <c r="AE264" s="64">
        <f t="shared" si="55"/>
        <v>1.6101984663225932E-2</v>
      </c>
      <c r="AF264" s="64">
        <f t="shared" si="56"/>
        <v>0</v>
      </c>
      <c r="AG264" s="20">
        <f t="shared" si="50"/>
        <v>9.9724958347579253</v>
      </c>
      <c r="AH264" s="20">
        <f t="shared" si="51"/>
        <v>0</v>
      </c>
      <c r="AI264" s="22"/>
    </row>
    <row r="265" spans="1:35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2"/>
        <v>0</v>
      </c>
      <c r="O265" s="7">
        <f t="shared" si="46"/>
        <v>1812.0833333333335</v>
      </c>
      <c r="P265" s="7">
        <f t="shared" si="47"/>
        <v>1812.0833333333335</v>
      </c>
      <c r="Q265" s="7">
        <f t="shared" si="48"/>
        <v>812.83333333333348</v>
      </c>
      <c r="R265" s="7">
        <f t="shared" si="49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3"/>
        <v>72897</v>
      </c>
      <c r="X265" s="104">
        <f t="shared" si="54"/>
        <v>74482</v>
      </c>
      <c r="Y265" s="104"/>
      <c r="Z265" s="7">
        <v>0</v>
      </c>
      <c r="AB265" s="2">
        <v>0</v>
      </c>
      <c r="AC265" s="104">
        <v>60708</v>
      </c>
      <c r="AD265" s="104">
        <v>72897</v>
      </c>
      <c r="AE265" s="64">
        <f t="shared" si="55"/>
        <v>0</v>
      </c>
      <c r="AF265" s="64">
        <f t="shared" si="56"/>
        <v>0</v>
      </c>
      <c r="AG265" s="20">
        <f t="shared" si="50"/>
        <v>0</v>
      </c>
      <c r="AH265" s="20">
        <f t="shared" si="51"/>
        <v>0</v>
      </c>
      <c r="AI265" s="22"/>
    </row>
    <row r="266" spans="1:35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2"/>
        <v>0</v>
      </c>
      <c r="O266" s="7">
        <f t="shared" si="46"/>
        <v>3681.5833333333335</v>
      </c>
      <c r="P266" s="7">
        <f t="shared" si="47"/>
        <v>3681.5833333333335</v>
      </c>
      <c r="Q266" s="7">
        <f t="shared" si="48"/>
        <v>1607.5833333333335</v>
      </c>
      <c r="R266" s="7">
        <f t="shared" si="49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3"/>
        <v>122924</v>
      </c>
      <c r="X266" s="104">
        <f t="shared" si="54"/>
        <v>133599</v>
      </c>
      <c r="Y266" s="104"/>
      <c r="Z266" s="7">
        <v>0</v>
      </c>
      <c r="AB266" s="2">
        <v>0</v>
      </c>
      <c r="AC266" s="104">
        <v>120167</v>
      </c>
      <c r="AD266" s="104">
        <v>122924</v>
      </c>
      <c r="AE266" s="64">
        <f t="shared" si="55"/>
        <v>0</v>
      </c>
      <c r="AF266" s="64">
        <f t="shared" si="56"/>
        <v>0</v>
      </c>
      <c r="AG266" s="20">
        <f t="shared" si="50"/>
        <v>0</v>
      </c>
      <c r="AH266" s="20">
        <f t="shared" si="51"/>
        <v>0</v>
      </c>
      <c r="AI266" s="22"/>
    </row>
    <row r="267" spans="1:35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2"/>
        <v>0</v>
      </c>
      <c r="O267" s="7">
        <f t="shared" si="46"/>
        <v>4170.5</v>
      </c>
      <c r="P267" s="7">
        <f t="shared" si="47"/>
        <v>4170.5</v>
      </c>
      <c r="Q267" s="7">
        <f t="shared" si="48"/>
        <v>1727.9166666666667</v>
      </c>
      <c r="R267" s="7">
        <f t="shared" si="49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3"/>
        <v>162105</v>
      </c>
      <c r="X267" s="104">
        <f t="shared" si="54"/>
        <v>173594</v>
      </c>
      <c r="Y267" s="104"/>
      <c r="Z267" s="7">
        <v>0</v>
      </c>
      <c r="AB267" s="2">
        <v>0</v>
      </c>
      <c r="AC267" s="104">
        <v>148785</v>
      </c>
      <c r="AD267" s="104">
        <v>162105</v>
      </c>
      <c r="AE267" s="64">
        <f t="shared" si="55"/>
        <v>0</v>
      </c>
      <c r="AF267" s="64">
        <f t="shared" si="56"/>
        <v>0</v>
      </c>
      <c r="AG267" s="20">
        <f t="shared" si="50"/>
        <v>0</v>
      </c>
      <c r="AH267" s="20">
        <f t="shared" si="51"/>
        <v>0</v>
      </c>
      <c r="AI267" s="22"/>
    </row>
    <row r="268" spans="1:35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2"/>
        <v>0</v>
      </c>
      <c r="O268" s="7">
        <f t="shared" si="46"/>
        <v>4376.0833333333339</v>
      </c>
      <c r="P268" s="7">
        <f t="shared" si="47"/>
        <v>4376.0833333333339</v>
      </c>
      <c r="Q268" s="7">
        <f t="shared" si="48"/>
        <v>2022.25</v>
      </c>
      <c r="R268" s="7">
        <f t="shared" si="49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3"/>
        <v>155098</v>
      </c>
      <c r="X268" s="104">
        <f t="shared" si="54"/>
        <v>162614</v>
      </c>
      <c r="Y268" s="104"/>
      <c r="Z268" s="7">
        <v>0</v>
      </c>
      <c r="AB268" s="2">
        <v>0</v>
      </c>
      <c r="AC268" s="104">
        <v>136203</v>
      </c>
      <c r="AD268" s="104">
        <v>155098</v>
      </c>
      <c r="AE268" s="64">
        <f t="shared" si="55"/>
        <v>0</v>
      </c>
      <c r="AF268" s="64">
        <f t="shared" si="56"/>
        <v>0</v>
      </c>
      <c r="AG268" s="20">
        <f t="shared" si="50"/>
        <v>0</v>
      </c>
      <c r="AH268" s="20">
        <f t="shared" si="51"/>
        <v>0</v>
      </c>
      <c r="AI268" s="22"/>
    </row>
    <row r="269" spans="1:35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2"/>
        <v>0</v>
      </c>
      <c r="O269" s="7">
        <f t="shared" si="46"/>
        <v>4421.5</v>
      </c>
      <c r="P269" s="7">
        <f t="shared" si="47"/>
        <v>4421.5</v>
      </c>
      <c r="Q269" s="7">
        <f t="shared" si="48"/>
        <v>2003.166666666667</v>
      </c>
      <c r="R269" s="7">
        <f t="shared" si="49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3"/>
        <v>175438</v>
      </c>
      <c r="X269" s="104">
        <f t="shared" si="54"/>
        <v>183167</v>
      </c>
      <c r="Y269" s="104"/>
      <c r="Z269" s="7">
        <v>0</v>
      </c>
      <c r="AB269" s="2">
        <v>0</v>
      </c>
      <c r="AC269" s="104">
        <v>132615</v>
      </c>
      <c r="AD269" s="104">
        <v>175438</v>
      </c>
      <c r="AE269" s="64">
        <f t="shared" si="55"/>
        <v>0</v>
      </c>
      <c r="AF269" s="64">
        <f t="shared" si="56"/>
        <v>0</v>
      </c>
      <c r="AG269" s="20">
        <f t="shared" si="50"/>
        <v>0</v>
      </c>
      <c r="AH269" s="20">
        <f t="shared" si="51"/>
        <v>0</v>
      </c>
      <c r="AI269" s="22"/>
    </row>
    <row r="270" spans="1:35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2"/>
        <v>0.36420758975657092</v>
      </c>
      <c r="O270" s="7">
        <f t="shared" si="46"/>
        <v>3969.0833333333335</v>
      </c>
      <c r="P270" s="7">
        <f t="shared" si="47"/>
        <v>3968.719125743577</v>
      </c>
      <c r="Q270" s="7">
        <f t="shared" si="48"/>
        <v>1947.5524590769103</v>
      </c>
      <c r="R270" s="7">
        <f t="shared" si="49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3"/>
        <v>173772</v>
      </c>
      <c r="X270" s="104">
        <f t="shared" si="54"/>
        <v>180234</v>
      </c>
      <c r="Y270" s="104"/>
      <c r="Z270" s="7">
        <v>0</v>
      </c>
      <c r="AB270" s="2">
        <v>50</v>
      </c>
      <c r="AC270" s="104">
        <v>92775</v>
      </c>
      <c r="AD270" s="104">
        <v>173822</v>
      </c>
      <c r="AE270" s="64">
        <f t="shared" si="55"/>
        <v>0</v>
      </c>
      <c r="AF270" s="64">
        <f t="shared" si="56"/>
        <v>1.8697288030283853E-4</v>
      </c>
      <c r="AG270" s="20">
        <f t="shared" si="50"/>
        <v>0</v>
      </c>
      <c r="AH270" s="20">
        <f t="shared" si="51"/>
        <v>0.36420758975657092</v>
      </c>
      <c r="AI270" s="22"/>
    </row>
    <row r="271" spans="1:35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2"/>
        <v>0</v>
      </c>
      <c r="O271" s="7">
        <f t="shared" si="46"/>
        <v>1929.8333333333333</v>
      </c>
      <c r="P271" s="7">
        <f t="shared" si="47"/>
        <v>1929.8333333333333</v>
      </c>
      <c r="Q271" s="7">
        <f t="shared" si="48"/>
        <v>861.33333333333326</v>
      </c>
      <c r="R271" s="7">
        <f t="shared" si="49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3"/>
        <v>81824</v>
      </c>
      <c r="X271" s="104">
        <f t="shared" si="54"/>
        <v>84488</v>
      </c>
      <c r="Y271" s="104"/>
      <c r="Z271" s="7">
        <v>0</v>
      </c>
      <c r="AB271" s="2">
        <v>0</v>
      </c>
      <c r="AC271" s="104">
        <v>59180</v>
      </c>
      <c r="AD271" s="104">
        <v>81824</v>
      </c>
      <c r="AE271" s="64">
        <f t="shared" si="55"/>
        <v>0</v>
      </c>
      <c r="AF271" s="64">
        <f t="shared" si="56"/>
        <v>0</v>
      </c>
      <c r="AG271" s="20">
        <f t="shared" si="50"/>
        <v>0</v>
      </c>
      <c r="AH271" s="20">
        <f t="shared" si="51"/>
        <v>0</v>
      </c>
      <c r="AI271" s="22"/>
    </row>
    <row r="272" spans="1:35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2"/>
        <v>0</v>
      </c>
      <c r="O272" s="7">
        <f t="shared" si="46"/>
        <v>1846.5833333333333</v>
      </c>
      <c r="P272" s="7">
        <f t="shared" si="47"/>
        <v>1846.5833333333333</v>
      </c>
      <c r="Q272" s="7">
        <f t="shared" si="48"/>
        <v>772.08333333333326</v>
      </c>
      <c r="R272" s="7">
        <f t="shared" si="49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3"/>
        <v>63789</v>
      </c>
      <c r="X272" s="104">
        <f t="shared" si="54"/>
        <v>67238</v>
      </c>
      <c r="Y272" s="104"/>
      <c r="Z272" s="7">
        <v>0</v>
      </c>
      <c r="AB272" s="2">
        <v>0</v>
      </c>
      <c r="AC272" s="104">
        <v>65127</v>
      </c>
      <c r="AD272" s="104">
        <v>63789</v>
      </c>
      <c r="AE272" s="64">
        <f t="shared" si="55"/>
        <v>0</v>
      </c>
      <c r="AF272" s="64">
        <f t="shared" si="56"/>
        <v>0</v>
      </c>
      <c r="AG272" s="20">
        <f t="shared" si="50"/>
        <v>0</v>
      </c>
      <c r="AH272" s="20">
        <f t="shared" si="51"/>
        <v>0</v>
      </c>
      <c r="AI272" s="22"/>
    </row>
    <row r="273" spans="1:35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2"/>
        <v>0</v>
      </c>
      <c r="O273" s="7">
        <f t="shared" si="46"/>
        <v>4461.333333333333</v>
      </c>
      <c r="P273" s="7">
        <f t="shared" si="47"/>
        <v>4461.333333333333</v>
      </c>
      <c r="Q273" s="7">
        <f t="shared" si="48"/>
        <v>1839.7499999999998</v>
      </c>
      <c r="R273" s="7">
        <f t="shared" si="49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3"/>
        <v>137330</v>
      </c>
      <c r="X273" s="104">
        <f t="shared" si="54"/>
        <v>145944</v>
      </c>
      <c r="Y273" s="104"/>
      <c r="Z273" s="7">
        <v>0</v>
      </c>
      <c r="AB273" s="2">
        <v>0</v>
      </c>
      <c r="AC273" s="104">
        <v>153072</v>
      </c>
      <c r="AD273" s="104">
        <v>137330</v>
      </c>
      <c r="AE273" s="64">
        <f t="shared" si="55"/>
        <v>0</v>
      </c>
      <c r="AF273" s="64">
        <f t="shared" si="56"/>
        <v>0</v>
      </c>
      <c r="AG273" s="20">
        <f t="shared" si="50"/>
        <v>0</v>
      </c>
      <c r="AH273" s="20">
        <f t="shared" si="51"/>
        <v>0</v>
      </c>
      <c r="AI273" s="22"/>
    </row>
    <row r="274" spans="1:35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2"/>
        <v>0</v>
      </c>
      <c r="O274" s="7">
        <f t="shared" si="46"/>
        <v>4649.416666666667</v>
      </c>
      <c r="P274" s="7">
        <f t="shared" si="47"/>
        <v>4649.416666666667</v>
      </c>
      <c r="Q274" s="7">
        <f t="shared" si="48"/>
        <v>2059.916666666667</v>
      </c>
      <c r="R274" s="7">
        <f t="shared" si="49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3"/>
        <v>180857</v>
      </c>
      <c r="X274" s="104">
        <f t="shared" si="54"/>
        <v>189656</v>
      </c>
      <c r="Y274" s="104"/>
      <c r="Z274" s="7">
        <v>0</v>
      </c>
      <c r="AB274" s="2">
        <v>0</v>
      </c>
      <c r="AC274" s="104">
        <v>161820</v>
      </c>
      <c r="AD274" s="104">
        <v>180857</v>
      </c>
      <c r="AE274" s="64">
        <f t="shared" si="55"/>
        <v>0</v>
      </c>
      <c r="AF274" s="64">
        <f t="shared" si="56"/>
        <v>0</v>
      </c>
      <c r="AG274" s="20">
        <f t="shared" si="50"/>
        <v>0</v>
      </c>
      <c r="AH274" s="20">
        <f t="shared" si="51"/>
        <v>0</v>
      </c>
      <c r="AI274" s="22"/>
    </row>
    <row r="275" spans="1:35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2"/>
        <v>64.320674319945439</v>
      </c>
      <c r="O275" s="7">
        <f t="shared" si="46"/>
        <v>4449.583333333333</v>
      </c>
      <c r="P275" s="7">
        <f t="shared" si="47"/>
        <v>4385.2626590133877</v>
      </c>
      <c r="Q275" s="7">
        <f t="shared" si="48"/>
        <v>2015</v>
      </c>
      <c r="R275" s="7">
        <f t="shared" si="49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3"/>
        <v>153693</v>
      </c>
      <c r="X275" s="104">
        <f t="shared" si="54"/>
        <v>162989</v>
      </c>
      <c r="Y275" s="104"/>
      <c r="Z275" s="7">
        <v>7201</v>
      </c>
      <c r="AB275" s="2">
        <v>0</v>
      </c>
      <c r="AC275" s="104">
        <v>156360</v>
      </c>
      <c r="AD275" s="104">
        <v>153693</v>
      </c>
      <c r="AE275" s="64">
        <f t="shared" si="55"/>
        <v>4.2369659759529298E-2</v>
      </c>
      <c r="AF275" s="64">
        <f t="shared" si="56"/>
        <v>0</v>
      </c>
      <c r="AG275" s="20">
        <f t="shared" si="50"/>
        <v>64.320674319945439</v>
      </c>
      <c r="AH275" s="20">
        <f t="shared" si="51"/>
        <v>0</v>
      </c>
      <c r="AI275" s="22"/>
    </row>
    <row r="276" spans="1:35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2"/>
        <v>94.518567992175619</v>
      </c>
      <c r="O276" s="7">
        <f t="shared" si="46"/>
        <v>4199.666666666667</v>
      </c>
      <c r="P276" s="7">
        <f t="shared" si="47"/>
        <v>4105.1480986744918</v>
      </c>
      <c r="Q276" s="7">
        <f t="shared" si="48"/>
        <v>2074.75</v>
      </c>
      <c r="R276" s="7">
        <f t="shared" si="49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3"/>
        <v>160271</v>
      </c>
      <c r="X276" s="104">
        <f t="shared" si="54"/>
        <v>168481</v>
      </c>
      <c r="Y276" s="104"/>
      <c r="Z276" s="7">
        <v>9615</v>
      </c>
      <c r="AB276" s="2">
        <v>0</v>
      </c>
      <c r="AC276" s="104">
        <v>113491</v>
      </c>
      <c r="AD276" s="104">
        <v>160271</v>
      </c>
      <c r="AE276" s="64">
        <f t="shared" si="55"/>
        <v>7.7942744358583504E-2</v>
      </c>
      <c r="AF276" s="64">
        <f t="shared" si="56"/>
        <v>0</v>
      </c>
      <c r="AG276" s="20">
        <f t="shared" si="50"/>
        <v>94.518567992175619</v>
      </c>
      <c r="AH276" s="20">
        <f t="shared" si="51"/>
        <v>0</v>
      </c>
      <c r="AI276" s="22"/>
    </row>
    <row r="277" spans="1:35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2"/>
        <v>32.371833248050372</v>
      </c>
      <c r="O277" s="7">
        <f t="shared" si="46"/>
        <v>3876.0833333333335</v>
      </c>
      <c r="P277" s="7">
        <f t="shared" si="47"/>
        <v>3843.7115000852832</v>
      </c>
      <c r="Q277" s="7">
        <f t="shared" si="48"/>
        <v>1789.3333333333335</v>
      </c>
      <c r="R277" s="7">
        <f t="shared" si="49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3"/>
        <v>130407</v>
      </c>
      <c r="X277" s="104">
        <f t="shared" si="54"/>
        <v>137762</v>
      </c>
      <c r="Y277" s="104"/>
      <c r="Z277" s="7">
        <v>3442</v>
      </c>
      <c r="AB277" s="2">
        <v>0</v>
      </c>
      <c r="AC277" s="104">
        <v>119211</v>
      </c>
      <c r="AD277" s="104">
        <v>130407</v>
      </c>
      <c r="AE277" s="64">
        <f t="shared" si="55"/>
        <v>2.6563320498947246E-2</v>
      </c>
      <c r="AF277" s="64">
        <f t="shared" si="56"/>
        <v>0</v>
      </c>
      <c r="AG277" s="20">
        <f t="shared" si="50"/>
        <v>32.371833248050372</v>
      </c>
      <c r="AH277" s="20">
        <f t="shared" si="51"/>
        <v>0</v>
      </c>
      <c r="AI277" s="22"/>
    </row>
    <row r="278" spans="1:35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2"/>
        <v>9.8745532963647555</v>
      </c>
      <c r="O278" s="7">
        <f t="shared" si="46"/>
        <v>1967.5</v>
      </c>
      <c r="P278" s="7">
        <f t="shared" si="47"/>
        <v>1957.6254467036351</v>
      </c>
      <c r="Q278" s="7">
        <f t="shared" si="48"/>
        <v>913.16666666666674</v>
      </c>
      <c r="R278" s="7">
        <f t="shared" si="49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3"/>
        <v>80175</v>
      </c>
      <c r="X278" s="104">
        <f t="shared" si="54"/>
        <v>84001</v>
      </c>
      <c r="Y278" s="104"/>
      <c r="Z278" s="7">
        <v>1072</v>
      </c>
      <c r="AB278" s="2">
        <v>0</v>
      </c>
      <c r="AC278" s="104">
        <v>64379</v>
      </c>
      <c r="AD278" s="104">
        <v>80175</v>
      </c>
      <c r="AE278" s="64">
        <f t="shared" si="55"/>
        <v>1.5319281132046164E-2</v>
      </c>
      <c r="AF278" s="64">
        <f t="shared" si="56"/>
        <v>0</v>
      </c>
      <c r="AG278" s="20">
        <f t="shared" si="50"/>
        <v>9.8745532963647555</v>
      </c>
      <c r="AH278" s="20">
        <f t="shared" si="51"/>
        <v>0</v>
      </c>
      <c r="AI278" s="22"/>
    </row>
    <row r="279" spans="1:35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2"/>
        <v>0</v>
      </c>
      <c r="O279" s="7">
        <f t="shared" si="46"/>
        <v>1850.9166666666667</v>
      </c>
      <c r="P279" s="7">
        <f t="shared" si="47"/>
        <v>1850.9166666666667</v>
      </c>
      <c r="Q279" s="7">
        <f t="shared" si="48"/>
        <v>816.33333333333348</v>
      </c>
      <c r="R279" s="7">
        <f t="shared" si="49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3"/>
        <v>69509</v>
      </c>
      <c r="X279" s="104">
        <f t="shared" si="54"/>
        <v>72512</v>
      </c>
      <c r="Y279" s="104"/>
      <c r="Z279" s="7">
        <v>0</v>
      </c>
      <c r="AB279" s="2">
        <v>0</v>
      </c>
      <c r="AC279" s="104">
        <v>59694</v>
      </c>
      <c r="AD279" s="104">
        <v>69509</v>
      </c>
      <c r="AE279" s="64">
        <f t="shared" si="55"/>
        <v>0</v>
      </c>
      <c r="AF279" s="64">
        <f t="shared" si="56"/>
        <v>0</v>
      </c>
      <c r="AG279" s="20">
        <f t="shared" si="50"/>
        <v>0</v>
      </c>
      <c r="AH279" s="20">
        <f t="shared" si="51"/>
        <v>0</v>
      </c>
      <c r="AI279" s="22"/>
    </row>
    <row r="280" spans="1:35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2"/>
        <v>11.693124491970169</v>
      </c>
      <c r="O280" s="7">
        <f t="shared" si="46"/>
        <v>3892.5833333333335</v>
      </c>
      <c r="P280" s="7">
        <f t="shared" si="47"/>
        <v>3880.8902088413633</v>
      </c>
      <c r="Q280" s="7">
        <f t="shared" si="48"/>
        <v>1716.3333333333335</v>
      </c>
      <c r="R280" s="7">
        <f t="shared" si="49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3"/>
        <v>140091</v>
      </c>
      <c r="X280" s="104">
        <f t="shared" si="54"/>
        <v>149075</v>
      </c>
      <c r="Y280" s="104"/>
      <c r="Z280" s="7">
        <v>1281</v>
      </c>
      <c r="AB280" s="2">
        <v>0</v>
      </c>
      <c r="AC280" s="104">
        <v>126715</v>
      </c>
      <c r="AD280" s="104">
        <v>140091</v>
      </c>
      <c r="AE280" s="64">
        <f t="shared" si="55"/>
        <v>9.3005563666495681E-3</v>
      </c>
      <c r="AF280" s="64">
        <f t="shared" si="56"/>
        <v>0</v>
      </c>
      <c r="AG280" s="20">
        <f t="shared" si="50"/>
        <v>11.693124491970169</v>
      </c>
      <c r="AH280" s="20">
        <f t="shared" si="51"/>
        <v>0</v>
      </c>
      <c r="AI280" s="22"/>
    </row>
    <row r="281" spans="1:35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2"/>
        <v>5.1083379928400783</v>
      </c>
      <c r="O281" s="7">
        <f t="shared" si="46"/>
        <v>3933.6833333333334</v>
      </c>
      <c r="P281" s="7">
        <f t="shared" si="47"/>
        <v>3928.5749953404938</v>
      </c>
      <c r="Q281" s="7">
        <f t="shared" si="48"/>
        <v>1711.0833333333335</v>
      </c>
      <c r="R281" s="7">
        <f t="shared" si="49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3"/>
        <v>152437</v>
      </c>
      <c r="X281" s="104">
        <f t="shared" si="54"/>
        <v>164266</v>
      </c>
      <c r="Y281" s="104"/>
      <c r="Z281" s="7">
        <v>556</v>
      </c>
      <c r="AB281" s="2">
        <v>0</v>
      </c>
      <c r="AC281" s="104">
        <v>125979</v>
      </c>
      <c r="AD281" s="104">
        <v>152437</v>
      </c>
      <c r="AE281" s="64">
        <f t="shared" si="55"/>
        <v>4.0603592662269115E-3</v>
      </c>
      <c r="AF281" s="64">
        <f t="shared" si="56"/>
        <v>0</v>
      </c>
      <c r="AG281" s="20">
        <f t="shared" si="50"/>
        <v>5.1083379928400783</v>
      </c>
      <c r="AH281" s="20">
        <f t="shared" si="51"/>
        <v>0</v>
      </c>
      <c r="AI281" s="22"/>
    </row>
    <row r="282" spans="1:35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2"/>
        <v>16.751611171345068</v>
      </c>
      <c r="O282" s="7">
        <f t="shared" si="46"/>
        <v>4912.416666666667</v>
      </c>
      <c r="P282" s="7">
        <f t="shared" si="47"/>
        <v>4895.6650554953221</v>
      </c>
      <c r="Q282" s="7">
        <f t="shared" si="48"/>
        <v>2011.666666666667</v>
      </c>
      <c r="R282" s="7">
        <f t="shared" si="49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3"/>
        <v>165264</v>
      </c>
      <c r="X282" s="104">
        <f t="shared" si="54"/>
        <v>173891</v>
      </c>
      <c r="Y282" s="104"/>
      <c r="Z282" s="7">
        <v>1720</v>
      </c>
      <c r="AB282" s="2">
        <v>0</v>
      </c>
      <c r="AC282" s="104">
        <v>159563</v>
      </c>
      <c r="AD282" s="104">
        <v>165264</v>
      </c>
      <c r="AE282" s="64">
        <f t="shared" si="55"/>
        <v>9.917086041250165E-3</v>
      </c>
      <c r="AF282" s="64">
        <f t="shared" si="56"/>
        <v>0</v>
      </c>
      <c r="AG282" s="20">
        <f t="shared" si="50"/>
        <v>16.751611171345068</v>
      </c>
      <c r="AH282" s="20">
        <f t="shared" si="51"/>
        <v>0</v>
      </c>
      <c r="AI282" s="22"/>
    </row>
    <row r="283" spans="1:35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2"/>
        <v>243.17628858759696</v>
      </c>
      <c r="O283" s="7">
        <f t="shared" si="46"/>
        <v>5112.166666666667</v>
      </c>
      <c r="P283" s="7">
        <f t="shared" si="47"/>
        <v>4868.9903780790692</v>
      </c>
      <c r="Q283" s="7">
        <f t="shared" si="48"/>
        <v>2001.6519163925268</v>
      </c>
      <c r="R283" s="7">
        <f t="shared" si="49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3"/>
        <v>166804</v>
      </c>
      <c r="X283" s="104">
        <f t="shared" si="54"/>
        <v>187607</v>
      </c>
      <c r="Y283" s="104"/>
      <c r="Z283" s="7">
        <v>17585</v>
      </c>
      <c r="AB283" s="2">
        <v>10417</v>
      </c>
      <c r="AC283" s="104">
        <v>173155</v>
      </c>
      <c r="AD283" s="104">
        <v>177221</v>
      </c>
      <c r="AE283" s="64">
        <f t="shared" si="55"/>
        <v>9.3431896277901313E-2</v>
      </c>
      <c r="AF283" s="64">
        <f t="shared" si="56"/>
        <v>3.820681521941531E-2</v>
      </c>
      <c r="AG283" s="20">
        <f t="shared" si="50"/>
        <v>163.66153831345713</v>
      </c>
      <c r="AH283" s="20">
        <f t="shared" si="51"/>
        <v>79.514750274139828</v>
      </c>
      <c r="AI283" s="22"/>
    </row>
    <row r="284" spans="1:35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2"/>
        <v>56.16725544942107</v>
      </c>
      <c r="O284" s="7">
        <f t="shared" si="46"/>
        <v>4887.5</v>
      </c>
      <c r="P284" s="7">
        <f t="shared" si="47"/>
        <v>4831.3327445505784</v>
      </c>
      <c r="Q284" s="7">
        <f t="shared" si="48"/>
        <v>1922.1666666666665</v>
      </c>
      <c r="R284" s="7">
        <f t="shared" si="49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3"/>
        <v>169997</v>
      </c>
      <c r="X284" s="104">
        <f t="shared" si="54"/>
        <v>179760</v>
      </c>
      <c r="Y284" s="104"/>
      <c r="Z284" s="7">
        <v>5473</v>
      </c>
      <c r="AB284" s="2">
        <v>0</v>
      </c>
      <c r="AC284" s="104">
        <v>145413</v>
      </c>
      <c r="AD284" s="104">
        <v>169997</v>
      </c>
      <c r="AE284" s="64">
        <f t="shared" si="55"/>
        <v>3.4626615226974203E-2</v>
      </c>
      <c r="AF284" s="64">
        <f t="shared" si="56"/>
        <v>0</v>
      </c>
      <c r="AG284" s="20">
        <f t="shared" si="50"/>
        <v>56.16725544942107</v>
      </c>
      <c r="AH284" s="20">
        <f t="shared" si="51"/>
        <v>0</v>
      </c>
      <c r="AI284" s="22"/>
    </row>
    <row r="285" spans="1:35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2"/>
        <v>11.311845625993048</v>
      </c>
      <c r="O285" s="7">
        <f t="shared" si="46"/>
        <v>3191.583333333333</v>
      </c>
      <c r="P285" s="7">
        <f t="shared" si="47"/>
        <v>3180.2714877073399</v>
      </c>
      <c r="Q285" s="7">
        <f t="shared" si="48"/>
        <v>1327.5</v>
      </c>
      <c r="R285" s="7">
        <f t="shared" si="49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3"/>
        <v>97826</v>
      </c>
      <c r="X285" s="104">
        <f t="shared" si="54"/>
        <v>103215</v>
      </c>
      <c r="Y285" s="104"/>
      <c r="Z285" s="7">
        <v>1048</v>
      </c>
      <c r="AB285" s="2">
        <v>0</v>
      </c>
      <c r="AC285" s="104">
        <v>86854</v>
      </c>
      <c r="AD285" s="104">
        <v>97826</v>
      </c>
      <c r="AE285" s="64">
        <f t="shared" si="55"/>
        <v>1.1100927994105052E-2</v>
      </c>
      <c r="AF285" s="64">
        <f t="shared" si="56"/>
        <v>0</v>
      </c>
      <c r="AG285" s="20">
        <f t="shared" si="50"/>
        <v>11.311845625993048</v>
      </c>
      <c r="AH285" s="20">
        <f t="shared" si="51"/>
        <v>0</v>
      </c>
      <c r="AI285" s="22"/>
    </row>
    <row r="286" spans="1:35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2"/>
        <v>61.038421756117621</v>
      </c>
      <c r="O286" s="7">
        <f t="shared" si="46"/>
        <v>1811.4166666666665</v>
      </c>
      <c r="P286" s="7">
        <f t="shared" si="47"/>
        <v>1750.3782449105488</v>
      </c>
      <c r="Q286" s="7">
        <f t="shared" si="48"/>
        <v>722.79491157721566</v>
      </c>
      <c r="R286" s="7">
        <f t="shared" si="49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3"/>
        <v>64206</v>
      </c>
      <c r="X286" s="104">
        <f t="shared" si="54"/>
        <v>76354</v>
      </c>
      <c r="Y286" s="104"/>
      <c r="Z286" s="7">
        <v>0</v>
      </c>
      <c r="AB286" s="2">
        <v>8739</v>
      </c>
      <c r="AC286" s="104">
        <v>56169</v>
      </c>
      <c r="AD286" s="104">
        <v>72945</v>
      </c>
      <c r="AE286" s="64">
        <f t="shared" si="55"/>
        <v>0</v>
      </c>
      <c r="AF286" s="64">
        <f t="shared" si="56"/>
        <v>7.7871684145589148E-2</v>
      </c>
      <c r="AG286" s="20">
        <f t="shared" si="50"/>
        <v>0</v>
      </c>
      <c r="AH286" s="20">
        <f t="shared" si="51"/>
        <v>61.038421756117621</v>
      </c>
      <c r="AI286" s="22"/>
    </row>
    <row r="287" spans="1:35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2"/>
        <v>15.167342262048145</v>
      </c>
      <c r="O287" s="7">
        <f t="shared" si="46"/>
        <v>5555.75</v>
      </c>
      <c r="P287" s="7">
        <f t="shared" si="47"/>
        <v>5540.5826577379521</v>
      </c>
      <c r="Q287" s="7">
        <f t="shared" si="48"/>
        <v>2053.416666666667</v>
      </c>
      <c r="R287" s="7">
        <f t="shared" si="49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3"/>
        <v>170708</v>
      </c>
      <c r="X287" s="104">
        <f t="shared" si="54"/>
        <v>181138</v>
      </c>
      <c r="Y287" s="104"/>
      <c r="Z287" s="7">
        <v>1304</v>
      </c>
      <c r="AB287" s="2">
        <v>0</v>
      </c>
      <c r="AC287" s="104">
        <v>166056</v>
      </c>
      <c r="AD287" s="104">
        <v>170708</v>
      </c>
      <c r="AE287" s="64">
        <f t="shared" si="55"/>
        <v>7.2245507539625189E-3</v>
      </c>
      <c r="AF287" s="64">
        <f t="shared" si="56"/>
        <v>0</v>
      </c>
      <c r="AG287" s="20">
        <f t="shared" si="50"/>
        <v>15.167342262048145</v>
      </c>
      <c r="AH287" s="20">
        <f t="shared" si="51"/>
        <v>0</v>
      </c>
      <c r="AI287" s="22"/>
    </row>
    <row r="288" spans="1:35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2"/>
        <v>9.8458928627011577</v>
      </c>
      <c r="O288" s="7">
        <f t="shared" si="46"/>
        <v>5620.166666666667</v>
      </c>
      <c r="P288" s="7">
        <f t="shared" si="47"/>
        <v>5610.3207738039655</v>
      </c>
      <c r="Q288" s="7">
        <f t="shared" si="48"/>
        <v>1988.5</v>
      </c>
      <c r="R288" s="7">
        <f t="shared" si="49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3"/>
        <v>158008</v>
      </c>
      <c r="X288" s="104">
        <f t="shared" si="54"/>
        <v>171842</v>
      </c>
      <c r="Y288" s="104"/>
      <c r="Z288" s="7">
        <v>809</v>
      </c>
      <c r="AB288" s="2">
        <v>0</v>
      </c>
      <c r="AC288" s="104">
        <v>171344</v>
      </c>
      <c r="AD288" s="104">
        <v>158008</v>
      </c>
      <c r="AE288" s="64">
        <f t="shared" si="55"/>
        <v>4.3437762629563925E-3</v>
      </c>
      <c r="AF288" s="64">
        <f t="shared" si="56"/>
        <v>0</v>
      </c>
      <c r="AG288" s="20">
        <f t="shared" si="50"/>
        <v>9.8458928627011577</v>
      </c>
      <c r="AH288" s="20">
        <f t="shared" si="51"/>
        <v>0</v>
      </c>
      <c r="AI288" s="22"/>
    </row>
    <row r="289" spans="1:35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2"/>
        <v>4.8666061619728911</v>
      </c>
      <c r="O289" s="7">
        <f t="shared" si="46"/>
        <v>6043.75</v>
      </c>
      <c r="P289" s="7">
        <f t="shared" si="47"/>
        <v>6038.8833938380267</v>
      </c>
      <c r="Q289" s="7">
        <f t="shared" si="48"/>
        <v>2624.5</v>
      </c>
      <c r="R289" s="7">
        <f t="shared" si="49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3"/>
        <v>192530</v>
      </c>
      <c r="X289" s="104">
        <f t="shared" si="54"/>
        <v>203447</v>
      </c>
      <c r="Y289" s="104"/>
      <c r="Z289" s="7">
        <v>387</v>
      </c>
      <c r="AB289" s="2">
        <v>0</v>
      </c>
      <c r="AC289" s="104">
        <v>166213</v>
      </c>
      <c r="AD289" s="104">
        <v>192530</v>
      </c>
      <c r="AE289" s="64">
        <f t="shared" si="55"/>
        <v>2.1420707164902866E-3</v>
      </c>
      <c r="AF289" s="64">
        <f t="shared" si="56"/>
        <v>0</v>
      </c>
      <c r="AG289" s="20">
        <f t="shared" si="50"/>
        <v>4.8666061619728911</v>
      </c>
      <c r="AH289" s="20">
        <f t="shared" si="51"/>
        <v>0</v>
      </c>
      <c r="AI289" s="22"/>
    </row>
    <row r="290" spans="1:35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2"/>
        <v>1.7300178413828788</v>
      </c>
      <c r="O290" s="7">
        <f t="shared" si="46"/>
        <v>6085.9166666666679</v>
      </c>
      <c r="P290" s="7">
        <f t="shared" si="47"/>
        <v>6084.1866488252845</v>
      </c>
      <c r="Q290" s="7">
        <f t="shared" si="48"/>
        <v>2686.8333333333335</v>
      </c>
      <c r="R290" s="7">
        <f t="shared" si="49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3"/>
        <v>203784</v>
      </c>
      <c r="X290" s="104">
        <f t="shared" si="54"/>
        <v>213845</v>
      </c>
      <c r="Y290" s="104"/>
      <c r="Z290" s="7">
        <v>139</v>
      </c>
      <c r="AB290" s="2">
        <v>0</v>
      </c>
      <c r="AC290" s="104">
        <v>175248</v>
      </c>
      <c r="AD290" s="104">
        <v>203784</v>
      </c>
      <c r="AE290" s="64">
        <f t="shared" si="55"/>
        <v>7.2970875559207526E-4</v>
      </c>
      <c r="AF290" s="64">
        <f t="shared" si="56"/>
        <v>0</v>
      </c>
      <c r="AG290" s="20">
        <f t="shared" si="50"/>
        <v>1.7300178413828788</v>
      </c>
      <c r="AH290" s="20">
        <f t="shared" si="51"/>
        <v>0</v>
      </c>
      <c r="AI290" s="22"/>
    </row>
    <row r="291" spans="1:35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2"/>
        <v>7.8908222658350367</v>
      </c>
      <c r="O291" s="7">
        <f t="shared" si="46"/>
        <v>5746.0000000000009</v>
      </c>
      <c r="P291" s="7">
        <f t="shared" si="47"/>
        <v>5738.1091777341653</v>
      </c>
      <c r="Q291" s="7">
        <f t="shared" si="48"/>
        <v>2613.166666666667</v>
      </c>
      <c r="R291" s="7">
        <f t="shared" si="49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3"/>
        <v>204396</v>
      </c>
      <c r="X291" s="104">
        <f t="shared" si="54"/>
        <v>214373</v>
      </c>
      <c r="Y291" s="104"/>
      <c r="Z291" s="7">
        <v>630</v>
      </c>
      <c r="AB291" s="2">
        <v>0</v>
      </c>
      <c r="AC291" s="104">
        <v>148784</v>
      </c>
      <c r="AD291" s="104">
        <v>204396</v>
      </c>
      <c r="AE291" s="64">
        <f t="shared" si="55"/>
        <v>3.8955801699107431E-3</v>
      </c>
      <c r="AF291" s="64">
        <f t="shared" si="56"/>
        <v>0</v>
      </c>
      <c r="AG291" s="20">
        <f t="shared" si="50"/>
        <v>7.8908222658350367</v>
      </c>
      <c r="AH291" s="20">
        <f t="shared" si="51"/>
        <v>0</v>
      </c>
      <c r="AI291" s="22"/>
    </row>
    <row r="292" spans="1:35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2"/>
        <v>0</v>
      </c>
      <c r="O292" s="7">
        <f t="shared" si="46"/>
        <v>5581.583333333333</v>
      </c>
      <c r="P292" s="7">
        <f t="shared" si="47"/>
        <v>5581.583333333333</v>
      </c>
      <c r="Q292" s="7">
        <f t="shared" si="48"/>
        <v>2747</v>
      </c>
      <c r="R292" s="7">
        <f t="shared" si="49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3"/>
        <v>208851</v>
      </c>
      <c r="X292" s="104">
        <f t="shared" si="54"/>
        <v>216578</v>
      </c>
      <c r="Y292" s="104"/>
      <c r="Z292" s="7">
        <v>0</v>
      </c>
      <c r="AB292" s="2">
        <v>0</v>
      </c>
      <c r="AC292" s="104">
        <v>139944</v>
      </c>
      <c r="AD292" s="104">
        <v>208851</v>
      </c>
      <c r="AE292" s="64">
        <f t="shared" si="55"/>
        <v>0</v>
      </c>
      <c r="AF292" s="64">
        <f t="shared" si="56"/>
        <v>0</v>
      </c>
      <c r="AG292" s="20">
        <f t="shared" si="50"/>
        <v>0</v>
      </c>
      <c r="AH292" s="20">
        <f t="shared" si="51"/>
        <v>0</v>
      </c>
      <c r="AI292" s="22"/>
    </row>
    <row r="293" spans="1:35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2"/>
        <v>0</v>
      </c>
      <c r="O293" s="7">
        <f t="shared" si="46"/>
        <v>3893.9999999999995</v>
      </c>
      <c r="P293" s="7">
        <f t="shared" si="47"/>
        <v>3893.9999999999995</v>
      </c>
      <c r="Q293" s="7">
        <f t="shared" si="48"/>
        <v>1844.583333333333</v>
      </c>
      <c r="R293" s="7">
        <f t="shared" si="49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3"/>
        <v>148569</v>
      </c>
      <c r="X293" s="104">
        <f t="shared" si="54"/>
        <v>153818</v>
      </c>
      <c r="Y293" s="104"/>
      <c r="Z293" s="7">
        <v>0</v>
      </c>
      <c r="AB293" s="2">
        <v>0</v>
      </c>
      <c r="AC293" s="104">
        <v>111545</v>
      </c>
      <c r="AD293" s="104">
        <v>148569</v>
      </c>
      <c r="AE293" s="64">
        <f t="shared" si="55"/>
        <v>0</v>
      </c>
      <c r="AF293" s="64">
        <f t="shared" si="56"/>
        <v>0</v>
      </c>
      <c r="AG293" s="20">
        <f t="shared" si="50"/>
        <v>0</v>
      </c>
      <c r="AH293" s="20">
        <f t="shared" si="51"/>
        <v>0</v>
      </c>
      <c r="AI293" s="22"/>
    </row>
    <row r="294" spans="1:35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2"/>
        <v>0</v>
      </c>
      <c r="O294" s="7">
        <f t="shared" si="46"/>
        <v>5604.833333333333</v>
      </c>
      <c r="P294" s="7">
        <f t="shared" si="47"/>
        <v>5604.833333333333</v>
      </c>
      <c r="Q294" s="7">
        <f t="shared" si="48"/>
        <v>2561</v>
      </c>
      <c r="R294" s="7">
        <f t="shared" si="49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si="53"/>
        <v>186515</v>
      </c>
      <c r="X294" s="104">
        <f t="shared" si="54"/>
        <v>199107</v>
      </c>
      <c r="Y294" s="104"/>
      <c r="Z294" s="7">
        <v>0</v>
      </c>
      <c r="AB294" s="2">
        <v>0</v>
      </c>
      <c r="AC294" s="104">
        <v>159219</v>
      </c>
      <c r="AD294" s="104">
        <v>186515</v>
      </c>
      <c r="AE294" s="64">
        <f t="shared" si="55"/>
        <v>0</v>
      </c>
      <c r="AF294" s="64">
        <f t="shared" si="56"/>
        <v>0</v>
      </c>
      <c r="AG294" s="20">
        <f t="shared" si="50"/>
        <v>0</v>
      </c>
      <c r="AH294" s="20">
        <f t="shared" si="51"/>
        <v>0</v>
      </c>
      <c r="AI294" s="22"/>
    </row>
    <row r="295" spans="1:35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2"/>
        <v>0</v>
      </c>
      <c r="O295" s="7">
        <f t="shared" si="46"/>
        <v>5822.3333333333339</v>
      </c>
      <c r="P295" s="7">
        <f t="shared" si="47"/>
        <v>5822.3333333333339</v>
      </c>
      <c r="Q295" s="7">
        <f t="shared" si="48"/>
        <v>2707.3333333333335</v>
      </c>
      <c r="R295" s="7">
        <f t="shared" si="49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53"/>
        <v>204510</v>
      </c>
      <c r="X295" s="104">
        <f t="shared" si="54"/>
        <v>215894</v>
      </c>
      <c r="Y295" s="104"/>
      <c r="Z295" s="7">
        <v>0</v>
      </c>
      <c r="AB295" s="2">
        <v>0</v>
      </c>
      <c r="AC295" s="104">
        <v>152775</v>
      </c>
      <c r="AD295" s="104">
        <v>204510</v>
      </c>
      <c r="AE295" s="64">
        <f t="shared" si="55"/>
        <v>0</v>
      </c>
      <c r="AF295" s="64">
        <f t="shared" si="56"/>
        <v>0</v>
      </c>
      <c r="AG295" s="20">
        <f t="shared" si="50"/>
        <v>0</v>
      </c>
      <c r="AH295" s="20">
        <f t="shared" si="51"/>
        <v>0</v>
      </c>
      <c r="AI295" s="22"/>
    </row>
    <row r="296" spans="1:35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2"/>
        <v>0</v>
      </c>
      <c r="O296" s="7">
        <f t="shared" si="46"/>
        <v>6061</v>
      </c>
      <c r="P296" s="7">
        <f t="shared" si="47"/>
        <v>6061</v>
      </c>
      <c r="Q296" s="7">
        <f t="shared" si="48"/>
        <v>3011.0833333333335</v>
      </c>
      <c r="R296" s="7">
        <f t="shared" si="49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53"/>
        <v>193440</v>
      </c>
      <c r="X296" s="104">
        <f t="shared" si="54"/>
        <v>203954</v>
      </c>
      <c r="Y296" s="104"/>
      <c r="Z296" s="7">
        <v>0</v>
      </c>
      <c r="AB296" s="2">
        <v>0</v>
      </c>
      <c r="AC296" s="104">
        <v>151971</v>
      </c>
      <c r="AD296" s="104">
        <v>193440</v>
      </c>
      <c r="AE296" s="64">
        <f t="shared" si="55"/>
        <v>0</v>
      </c>
      <c r="AF296" s="64">
        <f t="shared" si="56"/>
        <v>0</v>
      </c>
      <c r="AG296" s="20">
        <f t="shared" si="50"/>
        <v>0</v>
      </c>
      <c r="AH296" s="20">
        <f t="shared" si="51"/>
        <v>0</v>
      </c>
      <c r="AI296" s="22"/>
    </row>
    <row r="297" spans="1:35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2"/>
        <v>0</v>
      </c>
      <c r="O297" s="7">
        <f t="shared" si="46"/>
        <v>5999.833333333333</v>
      </c>
      <c r="P297" s="7">
        <f t="shared" si="47"/>
        <v>5999.833333333333</v>
      </c>
      <c r="Q297" s="7">
        <f t="shared" si="48"/>
        <v>3002.583333333333</v>
      </c>
      <c r="R297" s="7">
        <f t="shared" si="49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53"/>
        <v>201113</v>
      </c>
      <c r="X297" s="104">
        <f t="shared" si="54"/>
        <v>212985</v>
      </c>
      <c r="Y297" s="104"/>
      <c r="Z297" s="7">
        <v>0</v>
      </c>
      <c r="AB297" s="2">
        <v>0</v>
      </c>
      <c r="AC297" s="104">
        <v>150861</v>
      </c>
      <c r="AD297" s="104">
        <v>201113</v>
      </c>
      <c r="AE297" s="64">
        <f t="shared" si="55"/>
        <v>0</v>
      </c>
      <c r="AF297" s="64">
        <f t="shared" si="56"/>
        <v>0</v>
      </c>
      <c r="AG297" s="20">
        <f t="shared" si="50"/>
        <v>0</v>
      </c>
      <c r="AH297" s="20">
        <f t="shared" si="51"/>
        <v>0</v>
      </c>
      <c r="AI297" s="22"/>
    </row>
    <row r="298" spans="1:35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2"/>
        <v>0</v>
      </c>
      <c r="O298" s="7">
        <f t="shared" si="46"/>
        <v>5780.1666666666679</v>
      </c>
      <c r="P298" s="7">
        <f t="shared" si="47"/>
        <v>5780.1666666666679</v>
      </c>
      <c r="Q298" s="7">
        <f t="shared" si="48"/>
        <v>2854.4166666666674</v>
      </c>
      <c r="R298" s="7">
        <f t="shared" si="49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53"/>
        <v>186788</v>
      </c>
      <c r="X298" s="104">
        <f t="shared" si="54"/>
        <v>197455</v>
      </c>
      <c r="Y298" s="104"/>
      <c r="Z298" s="7">
        <v>0</v>
      </c>
      <c r="AB298" s="2">
        <v>0</v>
      </c>
      <c r="AC298" s="104">
        <v>144865</v>
      </c>
      <c r="AD298" s="104">
        <v>186788</v>
      </c>
      <c r="AE298" s="64">
        <f t="shared" si="55"/>
        <v>0</v>
      </c>
      <c r="AF298" s="64">
        <f t="shared" si="56"/>
        <v>0</v>
      </c>
      <c r="AG298" s="20">
        <f t="shared" si="50"/>
        <v>0</v>
      </c>
      <c r="AH298" s="20">
        <f t="shared" si="51"/>
        <v>0</v>
      </c>
      <c r="AI298" s="22"/>
    </row>
    <row r="299" spans="1:35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2"/>
        <v>0</v>
      </c>
      <c r="O299" s="7">
        <f t="shared" si="46"/>
        <v>3728.1666666666665</v>
      </c>
      <c r="P299" s="7">
        <f t="shared" si="47"/>
        <v>3728.1666666666665</v>
      </c>
      <c r="Q299" s="7">
        <f t="shared" si="48"/>
        <v>1892.4999999999998</v>
      </c>
      <c r="R299" s="7">
        <f t="shared" si="49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53"/>
        <v>140491</v>
      </c>
      <c r="X299" s="104">
        <f t="shared" si="54"/>
        <v>145735</v>
      </c>
      <c r="Y299" s="104"/>
      <c r="Z299" s="7">
        <v>0</v>
      </c>
      <c r="AB299" s="2">
        <v>0</v>
      </c>
      <c r="AC299" s="104">
        <v>99281</v>
      </c>
      <c r="AD299" s="104">
        <v>140491</v>
      </c>
      <c r="AE299" s="64">
        <f t="shared" si="55"/>
        <v>0</v>
      </c>
      <c r="AF299" s="64">
        <f t="shared" si="56"/>
        <v>0</v>
      </c>
      <c r="AG299" s="20">
        <f t="shared" si="50"/>
        <v>0</v>
      </c>
      <c r="AH299" s="20">
        <f t="shared" si="51"/>
        <v>0</v>
      </c>
      <c r="AI299" s="22"/>
    </row>
    <row r="300" spans="1:35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2"/>
        <v>0</v>
      </c>
      <c r="O300" s="7">
        <f t="shared" si="46"/>
        <v>2947.5000000000005</v>
      </c>
      <c r="P300" s="7">
        <f t="shared" si="47"/>
        <v>2947.5000000000005</v>
      </c>
      <c r="Q300" s="7">
        <f t="shared" si="48"/>
        <v>1438.5833333333335</v>
      </c>
      <c r="R300" s="7">
        <f t="shared" si="49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53"/>
        <v>110068</v>
      </c>
      <c r="X300" s="104">
        <f t="shared" si="54"/>
        <v>112433</v>
      </c>
      <c r="Y300" s="104"/>
      <c r="Z300" s="7">
        <v>0</v>
      </c>
      <c r="AB300" s="2">
        <v>0</v>
      </c>
      <c r="AC300" s="104">
        <v>81435</v>
      </c>
      <c r="AD300" s="104">
        <v>110068</v>
      </c>
      <c r="AE300" s="64">
        <f t="shared" si="55"/>
        <v>0</v>
      </c>
      <c r="AF300" s="64">
        <f t="shared" si="56"/>
        <v>0</v>
      </c>
      <c r="AG300" s="20">
        <f t="shared" si="50"/>
        <v>0</v>
      </c>
      <c r="AH300" s="20">
        <f t="shared" si="51"/>
        <v>0</v>
      </c>
      <c r="AI300" s="22"/>
    </row>
    <row r="301" spans="1:35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2"/>
        <v>0</v>
      </c>
      <c r="O301" s="7">
        <f t="shared" si="46"/>
        <v>6445.6666666666661</v>
      </c>
      <c r="P301" s="7">
        <f t="shared" si="47"/>
        <v>6445.6666666666661</v>
      </c>
      <c r="Q301" s="7">
        <f t="shared" si="48"/>
        <v>3049.833333333333</v>
      </c>
      <c r="R301" s="7">
        <f t="shared" si="49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53"/>
        <v>185052</v>
      </c>
      <c r="X301" s="104">
        <f t="shared" si="54"/>
        <v>196571</v>
      </c>
      <c r="Y301" s="104"/>
      <c r="Z301" s="7">
        <v>0</v>
      </c>
      <c r="AB301" s="2">
        <v>0</v>
      </c>
      <c r="AC301" s="104">
        <v>184895</v>
      </c>
      <c r="AD301" s="104">
        <v>185052</v>
      </c>
      <c r="AE301" s="64">
        <f t="shared" si="55"/>
        <v>0</v>
      </c>
      <c r="AF301" s="64">
        <f t="shared" si="56"/>
        <v>0</v>
      </c>
      <c r="AG301" s="20">
        <f t="shared" si="50"/>
        <v>0</v>
      </c>
      <c r="AH301" s="20">
        <f t="shared" si="51"/>
        <v>0</v>
      </c>
      <c r="AI301" s="22"/>
    </row>
    <row r="302" spans="1:35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2"/>
        <v>0</v>
      </c>
      <c r="O302" s="7">
        <f t="shared" si="46"/>
        <v>6124.3333333333339</v>
      </c>
      <c r="P302" s="7">
        <f t="shared" si="47"/>
        <v>6124.3333333333339</v>
      </c>
      <c r="Q302" s="7">
        <f t="shared" si="48"/>
        <v>3047.5</v>
      </c>
      <c r="R302" s="7">
        <f t="shared" si="49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53"/>
        <v>192934</v>
      </c>
      <c r="X302" s="104">
        <f t="shared" si="54"/>
        <v>202583</v>
      </c>
      <c r="Y302" s="104"/>
      <c r="Z302" s="7">
        <v>0</v>
      </c>
      <c r="AB302" s="2">
        <v>0</v>
      </c>
      <c r="AC302" s="104">
        <v>150273</v>
      </c>
      <c r="AD302" s="104">
        <v>192934</v>
      </c>
      <c r="AE302" s="64">
        <f t="shared" si="55"/>
        <v>0</v>
      </c>
      <c r="AF302" s="64">
        <f t="shared" si="56"/>
        <v>0</v>
      </c>
      <c r="AG302" s="20">
        <f t="shared" si="50"/>
        <v>0</v>
      </c>
      <c r="AH302" s="20">
        <f t="shared" si="51"/>
        <v>0</v>
      </c>
      <c r="AI302" s="22"/>
    </row>
    <row r="303" spans="1:35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2"/>
        <v>341.70964895100241</v>
      </c>
      <c r="O303" s="7">
        <f t="shared" si="46"/>
        <v>6044.25</v>
      </c>
      <c r="P303" s="7">
        <f t="shared" si="47"/>
        <v>5702.5403510489978</v>
      </c>
      <c r="Q303" s="7">
        <f t="shared" si="48"/>
        <v>2712.8333333333335</v>
      </c>
      <c r="R303" s="7">
        <f t="shared" si="49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53"/>
        <v>199740</v>
      </c>
      <c r="X303" s="104">
        <f t="shared" si="54"/>
        <v>211064</v>
      </c>
      <c r="Y303" s="104"/>
      <c r="Z303" s="7">
        <v>38629</v>
      </c>
      <c r="AB303" s="2">
        <v>0</v>
      </c>
      <c r="AC303" s="104">
        <v>229759</v>
      </c>
      <c r="AD303" s="104">
        <v>199740</v>
      </c>
      <c r="AE303" s="64">
        <f t="shared" si="55"/>
        <v>0.15467807572282263</v>
      </c>
      <c r="AF303" s="64">
        <f t="shared" si="56"/>
        <v>0</v>
      </c>
      <c r="AG303" s="20">
        <f t="shared" si="50"/>
        <v>341.70964895100241</v>
      </c>
      <c r="AH303" s="20">
        <f t="shared" si="51"/>
        <v>0</v>
      </c>
      <c r="AI303" s="22"/>
    </row>
    <row r="304" spans="1:35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2"/>
        <v>603.64139114233546</v>
      </c>
      <c r="O304" s="7">
        <f t="shared" si="46"/>
        <v>5837.4166666666661</v>
      </c>
      <c r="P304" s="7">
        <f t="shared" si="47"/>
        <v>5233.7752755243309</v>
      </c>
      <c r="Q304" s="7">
        <f t="shared" si="48"/>
        <v>2493.25</v>
      </c>
      <c r="R304" s="7">
        <f t="shared" si="49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53"/>
        <v>166702</v>
      </c>
      <c r="X304" s="104">
        <f t="shared" si="54"/>
        <v>174986</v>
      </c>
      <c r="Y304" s="104"/>
      <c r="Z304" s="7">
        <v>82363</v>
      </c>
      <c r="AB304" s="2">
        <v>0</v>
      </c>
      <c r="AC304" s="104">
        <v>277846</v>
      </c>
      <c r="AD304" s="104">
        <v>166702</v>
      </c>
      <c r="AE304" s="64">
        <f t="shared" si="55"/>
        <v>0.27271927614577862</v>
      </c>
      <c r="AF304" s="64">
        <f t="shared" si="56"/>
        <v>0</v>
      </c>
      <c r="AG304" s="20">
        <f t="shared" si="50"/>
        <v>603.64139114233546</v>
      </c>
      <c r="AH304" s="20">
        <f t="shared" si="51"/>
        <v>0</v>
      </c>
      <c r="AI304" s="22"/>
    </row>
    <row r="305" spans="1:35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2"/>
        <v>646.3293631392155</v>
      </c>
      <c r="O305" s="7">
        <f t="shared" si="46"/>
        <v>6469.25</v>
      </c>
      <c r="P305" s="7">
        <f t="shared" si="47"/>
        <v>5822.9206368607838</v>
      </c>
      <c r="Q305" s="7">
        <f t="shared" si="48"/>
        <v>2495.9166666666665</v>
      </c>
      <c r="R305" s="7">
        <f t="shared" si="49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53"/>
        <v>147594</v>
      </c>
      <c r="X305" s="104">
        <f t="shared" si="54"/>
        <v>156181</v>
      </c>
      <c r="Y305" s="104"/>
      <c r="Z305" s="7">
        <v>81462</v>
      </c>
      <c r="AB305" s="2">
        <v>0</v>
      </c>
      <c r="AC305" s="104">
        <v>279229</v>
      </c>
      <c r="AD305" s="104">
        <v>147594</v>
      </c>
      <c r="AE305" s="64">
        <f t="shared" si="55"/>
        <v>0.26839991548155817</v>
      </c>
      <c r="AF305" s="64">
        <f t="shared" si="56"/>
        <v>0</v>
      </c>
      <c r="AG305" s="20">
        <f t="shared" si="50"/>
        <v>646.3293631392155</v>
      </c>
      <c r="AH305" s="20">
        <f t="shared" si="51"/>
        <v>0</v>
      </c>
      <c r="AI305" s="22"/>
    </row>
    <row r="306" spans="1:35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2"/>
        <v>319.57293461147157</v>
      </c>
      <c r="O306" s="7">
        <f t="shared" si="46"/>
        <v>3621.8333333333335</v>
      </c>
      <c r="P306" s="7">
        <f t="shared" si="47"/>
        <v>3302.2603987218617</v>
      </c>
      <c r="Q306" s="7">
        <f t="shared" si="48"/>
        <v>1248.9166666666667</v>
      </c>
      <c r="R306" s="7">
        <f t="shared" si="49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53"/>
        <v>94938</v>
      </c>
      <c r="X306" s="104">
        <f t="shared" si="54"/>
        <v>99474</v>
      </c>
      <c r="Y306" s="104"/>
      <c r="Z306" s="7">
        <v>47114</v>
      </c>
      <c r="AB306" s="2">
        <v>0</v>
      </c>
      <c r="AC306" s="104">
        <v>172334</v>
      </c>
      <c r="AD306" s="104">
        <v>94938</v>
      </c>
      <c r="AE306" s="64">
        <f t="shared" si="55"/>
        <v>0.2515167059315051</v>
      </c>
      <c r="AF306" s="64">
        <f t="shared" si="56"/>
        <v>0</v>
      </c>
      <c r="AG306" s="20">
        <f t="shared" si="50"/>
        <v>319.57293461147157</v>
      </c>
      <c r="AH306" s="20">
        <f t="shared" si="51"/>
        <v>0</v>
      </c>
      <c r="AI306" s="22"/>
    </row>
    <row r="307" spans="1:35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2"/>
        <v>0</v>
      </c>
      <c r="O307" s="7">
        <f t="shared" si="46"/>
        <v>2225.5</v>
      </c>
      <c r="P307" s="7">
        <f t="shared" si="47"/>
        <v>2225.5</v>
      </c>
      <c r="Q307" s="7">
        <f t="shared" si="48"/>
        <v>1163.5833333333335</v>
      </c>
      <c r="R307" s="7">
        <f t="shared" si="49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53"/>
        <v>81593</v>
      </c>
      <c r="X307" s="104">
        <f t="shared" si="54"/>
        <v>84537</v>
      </c>
      <c r="Y307" s="104"/>
      <c r="Z307" s="7">
        <v>0</v>
      </c>
      <c r="AB307" s="2">
        <v>0</v>
      </c>
      <c r="AC307" s="104">
        <v>63453</v>
      </c>
      <c r="AD307" s="104">
        <v>81593</v>
      </c>
      <c r="AE307" s="64">
        <f t="shared" si="55"/>
        <v>0</v>
      </c>
      <c r="AF307" s="64">
        <f t="shared" si="56"/>
        <v>0</v>
      </c>
      <c r="AG307" s="20">
        <f t="shared" si="50"/>
        <v>0</v>
      </c>
      <c r="AH307" s="20">
        <f t="shared" si="51"/>
        <v>0</v>
      </c>
      <c r="AI307" s="22"/>
    </row>
    <row r="308" spans="1:35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2"/>
        <v>2.5094806472448417</v>
      </c>
      <c r="O308" s="7">
        <f t="shared" si="46"/>
        <v>6449.3333333333339</v>
      </c>
      <c r="P308" s="7">
        <f t="shared" si="47"/>
        <v>6446.8238526860896</v>
      </c>
      <c r="Q308" s="7">
        <f t="shared" si="48"/>
        <v>2305.416666666667</v>
      </c>
      <c r="R308" s="7">
        <f t="shared" si="49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53"/>
        <v>142687</v>
      </c>
      <c r="X308" s="104">
        <f t="shared" si="54"/>
        <v>158534</v>
      </c>
      <c r="Y308" s="104"/>
      <c r="Z308" s="7">
        <v>205</v>
      </c>
      <c r="AB308" s="2">
        <v>0</v>
      </c>
      <c r="AC308" s="104">
        <v>178562</v>
      </c>
      <c r="AD308" s="104">
        <v>142687</v>
      </c>
      <c r="AE308" s="64">
        <f t="shared" si="55"/>
        <v>1.0562157681925607E-3</v>
      </c>
      <c r="AF308" s="64">
        <f t="shared" si="56"/>
        <v>0</v>
      </c>
      <c r="AG308" s="20">
        <f t="shared" si="50"/>
        <v>2.5094806472448417</v>
      </c>
      <c r="AH308" s="20">
        <f t="shared" si="51"/>
        <v>0</v>
      </c>
      <c r="AI308" s="22"/>
    </row>
    <row r="309" spans="1:35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2"/>
        <v>0</v>
      </c>
      <c r="O309" s="7">
        <f t="shared" si="46"/>
        <v>6655.1666666666679</v>
      </c>
      <c r="P309" s="7">
        <f t="shared" si="47"/>
        <v>6655.1666666666679</v>
      </c>
      <c r="Q309" s="7">
        <f t="shared" si="48"/>
        <v>2774.75</v>
      </c>
      <c r="R309" s="7">
        <f t="shared" si="49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53"/>
        <v>180621</v>
      </c>
      <c r="X309" s="104">
        <f t="shared" si="54"/>
        <v>194645</v>
      </c>
      <c r="Y309" s="104"/>
      <c r="Z309" s="7">
        <v>0</v>
      </c>
      <c r="AB309" s="2">
        <v>0</v>
      </c>
      <c r="AC309" s="104">
        <v>170652</v>
      </c>
      <c r="AD309" s="104">
        <v>180621</v>
      </c>
      <c r="AE309" s="64">
        <f t="shared" si="55"/>
        <v>0</v>
      </c>
      <c r="AF309" s="64">
        <f t="shared" si="56"/>
        <v>0</v>
      </c>
      <c r="AG309" s="20">
        <f t="shared" si="50"/>
        <v>0</v>
      </c>
      <c r="AH309" s="20">
        <f t="shared" si="51"/>
        <v>0</v>
      </c>
      <c r="AI309" s="22"/>
    </row>
    <row r="310" spans="1:35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2"/>
        <v>236.59197809475296</v>
      </c>
      <c r="O310" s="7">
        <f t="shared" si="46"/>
        <v>5885.3333333333339</v>
      </c>
      <c r="P310" s="7">
        <f t="shared" si="47"/>
        <v>5648.7413552385806</v>
      </c>
      <c r="Q310" s="7">
        <f t="shared" si="48"/>
        <v>2485.666666666667</v>
      </c>
      <c r="R310" s="7">
        <f t="shared" si="49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53"/>
        <v>175107</v>
      </c>
      <c r="X310" s="104">
        <f t="shared" si="54"/>
        <v>188010</v>
      </c>
      <c r="Y310" s="104"/>
      <c r="Z310" s="7">
        <v>24093</v>
      </c>
      <c r="AB310" s="2">
        <v>0</v>
      </c>
      <c r="AC310" s="104">
        <v>176670</v>
      </c>
      <c r="AD310" s="104">
        <v>175107</v>
      </c>
      <c r="AE310" s="64">
        <f t="shared" si="55"/>
        <v>0.12546306673458993</v>
      </c>
      <c r="AF310" s="64">
        <f t="shared" si="56"/>
        <v>0</v>
      </c>
      <c r="AG310" s="20">
        <f t="shared" si="50"/>
        <v>236.59197809475296</v>
      </c>
      <c r="AH310" s="20">
        <f t="shared" si="51"/>
        <v>0</v>
      </c>
      <c r="AI310" s="22"/>
    </row>
    <row r="311" spans="1:35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2"/>
        <v>213.79090779075855</v>
      </c>
      <c r="O311" s="7">
        <f t="shared" si="46"/>
        <v>4790.25</v>
      </c>
      <c r="P311" s="7">
        <f t="shared" si="47"/>
        <v>4576.4590922092411</v>
      </c>
      <c r="Q311" s="7">
        <f t="shared" si="48"/>
        <v>2383</v>
      </c>
      <c r="R311" s="7">
        <f t="shared" si="49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53"/>
        <v>154797</v>
      </c>
      <c r="X311" s="104">
        <f t="shared" si="54"/>
        <v>167672</v>
      </c>
      <c r="Y311" s="104"/>
      <c r="Z311" s="7">
        <v>26374</v>
      </c>
      <c r="AB311" s="2">
        <v>0</v>
      </c>
      <c r="AC311" s="104">
        <v>146370</v>
      </c>
      <c r="AD311" s="104">
        <v>154797</v>
      </c>
      <c r="AE311" s="64">
        <f t="shared" si="55"/>
        <v>0.16577222108355538</v>
      </c>
      <c r="AF311" s="64">
        <f t="shared" si="56"/>
        <v>0</v>
      </c>
      <c r="AG311" s="20">
        <f t="shared" si="50"/>
        <v>213.79090779075855</v>
      </c>
      <c r="AH311" s="20">
        <f t="shared" si="51"/>
        <v>0</v>
      </c>
      <c r="AI311" s="22"/>
    </row>
    <row r="312" spans="1:35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2"/>
        <v>142.0489276120839</v>
      </c>
      <c r="O312" s="7">
        <f t="shared" si="46"/>
        <v>4658.25</v>
      </c>
      <c r="P312" s="7">
        <f t="shared" si="47"/>
        <v>4516.2010723879157</v>
      </c>
      <c r="Q312" s="7">
        <f t="shared" si="48"/>
        <v>2125.0833333333335</v>
      </c>
      <c r="R312" s="7">
        <f t="shared" si="49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53"/>
        <v>74868</v>
      </c>
      <c r="X312" s="104">
        <f t="shared" si="54"/>
        <v>86129</v>
      </c>
      <c r="Y312" s="104"/>
      <c r="Z312" s="7">
        <v>14492</v>
      </c>
      <c r="AB312" s="2">
        <v>0</v>
      </c>
      <c r="AC312" s="104">
        <v>129925</v>
      </c>
      <c r="AD312" s="104">
        <v>74868</v>
      </c>
      <c r="AE312" s="64">
        <f t="shared" si="55"/>
        <v>0.10261797190686936</v>
      </c>
      <c r="AF312" s="64">
        <f t="shared" si="56"/>
        <v>0</v>
      </c>
      <c r="AG312" s="20">
        <f t="shared" si="50"/>
        <v>142.0489276120839</v>
      </c>
      <c r="AH312" s="20">
        <f t="shared" si="51"/>
        <v>0</v>
      </c>
      <c r="AI312" s="22"/>
    </row>
    <row r="313" spans="1:35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2"/>
        <v>7.6778786900529106</v>
      </c>
      <c r="O313" s="7">
        <f t="shared" si="46"/>
        <v>2626</v>
      </c>
      <c r="P313" s="7">
        <f t="shared" si="47"/>
        <v>2618.3221213099473</v>
      </c>
      <c r="Q313" s="7">
        <f t="shared" si="48"/>
        <v>1287.1657324569098</v>
      </c>
      <c r="R313" s="7">
        <f t="shared" si="49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53"/>
        <v>96851</v>
      </c>
      <c r="X313" s="104">
        <f t="shared" si="54"/>
        <v>99585</v>
      </c>
      <c r="Y313" s="104"/>
      <c r="Z313" s="7">
        <v>674</v>
      </c>
      <c r="AB313" s="2">
        <v>58</v>
      </c>
      <c r="AC313" s="104">
        <v>61984</v>
      </c>
      <c r="AD313" s="104">
        <v>96909</v>
      </c>
      <c r="AE313" s="64">
        <f t="shared" si="55"/>
        <v>1.0003871966959217E-2</v>
      </c>
      <c r="AF313" s="64">
        <f t="shared" si="56"/>
        <v>3.8902475518269716E-4</v>
      </c>
      <c r="AG313" s="20">
        <f t="shared" si="50"/>
        <v>7.1769444802959912</v>
      </c>
      <c r="AH313" s="20">
        <f t="shared" si="51"/>
        <v>0.50093420975691971</v>
      </c>
      <c r="AI313" s="22"/>
    </row>
    <row r="314" spans="1:35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2"/>
        <v>0</v>
      </c>
      <c r="O314" s="7">
        <f t="shared" si="46"/>
        <v>2390.166666666667</v>
      </c>
      <c r="P314" s="7">
        <f t="shared" si="47"/>
        <v>2390.166666666667</v>
      </c>
      <c r="Q314" s="7">
        <f t="shared" si="48"/>
        <v>1258.8333333333333</v>
      </c>
      <c r="R314" s="7">
        <f t="shared" si="49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53"/>
        <v>86491</v>
      </c>
      <c r="X314" s="104">
        <f t="shared" si="54"/>
        <v>89670</v>
      </c>
      <c r="Y314" s="104"/>
      <c r="Z314" s="7">
        <v>0</v>
      </c>
      <c r="AB314" s="2">
        <v>0</v>
      </c>
      <c r="AC314" s="104">
        <v>62095</v>
      </c>
      <c r="AD314" s="104">
        <v>86491</v>
      </c>
      <c r="AE314" s="64">
        <f t="shared" si="55"/>
        <v>0</v>
      </c>
      <c r="AF314" s="64">
        <f t="shared" si="56"/>
        <v>0</v>
      </c>
      <c r="AG314" s="20">
        <f t="shared" si="50"/>
        <v>0</v>
      </c>
      <c r="AH314" s="20">
        <f t="shared" si="51"/>
        <v>0</v>
      </c>
      <c r="AI314" s="22"/>
    </row>
    <row r="315" spans="1:35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2"/>
        <v>0</v>
      </c>
      <c r="O315" s="7">
        <f t="shared" si="46"/>
        <v>4880.666666666667</v>
      </c>
      <c r="P315" s="7">
        <f t="shared" si="47"/>
        <v>4880.6666666666661</v>
      </c>
      <c r="Q315" s="7">
        <f t="shared" si="48"/>
        <v>1936.2499999999998</v>
      </c>
      <c r="R315" s="7">
        <f t="shared" si="49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53"/>
        <v>106192</v>
      </c>
      <c r="X315" s="104">
        <f t="shared" si="54"/>
        <v>115079</v>
      </c>
      <c r="Y315" s="104"/>
      <c r="Z315" s="7">
        <v>0</v>
      </c>
      <c r="AB315" s="2">
        <v>0</v>
      </c>
      <c r="AC315" s="104">
        <v>116212</v>
      </c>
      <c r="AD315" s="104">
        <v>106192</v>
      </c>
      <c r="AE315" s="64">
        <f t="shared" si="55"/>
        <v>0</v>
      </c>
      <c r="AF315" s="64">
        <f t="shared" si="56"/>
        <v>0</v>
      </c>
      <c r="AG315" s="20">
        <f t="shared" si="50"/>
        <v>0</v>
      </c>
      <c r="AH315" s="20">
        <f t="shared" si="51"/>
        <v>0</v>
      </c>
      <c r="AI315" s="22"/>
    </row>
    <row r="316" spans="1:35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2"/>
        <v>0</v>
      </c>
      <c r="O316" s="7">
        <f t="shared" si="46"/>
        <v>4930</v>
      </c>
      <c r="P316" s="7">
        <f t="shared" si="47"/>
        <v>4930</v>
      </c>
      <c r="Q316" s="7">
        <f t="shared" si="48"/>
        <v>1967.2499999999998</v>
      </c>
      <c r="R316" s="7">
        <f t="shared" si="49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53"/>
        <v>107346</v>
      </c>
      <c r="X316" s="104">
        <f t="shared" si="54"/>
        <v>117252</v>
      </c>
      <c r="Y316" s="104"/>
      <c r="Z316" s="7">
        <v>0</v>
      </c>
      <c r="AB316" s="2">
        <v>0</v>
      </c>
      <c r="AC316" s="104">
        <v>91725</v>
      </c>
      <c r="AD316" s="104">
        <v>107346</v>
      </c>
      <c r="AE316" s="64">
        <f t="shared" si="55"/>
        <v>0</v>
      </c>
      <c r="AF316" s="64">
        <f t="shared" si="56"/>
        <v>0</v>
      </c>
      <c r="AG316" s="20">
        <f t="shared" si="50"/>
        <v>0</v>
      </c>
      <c r="AH316" s="20">
        <f t="shared" si="51"/>
        <v>0</v>
      </c>
      <c r="AI316" s="22"/>
    </row>
    <row r="317" spans="1:35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2"/>
        <v>149.66398030724815</v>
      </c>
      <c r="O317" s="7">
        <f t="shared" si="46"/>
        <v>4868.4999999999991</v>
      </c>
      <c r="P317" s="7">
        <f t="shared" si="47"/>
        <v>4718.8360196927515</v>
      </c>
      <c r="Q317" s="7">
        <f t="shared" si="48"/>
        <v>1980.0833333333328</v>
      </c>
      <c r="R317" s="7">
        <f t="shared" si="49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53"/>
        <v>120419</v>
      </c>
      <c r="X317" s="104">
        <f t="shared" si="54"/>
        <v>130169</v>
      </c>
      <c r="Y317" s="104"/>
      <c r="Z317" s="7">
        <v>15239</v>
      </c>
      <c r="AB317" s="2">
        <v>0</v>
      </c>
      <c r="AC317" s="104">
        <v>148718</v>
      </c>
      <c r="AD317" s="104">
        <v>120419</v>
      </c>
      <c r="AE317" s="64">
        <f t="shared" si="55"/>
        <v>9.4271574389112281E-2</v>
      </c>
      <c r="AF317" s="64">
        <f t="shared" si="56"/>
        <v>0</v>
      </c>
      <c r="AG317" s="20">
        <f t="shared" si="50"/>
        <v>149.66398030724815</v>
      </c>
      <c r="AH317" s="20">
        <f t="shared" si="51"/>
        <v>0</v>
      </c>
      <c r="AI317" s="22"/>
    </row>
    <row r="318" spans="1:35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2"/>
        <v>615.95715500673896</v>
      </c>
      <c r="O318" s="7">
        <f t="shared" si="46"/>
        <v>5041.25</v>
      </c>
      <c r="P318" s="7">
        <f t="shared" si="47"/>
        <v>4425.2928449932615</v>
      </c>
      <c r="Q318" s="7">
        <f t="shared" si="48"/>
        <v>1841.6077145222901</v>
      </c>
      <c r="R318" s="7">
        <f t="shared" si="49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53"/>
        <v>120474</v>
      </c>
      <c r="X318" s="104">
        <f t="shared" si="54"/>
        <v>159640</v>
      </c>
      <c r="Y318" s="104"/>
      <c r="Z318" s="7">
        <v>49278</v>
      </c>
      <c r="AB318" s="2">
        <v>27269</v>
      </c>
      <c r="AC318" s="104">
        <v>195433</v>
      </c>
      <c r="AD318" s="104">
        <v>147743</v>
      </c>
      <c r="AE318" s="64">
        <f t="shared" si="55"/>
        <v>0.23197597130474382</v>
      </c>
      <c r="AF318" s="64">
        <f t="shared" si="56"/>
        <v>0.1199708277211103</v>
      </c>
      <c r="AG318" s="20">
        <f t="shared" si="50"/>
        <v>364.8982028623621</v>
      </c>
      <c r="AH318" s="20">
        <f t="shared" si="51"/>
        <v>251.05895214437686</v>
      </c>
      <c r="AI318" s="22"/>
    </row>
    <row r="319" spans="1:35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2"/>
        <v>465.83280224554363</v>
      </c>
      <c r="O319" s="7">
        <f t="shared" si="46"/>
        <v>4971.5833333333339</v>
      </c>
      <c r="P319" s="7">
        <f t="shared" si="47"/>
        <v>4505.7505310877896</v>
      </c>
      <c r="Q319" s="7">
        <f t="shared" si="48"/>
        <v>1872.0173632521382</v>
      </c>
      <c r="R319" s="7">
        <f t="shared" si="49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53"/>
        <v>110058</v>
      </c>
      <c r="X319" s="104">
        <f t="shared" si="54"/>
        <v>141938</v>
      </c>
      <c r="Y319" s="104"/>
      <c r="Z319" s="7">
        <v>25121</v>
      </c>
      <c r="AB319" s="2">
        <v>23899</v>
      </c>
      <c r="AC319" s="104">
        <v>161251</v>
      </c>
      <c r="AD319" s="104">
        <v>133957</v>
      </c>
      <c r="AE319" s="64">
        <f t="shared" si="55"/>
        <v>0.14332512666588115</v>
      </c>
      <c r="AF319" s="64">
        <f t="shared" si="56"/>
        <v>0.11596519778734968</v>
      </c>
      <c r="AG319" s="20">
        <f t="shared" si="50"/>
        <v>220.26683216434839</v>
      </c>
      <c r="AH319" s="20">
        <f t="shared" si="51"/>
        <v>245.56597008119525</v>
      </c>
      <c r="AI319" s="22"/>
    </row>
    <row r="320" spans="1:35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2"/>
        <v>0</v>
      </c>
      <c r="O320" s="7">
        <f t="shared" si="46"/>
        <v>2696.4166666666665</v>
      </c>
      <c r="P320" s="7">
        <f t="shared" si="47"/>
        <v>2696.4166666666665</v>
      </c>
      <c r="Q320" s="7">
        <f t="shared" si="48"/>
        <v>1271.5</v>
      </c>
      <c r="R320" s="7">
        <f t="shared" si="49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53"/>
        <v>95001</v>
      </c>
      <c r="X320" s="104">
        <f t="shared" si="54"/>
        <v>97736</v>
      </c>
      <c r="Y320" s="104"/>
      <c r="Z320" s="7">
        <v>0</v>
      </c>
      <c r="AB320" s="2">
        <v>0</v>
      </c>
      <c r="AC320" s="104">
        <v>67954</v>
      </c>
      <c r="AD320" s="104">
        <v>95001</v>
      </c>
      <c r="AE320" s="64">
        <f t="shared" si="55"/>
        <v>0</v>
      </c>
      <c r="AF320" s="64">
        <f t="shared" si="56"/>
        <v>0</v>
      </c>
      <c r="AG320" s="20">
        <f t="shared" si="50"/>
        <v>0</v>
      </c>
      <c r="AH320" s="20">
        <f t="shared" si="51"/>
        <v>0</v>
      </c>
      <c r="AI320" s="22"/>
    </row>
    <row r="321" spans="1:35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2"/>
        <v>0</v>
      </c>
      <c r="O321" s="7">
        <f t="shared" si="46"/>
        <v>2383.75</v>
      </c>
      <c r="P321" s="7">
        <f t="shared" si="47"/>
        <v>2383.75</v>
      </c>
      <c r="Q321" s="7">
        <f t="shared" si="48"/>
        <v>1232.6666666666667</v>
      </c>
      <c r="R321" s="7">
        <f t="shared" si="49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53"/>
        <v>95369</v>
      </c>
      <c r="X321" s="104">
        <f t="shared" si="54"/>
        <v>97473</v>
      </c>
      <c r="Y321" s="104"/>
      <c r="Z321" s="7">
        <v>0</v>
      </c>
      <c r="AB321" s="2">
        <v>0</v>
      </c>
      <c r="AC321" s="104">
        <v>73071</v>
      </c>
      <c r="AD321" s="104">
        <v>95369</v>
      </c>
      <c r="AE321" s="64">
        <f t="shared" si="55"/>
        <v>0</v>
      </c>
      <c r="AF321" s="64">
        <f t="shared" si="56"/>
        <v>0</v>
      </c>
      <c r="AG321" s="20">
        <f t="shared" si="50"/>
        <v>0</v>
      </c>
      <c r="AH321" s="20">
        <f t="shared" si="51"/>
        <v>0</v>
      </c>
      <c r="AI321" s="22"/>
    </row>
    <row r="322" spans="1:35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2"/>
        <v>318.94134751615212</v>
      </c>
      <c r="O322" s="7">
        <f t="shared" ref="O322:O370" si="57">+B322+C322+D322+F322+I322+K322+J322</f>
        <v>5505.583333333333</v>
      </c>
      <c r="P322" s="7">
        <f t="shared" ref="P322:P370" si="58">+B322+C322+D322+F322+J322+Q322+R322</f>
        <v>5186.6419858171812</v>
      </c>
      <c r="Q322" s="7">
        <f t="shared" ref="Q322:Q370" si="59">+I322-AH322</f>
        <v>1750.6019461869641</v>
      </c>
      <c r="R322" s="7">
        <f t="shared" ref="R322:R370" si="60">+K322-AG322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53"/>
        <v>113534</v>
      </c>
      <c r="X322" s="104">
        <f t="shared" si="54"/>
        <v>161106</v>
      </c>
      <c r="Y322" s="104"/>
      <c r="Z322" s="7">
        <v>61</v>
      </c>
      <c r="AB322" s="2">
        <v>35197</v>
      </c>
      <c r="AC322" s="104">
        <v>178988</v>
      </c>
      <c r="AD322" s="104">
        <v>148731</v>
      </c>
      <c r="AE322" s="64">
        <f t="shared" si="55"/>
        <v>3.1354057255234989E-4</v>
      </c>
      <c r="AF322" s="64">
        <f t="shared" si="56"/>
        <v>0.15382166461598457</v>
      </c>
      <c r="AG322" s="20">
        <f t="shared" ref="AG322:AG369" si="61">+AE322*K322</f>
        <v>0.70996036978270416</v>
      </c>
      <c r="AH322" s="20">
        <f t="shared" ref="AH322:AH369" si="62">+AF322*I322</f>
        <v>318.2313871463694</v>
      </c>
      <c r="AI322" s="22"/>
    </row>
    <row r="323" spans="1:35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3">+AH323+AG323</f>
        <v>116.57367557537943</v>
      </c>
      <c r="O323" s="7">
        <f t="shared" si="57"/>
        <v>5401.3333333333339</v>
      </c>
      <c r="P323" s="7">
        <f t="shared" si="58"/>
        <v>5284.7596577579543</v>
      </c>
      <c r="Q323" s="7">
        <f t="shared" si="59"/>
        <v>2367.9166666666665</v>
      </c>
      <c r="R323" s="7">
        <f t="shared" si="60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ref="W323:W386" si="64">+V323-U323-S323+AA323</f>
        <v>163202</v>
      </c>
      <c r="X323" s="104">
        <f t="shared" ref="X323:X386" si="65">+V323+AB323+AA323</f>
        <v>176181</v>
      </c>
      <c r="Y323" s="104"/>
      <c r="Z323" s="7">
        <v>13246</v>
      </c>
      <c r="AB323" s="2">
        <v>0</v>
      </c>
      <c r="AC323" s="104">
        <v>166354</v>
      </c>
      <c r="AD323" s="104">
        <v>163202</v>
      </c>
      <c r="AE323" s="64">
        <f t="shared" ref="AE323:AE374" si="66">+(Z323/AC323*0.92)</f>
        <v>7.3255347031030218E-2</v>
      </c>
      <c r="AF323" s="64">
        <f t="shared" ref="AF323:AF374" si="67">+(AB323/AD323*0.65)</f>
        <v>0</v>
      </c>
      <c r="AG323" s="20">
        <f t="shared" si="61"/>
        <v>116.57367557537943</v>
      </c>
      <c r="AH323" s="20">
        <f t="shared" si="62"/>
        <v>0</v>
      </c>
      <c r="AI323" s="22"/>
    </row>
    <row r="324" spans="1:35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3"/>
        <v>364.04768590970787</v>
      </c>
      <c r="O324" s="7">
        <f t="shared" si="57"/>
        <v>4922.333333333333</v>
      </c>
      <c r="P324" s="7">
        <f t="shared" si="58"/>
        <v>4558.2856474236251</v>
      </c>
      <c r="Q324" s="7">
        <f t="shared" si="59"/>
        <v>2367.4365078094484</v>
      </c>
      <c r="R324" s="7">
        <f t="shared" si="60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4"/>
        <v>142964</v>
      </c>
      <c r="X324" s="104">
        <f t="shared" si="65"/>
        <v>169266</v>
      </c>
      <c r="Y324" s="104"/>
      <c r="Z324" s="7">
        <v>32379</v>
      </c>
      <c r="AB324" s="2">
        <v>13193</v>
      </c>
      <c r="AC324" s="104">
        <v>170009</v>
      </c>
      <c r="AD324" s="104">
        <v>156157</v>
      </c>
      <c r="AE324" s="64">
        <f t="shared" si="66"/>
        <v>0.17521825315130377</v>
      </c>
      <c r="AF324" s="64">
        <f t="shared" si="67"/>
        <v>5.4915565744731269E-2</v>
      </c>
      <c r="AG324" s="20">
        <f t="shared" si="61"/>
        <v>226.48419371915605</v>
      </c>
      <c r="AH324" s="20">
        <f t="shared" si="62"/>
        <v>137.56349219055184</v>
      </c>
      <c r="AI324" s="22"/>
    </row>
    <row r="325" spans="1:35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3"/>
        <v>157.9678101630833</v>
      </c>
      <c r="O325" s="7">
        <f t="shared" si="57"/>
        <v>4853.916666666667</v>
      </c>
      <c r="P325" s="7">
        <f t="shared" si="58"/>
        <v>4695.9488565035845</v>
      </c>
      <c r="Q325" s="7">
        <f t="shared" si="59"/>
        <v>2002.9962332313585</v>
      </c>
      <c r="R325" s="7">
        <f t="shared" si="60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4"/>
        <v>116997</v>
      </c>
      <c r="X325" s="104">
        <f t="shared" si="65"/>
        <v>139131</v>
      </c>
      <c r="Y325" s="104"/>
      <c r="Z325" s="7">
        <v>5493</v>
      </c>
      <c r="AB325" s="2">
        <v>9504</v>
      </c>
      <c r="AC325" s="104">
        <v>122243</v>
      </c>
      <c r="AD325" s="104">
        <v>126501</v>
      </c>
      <c r="AE325" s="64">
        <f t="shared" si="66"/>
        <v>4.1340281243097771E-2</v>
      </c>
      <c r="AF325" s="64">
        <f t="shared" si="67"/>
        <v>4.8834396566035054E-2</v>
      </c>
      <c r="AG325" s="20">
        <f t="shared" si="61"/>
        <v>55.130710061107798</v>
      </c>
      <c r="AH325" s="20">
        <f t="shared" si="62"/>
        <v>102.83710010197551</v>
      </c>
      <c r="AI325" s="22"/>
    </row>
    <row r="326" spans="1:35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3"/>
        <v>233.6807968511045</v>
      </c>
      <c r="O326" s="7">
        <f t="shared" si="57"/>
        <v>4865.5</v>
      </c>
      <c r="P326" s="7">
        <f t="shared" si="58"/>
        <v>4631.8192031488952</v>
      </c>
      <c r="Q326" s="7">
        <f t="shared" si="59"/>
        <v>1812.7287389699259</v>
      </c>
      <c r="R326" s="7">
        <f t="shared" si="60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si="64"/>
        <v>125370</v>
      </c>
      <c r="X326" s="104">
        <f t="shared" si="65"/>
        <v>159346</v>
      </c>
      <c r="Y326" s="104"/>
      <c r="Z326" s="7">
        <v>1338</v>
      </c>
      <c r="AB326" s="2">
        <v>24561</v>
      </c>
      <c r="AC326" s="104">
        <v>88328</v>
      </c>
      <c r="AD326" s="104">
        <v>149931</v>
      </c>
      <c r="AE326" s="64">
        <f t="shared" si="66"/>
        <v>1.3936237659632282E-2</v>
      </c>
      <c r="AF326" s="64">
        <f t="shared" si="67"/>
        <v>0.10647998079116394</v>
      </c>
      <c r="AG326" s="20">
        <f t="shared" si="61"/>
        <v>17.659535821030708</v>
      </c>
      <c r="AH326" s="20">
        <f t="shared" si="62"/>
        <v>216.02126103007379</v>
      </c>
      <c r="AI326" s="22"/>
    </row>
    <row r="327" spans="1:35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3"/>
        <v>9.4279126808928145E-3</v>
      </c>
      <c r="O327" s="7">
        <f t="shared" si="57"/>
        <v>2653.0833333333335</v>
      </c>
      <c r="P327" s="7">
        <f t="shared" si="58"/>
        <v>2653.0739054206524</v>
      </c>
      <c r="Q327" s="7">
        <f t="shared" si="59"/>
        <v>1264</v>
      </c>
      <c r="R327" s="7">
        <f t="shared" si="60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64"/>
        <v>78188</v>
      </c>
      <c r="X327" s="104">
        <f t="shared" si="65"/>
        <v>81720</v>
      </c>
      <c r="Y327" s="104"/>
      <c r="Z327" s="7">
        <v>1</v>
      </c>
      <c r="AB327" s="2">
        <v>0</v>
      </c>
      <c r="AC327" s="104">
        <v>67950</v>
      </c>
      <c r="AD327" s="104">
        <v>78188</v>
      </c>
      <c r="AE327" s="64">
        <f t="shared" si="66"/>
        <v>1.3539367181751287E-5</v>
      </c>
      <c r="AF327" s="64">
        <f t="shared" si="67"/>
        <v>0</v>
      </c>
      <c r="AG327" s="20">
        <f t="shared" si="61"/>
        <v>9.4279126808928145E-3</v>
      </c>
      <c r="AH327" s="20">
        <f t="shared" si="62"/>
        <v>0</v>
      </c>
      <c r="AI327" s="22"/>
    </row>
    <row r="328" spans="1:35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3"/>
        <v>0</v>
      </c>
      <c r="O328" s="7">
        <f t="shared" si="57"/>
        <v>2377.583333333333</v>
      </c>
      <c r="P328" s="7">
        <f t="shared" si="58"/>
        <v>2377.583333333333</v>
      </c>
      <c r="Q328" s="7">
        <f t="shared" si="59"/>
        <v>1182.0833333333333</v>
      </c>
      <c r="R328" s="7">
        <f t="shared" si="60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64"/>
        <v>72542</v>
      </c>
      <c r="X328" s="104">
        <f t="shared" si="65"/>
        <v>75000</v>
      </c>
      <c r="Y328" s="104"/>
      <c r="Z328" s="7">
        <v>0</v>
      </c>
      <c r="AB328" s="2">
        <v>0</v>
      </c>
      <c r="AC328" s="104">
        <v>77429</v>
      </c>
      <c r="AD328" s="104">
        <v>72542</v>
      </c>
      <c r="AE328" s="64">
        <f t="shared" si="66"/>
        <v>0</v>
      </c>
      <c r="AF328" s="64">
        <f t="shared" si="67"/>
        <v>0</v>
      </c>
      <c r="AG328" s="20">
        <f t="shared" si="61"/>
        <v>0</v>
      </c>
      <c r="AH328" s="20">
        <f t="shared" si="62"/>
        <v>0</v>
      </c>
      <c r="AI328" s="22"/>
    </row>
    <row r="329" spans="1:35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3"/>
        <v>6.6411296121364218</v>
      </c>
      <c r="O329" s="7">
        <f t="shared" si="57"/>
        <v>4677.25</v>
      </c>
      <c r="P329" s="7">
        <f t="shared" si="58"/>
        <v>4670.6088703878631</v>
      </c>
      <c r="Q329" s="7">
        <f t="shared" si="59"/>
        <v>1627.2499999999998</v>
      </c>
      <c r="R329" s="7">
        <f t="shared" si="60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64"/>
        <v>97062</v>
      </c>
      <c r="X329" s="104">
        <f t="shared" si="65"/>
        <v>111431</v>
      </c>
      <c r="Y329" s="104"/>
      <c r="Z329" s="7">
        <v>660</v>
      </c>
      <c r="AB329" s="2">
        <v>0</v>
      </c>
      <c r="AC329" s="104">
        <v>141854</v>
      </c>
      <c r="AD329" s="104">
        <v>97062</v>
      </c>
      <c r="AE329" s="64">
        <f t="shared" si="66"/>
        <v>4.2804573716638235E-3</v>
      </c>
      <c r="AF329" s="64">
        <f t="shared" si="67"/>
        <v>0</v>
      </c>
      <c r="AG329" s="20">
        <f t="shared" si="61"/>
        <v>6.6411296121364218</v>
      </c>
      <c r="AH329" s="20">
        <f t="shared" si="62"/>
        <v>0</v>
      </c>
      <c r="AI329" s="22"/>
    </row>
    <row r="330" spans="1:35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3"/>
        <v>105.51633869365224</v>
      </c>
      <c r="O330" s="7">
        <f t="shared" si="57"/>
        <v>4656.916666666667</v>
      </c>
      <c r="P330" s="7">
        <f t="shared" si="58"/>
        <v>4551.400327973015</v>
      </c>
      <c r="Q330" s="7">
        <f t="shared" si="59"/>
        <v>2129.8333333333335</v>
      </c>
      <c r="R330" s="7">
        <f t="shared" si="60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64"/>
        <v>135522</v>
      </c>
      <c r="X330" s="104">
        <f t="shared" si="65"/>
        <v>145629</v>
      </c>
      <c r="Y330" s="104"/>
      <c r="Z330" s="7">
        <v>11439</v>
      </c>
      <c r="AB330" s="2">
        <v>0</v>
      </c>
      <c r="AC330" s="104">
        <v>135875</v>
      </c>
      <c r="AD330" s="104">
        <v>135522</v>
      </c>
      <c r="AE330" s="64">
        <f t="shared" si="66"/>
        <v>7.7452658693652254E-2</v>
      </c>
      <c r="AF330" s="64">
        <f t="shared" si="67"/>
        <v>0</v>
      </c>
      <c r="AG330" s="20">
        <f t="shared" si="61"/>
        <v>105.51633869365224</v>
      </c>
      <c r="AH330" s="20">
        <f t="shared" si="62"/>
        <v>0</v>
      </c>
      <c r="AI330" s="22"/>
    </row>
    <row r="331" spans="1:35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3"/>
        <v>172.2970301170364</v>
      </c>
      <c r="O331" s="7">
        <f t="shared" si="57"/>
        <v>4679.1666666666661</v>
      </c>
      <c r="P331" s="7">
        <f t="shared" si="58"/>
        <v>4506.8696365496298</v>
      </c>
      <c r="Q331" s="7">
        <f t="shared" si="59"/>
        <v>2071.5833333333335</v>
      </c>
      <c r="R331" s="7">
        <f t="shared" si="60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64"/>
        <v>148071</v>
      </c>
      <c r="X331" s="104">
        <f t="shared" si="65"/>
        <v>159338</v>
      </c>
      <c r="Y331" s="104"/>
      <c r="Z331" s="7">
        <v>21030</v>
      </c>
      <c r="AB331" s="2">
        <v>0</v>
      </c>
      <c r="AC331" s="104">
        <v>162599</v>
      </c>
      <c r="AD331" s="104">
        <v>148071</v>
      </c>
      <c r="AE331" s="64">
        <f t="shared" si="66"/>
        <v>0.11898966168303619</v>
      </c>
      <c r="AF331" s="64">
        <f t="shared" si="67"/>
        <v>0</v>
      </c>
      <c r="AG331" s="20">
        <f t="shared" si="61"/>
        <v>172.2970301170364</v>
      </c>
      <c r="AH331" s="20">
        <f t="shared" si="62"/>
        <v>0</v>
      </c>
      <c r="AI331" s="22"/>
    </row>
    <row r="332" spans="1:35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3"/>
        <v>269.03272444035571</v>
      </c>
      <c r="O332" s="7">
        <f t="shared" si="57"/>
        <v>5295.4999999999991</v>
      </c>
      <c r="P332" s="7">
        <f t="shared" si="58"/>
        <v>5026.4672755596439</v>
      </c>
      <c r="Q332" s="7">
        <f t="shared" si="59"/>
        <v>2149.8811055796491</v>
      </c>
      <c r="R332" s="7">
        <f t="shared" si="60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64"/>
        <v>149634</v>
      </c>
      <c r="X332" s="104">
        <f t="shared" si="65"/>
        <v>187738</v>
      </c>
      <c r="Y332" s="104"/>
      <c r="Z332" s="7">
        <v>3731</v>
      </c>
      <c r="AB332" s="2">
        <v>26530</v>
      </c>
      <c r="AC332" s="104">
        <v>138632</v>
      </c>
      <c r="AD332" s="104">
        <v>176164</v>
      </c>
      <c r="AE332" s="64">
        <f t="shared" si="66"/>
        <v>2.4759939984996249E-2</v>
      </c>
      <c r="AF332" s="64">
        <f t="shared" si="67"/>
        <v>9.7888898980495451E-2</v>
      </c>
      <c r="AG332" s="20">
        <f t="shared" si="61"/>
        <v>35.747163353338337</v>
      </c>
      <c r="AH332" s="20">
        <f t="shared" si="62"/>
        <v>233.28556108701738</v>
      </c>
      <c r="AI332" s="22"/>
    </row>
    <row r="333" spans="1:35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3"/>
        <v>7.4296764158749706</v>
      </c>
      <c r="O333" s="7">
        <f t="shared" si="57"/>
        <v>5260.5</v>
      </c>
      <c r="P333" s="7">
        <f t="shared" si="58"/>
        <v>5253.0703235841247</v>
      </c>
      <c r="Q333" s="7">
        <f t="shared" si="59"/>
        <v>2097.75</v>
      </c>
      <c r="R333" s="7">
        <f t="shared" si="60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64"/>
        <v>134967</v>
      </c>
      <c r="X333" s="104">
        <f t="shared" si="65"/>
        <v>143780</v>
      </c>
      <c r="Y333" s="104"/>
      <c r="Z333" s="7">
        <v>743</v>
      </c>
      <c r="AB333" s="2">
        <v>0</v>
      </c>
      <c r="AC333" s="104">
        <v>160731</v>
      </c>
      <c r="AD333" s="104">
        <v>134967</v>
      </c>
      <c r="AE333" s="64">
        <f t="shared" si="66"/>
        <v>4.2528199289496114E-3</v>
      </c>
      <c r="AF333" s="64">
        <f t="shared" si="67"/>
        <v>0</v>
      </c>
      <c r="AG333" s="20">
        <f t="shared" si="61"/>
        <v>7.4296764158749706</v>
      </c>
      <c r="AH333" s="20">
        <f t="shared" si="62"/>
        <v>0</v>
      </c>
      <c r="AI333" s="22"/>
    </row>
    <row r="334" spans="1:35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3"/>
        <v>3.3649114502570803</v>
      </c>
      <c r="O334" s="7">
        <f t="shared" si="57"/>
        <v>3251.6666666666665</v>
      </c>
      <c r="P334" s="7">
        <f t="shared" si="58"/>
        <v>3248.3017552164092</v>
      </c>
      <c r="Q334" s="7">
        <f t="shared" si="59"/>
        <v>1219</v>
      </c>
      <c r="R334" s="7">
        <f t="shared" si="60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64"/>
        <v>80883</v>
      </c>
      <c r="X334" s="104">
        <f t="shared" si="65"/>
        <v>87582</v>
      </c>
      <c r="Y334" s="104"/>
      <c r="Z334" s="7">
        <v>322</v>
      </c>
      <c r="AB334" s="2">
        <v>0</v>
      </c>
      <c r="AC334" s="104">
        <v>85771</v>
      </c>
      <c r="AD334" s="104">
        <v>80883</v>
      </c>
      <c r="AE334" s="64">
        <f t="shared" si="66"/>
        <v>3.453848037215376E-3</v>
      </c>
      <c r="AF334" s="64">
        <f t="shared" si="67"/>
        <v>0</v>
      </c>
      <c r="AG334" s="20">
        <f t="shared" si="61"/>
        <v>3.3649114502570803</v>
      </c>
      <c r="AH334" s="20">
        <f t="shared" si="62"/>
        <v>0</v>
      </c>
      <c r="AI334" s="22"/>
    </row>
    <row r="335" spans="1:35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3"/>
        <v>0</v>
      </c>
      <c r="O335" s="7">
        <f t="shared" si="57"/>
        <v>2178.75</v>
      </c>
      <c r="P335" s="7">
        <f t="shared" si="58"/>
        <v>2178.75</v>
      </c>
      <c r="Q335" s="7">
        <f t="shared" si="59"/>
        <v>1176.0833333333335</v>
      </c>
      <c r="R335" s="7">
        <f t="shared" si="60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64"/>
        <v>78956</v>
      </c>
      <c r="X335" s="104">
        <f t="shared" si="65"/>
        <v>82023</v>
      </c>
      <c r="Y335" s="104"/>
      <c r="Z335" s="7">
        <v>0</v>
      </c>
      <c r="AB335" s="2">
        <v>0</v>
      </c>
      <c r="AC335" s="104">
        <v>58431</v>
      </c>
      <c r="AD335" s="104">
        <v>78956</v>
      </c>
      <c r="AE335" s="64">
        <f t="shared" si="66"/>
        <v>0</v>
      </c>
      <c r="AF335" s="64">
        <f t="shared" si="67"/>
        <v>0</v>
      </c>
      <c r="AG335" s="20">
        <f t="shared" si="61"/>
        <v>0</v>
      </c>
      <c r="AH335" s="20">
        <f t="shared" si="62"/>
        <v>0</v>
      </c>
      <c r="AI335" s="22"/>
    </row>
    <row r="336" spans="1:35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3"/>
        <v>0</v>
      </c>
      <c r="O336" s="7">
        <f t="shared" si="57"/>
        <v>5887.3159243956434</v>
      </c>
      <c r="P336" s="7">
        <f t="shared" si="58"/>
        <v>5887.3159243956434</v>
      </c>
      <c r="Q336" s="7">
        <f t="shared" si="59"/>
        <v>2248.416666666667</v>
      </c>
      <c r="R336" s="7">
        <f t="shared" si="60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64"/>
        <v>159182</v>
      </c>
      <c r="X336" s="104">
        <f t="shared" si="65"/>
        <v>173818</v>
      </c>
      <c r="Y336" s="104"/>
      <c r="Z336" s="7">
        <v>0</v>
      </c>
      <c r="AB336" s="2">
        <v>0</v>
      </c>
      <c r="AC336" s="104">
        <v>172452</v>
      </c>
      <c r="AD336" s="104">
        <v>159182</v>
      </c>
      <c r="AE336" s="64">
        <f t="shared" si="66"/>
        <v>0</v>
      </c>
      <c r="AF336" s="64">
        <f t="shared" si="67"/>
        <v>0</v>
      </c>
      <c r="AG336" s="20">
        <f t="shared" si="61"/>
        <v>0</v>
      </c>
      <c r="AH336" s="20">
        <f t="shared" si="62"/>
        <v>0</v>
      </c>
      <c r="AI336" s="22"/>
    </row>
    <row r="337" spans="1:35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3"/>
        <v>0</v>
      </c>
      <c r="O337" s="7">
        <f t="shared" si="57"/>
        <v>5808.7308711941378</v>
      </c>
      <c r="P337" s="7">
        <f t="shared" si="58"/>
        <v>5808.7308711941378</v>
      </c>
      <c r="Q337" s="7">
        <f t="shared" si="59"/>
        <v>2282.333333333333</v>
      </c>
      <c r="R337" s="7">
        <f t="shared" si="60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64"/>
        <v>153160</v>
      </c>
      <c r="X337" s="104">
        <f t="shared" si="65"/>
        <v>167365</v>
      </c>
      <c r="Y337" s="104"/>
      <c r="Z337" s="7">
        <v>0</v>
      </c>
      <c r="AB337" s="2">
        <v>0</v>
      </c>
      <c r="AC337" s="104">
        <v>178740</v>
      </c>
      <c r="AD337" s="104">
        <v>153160</v>
      </c>
      <c r="AE337" s="64">
        <f t="shared" si="66"/>
        <v>0</v>
      </c>
      <c r="AF337" s="64">
        <f t="shared" si="67"/>
        <v>0</v>
      </c>
      <c r="AG337" s="20">
        <f t="shared" si="61"/>
        <v>0</v>
      </c>
      <c r="AH337" s="20">
        <f t="shared" si="62"/>
        <v>0</v>
      </c>
      <c r="AI337" s="22"/>
    </row>
    <row r="338" spans="1:35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3"/>
        <v>351.52514744274731</v>
      </c>
      <c r="O338" s="7">
        <f t="shared" si="57"/>
        <v>5423.7943280503068</v>
      </c>
      <c r="P338" s="7">
        <f t="shared" si="58"/>
        <v>5072.2691806075591</v>
      </c>
      <c r="Q338" s="7">
        <f t="shared" si="59"/>
        <v>2297.1666666666665</v>
      </c>
      <c r="R338" s="7">
        <f t="shared" si="60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64"/>
        <v>161397</v>
      </c>
      <c r="X338" s="104">
        <f t="shared" si="65"/>
        <v>175196</v>
      </c>
      <c r="Y338" s="104"/>
      <c r="Z338" s="7">
        <v>39775</v>
      </c>
      <c r="AB338" s="2">
        <v>0</v>
      </c>
      <c r="AC338" s="104">
        <v>184171</v>
      </c>
      <c r="AD338" s="104">
        <v>161397</v>
      </c>
      <c r="AE338" s="64">
        <f t="shared" si="66"/>
        <v>0.19869034755743303</v>
      </c>
      <c r="AF338" s="64">
        <f t="shared" si="67"/>
        <v>0</v>
      </c>
      <c r="AG338" s="20">
        <f t="shared" si="61"/>
        <v>351.52514744274731</v>
      </c>
      <c r="AH338" s="20">
        <f t="shared" si="62"/>
        <v>0</v>
      </c>
      <c r="AI338" s="22"/>
    </row>
    <row r="339" spans="1:35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3"/>
        <v>693.96702168553907</v>
      </c>
      <c r="O339" s="7">
        <f t="shared" si="57"/>
        <v>5682.3435042663386</v>
      </c>
      <c r="P339" s="7">
        <f t="shared" si="58"/>
        <v>4988.3764825807993</v>
      </c>
      <c r="Q339" s="7">
        <f t="shared" si="59"/>
        <v>2113.8034513688499</v>
      </c>
      <c r="R339" s="7">
        <f t="shared" si="60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64"/>
        <v>145554</v>
      </c>
      <c r="X339" s="104">
        <f t="shared" si="65"/>
        <v>196679</v>
      </c>
      <c r="Y339" s="104"/>
      <c r="Z339" s="7">
        <v>38312</v>
      </c>
      <c r="AB339" s="2">
        <v>41233</v>
      </c>
      <c r="AC339" s="104">
        <v>199051</v>
      </c>
      <c r="AD339" s="104">
        <v>186787</v>
      </c>
      <c r="AE339" s="64">
        <f t="shared" si="66"/>
        <v>0.17707542288157307</v>
      </c>
      <c r="AF339" s="64">
        <f t="shared" si="67"/>
        <v>0.14348669875312522</v>
      </c>
      <c r="AG339" s="20">
        <f t="shared" si="61"/>
        <v>339.8538063877221</v>
      </c>
      <c r="AH339" s="20">
        <f t="shared" si="62"/>
        <v>354.11321529781702</v>
      </c>
      <c r="AI339" s="22"/>
    </row>
    <row r="340" spans="1:35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3"/>
        <v>309.07551121299554</v>
      </c>
      <c r="O340" s="7">
        <f t="shared" si="57"/>
        <v>5216.9251806381817</v>
      </c>
      <c r="P340" s="7">
        <f t="shared" si="58"/>
        <v>4907.8496694251862</v>
      </c>
      <c r="Q340" s="7">
        <f t="shared" si="59"/>
        <v>1977.4926703378844</v>
      </c>
      <c r="R340" s="7">
        <f t="shared" si="60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64"/>
        <v>147452</v>
      </c>
      <c r="X340" s="104">
        <f t="shared" si="65"/>
        <v>188590</v>
      </c>
      <c r="Y340" s="104"/>
      <c r="Z340" s="7">
        <v>7583</v>
      </c>
      <c r="AB340" s="2">
        <v>28693</v>
      </c>
      <c r="AC340" s="104">
        <v>162624</v>
      </c>
      <c r="AD340" s="104">
        <v>176145</v>
      </c>
      <c r="AE340" s="64">
        <f t="shared" si="66"/>
        <v>4.2898711137347501E-2</v>
      </c>
      <c r="AF340" s="64">
        <f t="shared" si="67"/>
        <v>0.10588123421045162</v>
      </c>
      <c r="AG340" s="20">
        <f t="shared" si="61"/>
        <v>74.90151488421337</v>
      </c>
      <c r="AH340" s="20">
        <f t="shared" si="62"/>
        <v>234.17399632878215</v>
      </c>
      <c r="AI340" s="22"/>
    </row>
    <row r="341" spans="1:35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3"/>
        <v>56.733868990807252</v>
      </c>
      <c r="O341" s="7">
        <f t="shared" si="57"/>
        <v>3190.3406746375035</v>
      </c>
      <c r="P341" s="7">
        <f t="shared" si="58"/>
        <v>3133.6068056466961</v>
      </c>
      <c r="Q341" s="7">
        <f t="shared" si="59"/>
        <v>1178.0161310091928</v>
      </c>
      <c r="R341" s="7">
        <f t="shared" si="60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64"/>
        <v>92499</v>
      </c>
      <c r="X341" s="104">
        <f t="shared" si="65"/>
        <v>103167</v>
      </c>
      <c r="Y341" s="104"/>
      <c r="Z341" s="7">
        <v>0</v>
      </c>
      <c r="AB341" s="2">
        <v>7036</v>
      </c>
      <c r="AC341" s="104">
        <v>93313</v>
      </c>
      <c r="AD341" s="104">
        <v>99535</v>
      </c>
      <c r="AE341" s="64">
        <f t="shared" si="66"/>
        <v>0</v>
      </c>
      <c r="AF341" s="64">
        <f t="shared" si="67"/>
        <v>4.5947656603204899E-2</v>
      </c>
      <c r="AG341" s="20">
        <f t="shared" si="61"/>
        <v>0</v>
      </c>
      <c r="AH341" s="20">
        <f t="shared" si="62"/>
        <v>56.733868990807252</v>
      </c>
      <c r="AI341" s="22"/>
    </row>
    <row r="342" spans="1:35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3"/>
        <v>71.952749296340968</v>
      </c>
      <c r="O342" s="7">
        <f t="shared" si="57"/>
        <v>2172.3464288332425</v>
      </c>
      <c r="P342" s="7">
        <f t="shared" si="58"/>
        <v>2100.3936795369013</v>
      </c>
      <c r="Q342" s="7">
        <f t="shared" si="59"/>
        <v>1090.6305840369923</v>
      </c>
      <c r="R342" s="7">
        <f t="shared" si="60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64"/>
        <v>68256</v>
      </c>
      <c r="X342" s="104">
        <f t="shared" si="65"/>
        <v>79031</v>
      </c>
      <c r="Y342" s="104"/>
      <c r="Z342" s="7">
        <v>0</v>
      </c>
      <c r="AB342" s="2">
        <v>7183</v>
      </c>
      <c r="AC342" s="104">
        <v>67239</v>
      </c>
      <c r="AD342" s="104">
        <v>75439</v>
      </c>
      <c r="AE342" s="64">
        <f t="shared" si="66"/>
        <v>0</v>
      </c>
      <c r="AF342" s="64">
        <f t="shared" si="67"/>
        <v>6.1890401516457007E-2</v>
      </c>
      <c r="AG342" s="20">
        <f t="shared" si="61"/>
        <v>0</v>
      </c>
      <c r="AH342" s="20">
        <f t="shared" si="62"/>
        <v>71.952749296340968</v>
      </c>
      <c r="AI342" s="22"/>
    </row>
    <row r="343" spans="1:35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3"/>
        <v>0</v>
      </c>
      <c r="O343" s="7">
        <f t="shared" si="57"/>
        <v>5276.3753323873279</v>
      </c>
      <c r="P343" s="7">
        <f t="shared" si="58"/>
        <v>5276.3753323873279</v>
      </c>
      <c r="Q343" s="7">
        <f t="shared" si="59"/>
        <v>2257.166666666667</v>
      </c>
      <c r="R343" s="7">
        <f t="shared" si="60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64"/>
        <v>151339</v>
      </c>
      <c r="X343" s="104">
        <f t="shared" si="65"/>
        <v>162076</v>
      </c>
      <c r="Y343" s="104"/>
      <c r="Z343" s="7">
        <v>0</v>
      </c>
      <c r="AB343" s="2">
        <v>0</v>
      </c>
      <c r="AC343" s="104">
        <v>173088</v>
      </c>
      <c r="AD343" s="104">
        <v>162076</v>
      </c>
      <c r="AE343" s="64">
        <f t="shared" si="66"/>
        <v>0</v>
      </c>
      <c r="AF343" s="64">
        <f t="shared" si="67"/>
        <v>0</v>
      </c>
      <c r="AG343" s="20">
        <f t="shared" si="61"/>
        <v>0</v>
      </c>
      <c r="AH343" s="20">
        <f t="shared" si="62"/>
        <v>0</v>
      </c>
      <c r="AI343" s="22"/>
    </row>
    <row r="344" spans="1:35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3"/>
        <v>0</v>
      </c>
      <c r="O344" s="7">
        <f t="shared" si="57"/>
        <v>5706.982492014753</v>
      </c>
      <c r="P344" s="7">
        <f t="shared" si="58"/>
        <v>5706.982492014753</v>
      </c>
      <c r="Q344" s="7">
        <f t="shared" si="59"/>
        <v>2593.75</v>
      </c>
      <c r="R344" s="7">
        <f t="shared" si="60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64"/>
        <v>173646</v>
      </c>
      <c r="X344" s="104">
        <f t="shared" si="65"/>
        <v>188867</v>
      </c>
      <c r="Y344" s="104"/>
      <c r="Z344" s="7">
        <v>0</v>
      </c>
      <c r="AB344" s="2">
        <v>0</v>
      </c>
      <c r="AC344" s="104">
        <v>189441</v>
      </c>
      <c r="AD344" s="104">
        <v>188867</v>
      </c>
      <c r="AE344" s="64">
        <f t="shared" si="66"/>
        <v>0</v>
      </c>
      <c r="AF344" s="64">
        <f t="shared" si="67"/>
        <v>0</v>
      </c>
      <c r="AG344" s="20">
        <f t="shared" si="61"/>
        <v>0</v>
      </c>
      <c r="AH344" s="20">
        <f t="shared" si="62"/>
        <v>0</v>
      </c>
      <c r="AI344" s="22"/>
    </row>
    <row r="345" spans="1:35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3"/>
        <v>306.55658196376845</v>
      </c>
      <c r="O345" s="7">
        <f t="shared" si="57"/>
        <v>5757.4742612704713</v>
      </c>
      <c r="P345" s="7">
        <f t="shared" si="58"/>
        <v>5450.9176793067018</v>
      </c>
      <c r="Q345" s="7">
        <f t="shared" si="59"/>
        <v>2777.1666666666665</v>
      </c>
      <c r="R345" s="7">
        <f t="shared" si="60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64"/>
        <v>185213</v>
      </c>
      <c r="X345" s="104">
        <f t="shared" si="65"/>
        <v>196941</v>
      </c>
      <c r="Y345" s="104"/>
      <c r="Z345" s="7">
        <v>37497</v>
      </c>
      <c r="AB345" s="2">
        <v>0</v>
      </c>
      <c r="AC345" s="104">
        <v>213788</v>
      </c>
      <c r="AD345" s="104">
        <v>196941</v>
      </c>
      <c r="AE345" s="64">
        <f t="shared" si="66"/>
        <v>0.16136190992946284</v>
      </c>
      <c r="AF345" s="64">
        <f t="shared" si="67"/>
        <v>0</v>
      </c>
      <c r="AG345" s="20">
        <f t="shared" si="61"/>
        <v>306.55658196376845</v>
      </c>
      <c r="AH345" s="20">
        <f t="shared" si="62"/>
        <v>0</v>
      </c>
      <c r="AI345" s="22"/>
    </row>
    <row r="346" spans="1:35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3"/>
        <v>174.6134392189885</v>
      </c>
      <c r="O346" s="7">
        <f t="shared" si="57"/>
        <v>5269.0217710411434</v>
      </c>
      <c r="P346" s="7">
        <f t="shared" si="58"/>
        <v>5094.4083318221556</v>
      </c>
      <c r="Q346" s="7">
        <f t="shared" si="59"/>
        <v>2485.5946095298978</v>
      </c>
      <c r="R346" s="7">
        <f t="shared" si="60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64"/>
        <v>179442</v>
      </c>
      <c r="X346" s="104">
        <f t="shared" si="65"/>
        <v>200233</v>
      </c>
      <c r="Y346" s="104"/>
      <c r="Z346" s="7">
        <v>10510</v>
      </c>
      <c r="AB346" s="2">
        <v>8456</v>
      </c>
      <c r="AC346" s="104">
        <v>151331</v>
      </c>
      <c r="AD346" s="104">
        <v>200233</v>
      </c>
      <c r="AE346" s="64">
        <f t="shared" si="66"/>
        <v>6.3894377226080573E-2</v>
      </c>
      <c r="AF346" s="64">
        <f t="shared" si="67"/>
        <v>2.7450020725854379E-2</v>
      </c>
      <c r="AG346" s="20">
        <f t="shared" si="61"/>
        <v>104.45804874888617</v>
      </c>
      <c r="AH346" s="20">
        <f t="shared" si="62"/>
        <v>70.155390470102333</v>
      </c>
      <c r="AI346" s="22"/>
    </row>
    <row r="347" spans="1:35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3"/>
        <v>292.77317821186949</v>
      </c>
      <c r="O347" s="7">
        <f t="shared" si="57"/>
        <v>4838.8238257033281</v>
      </c>
      <c r="P347" s="7">
        <f t="shared" si="58"/>
        <v>4546.0506474914582</v>
      </c>
      <c r="Q347" s="7">
        <f t="shared" si="59"/>
        <v>2129.0601551214636</v>
      </c>
      <c r="R347" s="7">
        <f t="shared" si="60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64"/>
        <v>150271</v>
      </c>
      <c r="X347" s="104">
        <f t="shared" si="65"/>
        <v>196835</v>
      </c>
      <c r="Y347" s="104"/>
      <c r="Z347" s="7">
        <v>0</v>
      </c>
      <c r="AB347" s="2">
        <v>36608</v>
      </c>
      <c r="AC347" s="104">
        <v>119825</v>
      </c>
      <c r="AD347" s="104">
        <v>196835</v>
      </c>
      <c r="AE347" s="64">
        <f t="shared" si="66"/>
        <v>0</v>
      </c>
      <c r="AF347" s="64">
        <f t="shared" si="67"/>
        <v>0.12088906952523688</v>
      </c>
      <c r="AG347" s="20">
        <f t="shared" si="61"/>
        <v>0</v>
      </c>
      <c r="AH347" s="20">
        <f t="shared" si="62"/>
        <v>292.77317821186949</v>
      </c>
      <c r="AI347" s="22"/>
    </row>
    <row r="348" spans="1:35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3"/>
        <v>0</v>
      </c>
      <c r="O348" s="7">
        <f t="shared" si="57"/>
        <v>2867.3889332414319</v>
      </c>
      <c r="P348" s="7">
        <f t="shared" si="58"/>
        <v>2867.3889332414319</v>
      </c>
      <c r="Q348" s="7">
        <f t="shared" si="59"/>
        <v>1233.8333333333335</v>
      </c>
      <c r="R348" s="7">
        <f t="shared" si="60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64"/>
        <v>104134</v>
      </c>
      <c r="X348" s="104">
        <f t="shared" si="65"/>
        <v>111542</v>
      </c>
      <c r="Y348" s="104"/>
      <c r="Z348" s="7">
        <v>0</v>
      </c>
      <c r="AB348" s="2">
        <v>0</v>
      </c>
      <c r="AC348" s="104">
        <v>87657</v>
      </c>
      <c r="AD348" s="104">
        <v>111542</v>
      </c>
      <c r="AE348" s="64">
        <f t="shared" si="66"/>
        <v>0</v>
      </c>
      <c r="AF348" s="64">
        <f t="shared" si="67"/>
        <v>0</v>
      </c>
      <c r="AG348" s="20">
        <f t="shared" si="61"/>
        <v>0</v>
      </c>
      <c r="AH348" s="20">
        <f t="shared" si="62"/>
        <v>0</v>
      </c>
      <c r="AI348" s="22"/>
    </row>
    <row r="349" spans="1:35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3"/>
        <v>0</v>
      </c>
      <c r="O349" s="7">
        <f t="shared" si="57"/>
        <v>2114.666666666667</v>
      </c>
      <c r="P349" s="7">
        <f t="shared" si="58"/>
        <v>2114.666666666667</v>
      </c>
      <c r="Q349" s="7">
        <f t="shared" si="59"/>
        <v>1163</v>
      </c>
      <c r="R349" s="7">
        <f t="shared" si="60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64"/>
        <v>81869</v>
      </c>
      <c r="X349" s="104">
        <f t="shared" si="65"/>
        <v>84103</v>
      </c>
      <c r="Y349" s="104"/>
      <c r="Z349" s="7">
        <v>0</v>
      </c>
      <c r="AB349" s="2">
        <v>0</v>
      </c>
      <c r="AC349" s="104">
        <v>60830</v>
      </c>
      <c r="AD349" s="104">
        <v>84103</v>
      </c>
      <c r="AE349" s="64">
        <f t="shared" si="66"/>
        <v>0</v>
      </c>
      <c r="AF349" s="64">
        <f t="shared" si="67"/>
        <v>0</v>
      </c>
      <c r="AG349" s="20">
        <f t="shared" si="61"/>
        <v>0</v>
      </c>
      <c r="AH349" s="20">
        <f t="shared" si="62"/>
        <v>0</v>
      </c>
      <c r="AI349" s="22"/>
    </row>
    <row r="350" spans="1:35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3"/>
        <v>0</v>
      </c>
      <c r="O350" s="7">
        <f t="shared" si="57"/>
        <v>4165.2852777778171</v>
      </c>
      <c r="P350" s="7">
        <f t="shared" si="58"/>
        <v>4165.2852777778171</v>
      </c>
      <c r="Q350" s="7">
        <f t="shared" si="59"/>
        <v>1744.3333333333335</v>
      </c>
      <c r="R350" s="7">
        <f t="shared" si="60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64"/>
        <v>114209</v>
      </c>
      <c r="X350" s="104">
        <f t="shared" si="65"/>
        <v>127258</v>
      </c>
      <c r="Y350" s="104"/>
      <c r="Z350" s="7">
        <v>0</v>
      </c>
      <c r="AB350" s="2">
        <v>0</v>
      </c>
      <c r="AC350" s="104">
        <v>125765</v>
      </c>
      <c r="AD350" s="104">
        <v>127258</v>
      </c>
      <c r="AE350" s="64">
        <f t="shared" si="66"/>
        <v>0</v>
      </c>
      <c r="AF350" s="64">
        <f t="shared" si="67"/>
        <v>0</v>
      </c>
      <c r="AG350" s="20">
        <f t="shared" si="61"/>
        <v>0</v>
      </c>
      <c r="AH350" s="20">
        <f t="shared" si="62"/>
        <v>0</v>
      </c>
      <c r="AI350" s="22"/>
    </row>
    <row r="351" spans="1:35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3"/>
        <v>0</v>
      </c>
      <c r="O351" s="7">
        <f t="shared" si="57"/>
        <v>4292.785025561303</v>
      </c>
      <c r="P351" s="7">
        <f t="shared" si="58"/>
        <v>4292.785025561303</v>
      </c>
      <c r="Q351" s="7">
        <f t="shared" si="59"/>
        <v>1728.25</v>
      </c>
      <c r="R351" s="7">
        <f t="shared" si="60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64"/>
        <v>115080</v>
      </c>
      <c r="X351" s="104">
        <f t="shared" si="65"/>
        <v>130803</v>
      </c>
      <c r="Y351" s="104"/>
      <c r="Z351" s="7">
        <v>0</v>
      </c>
      <c r="AB351" s="2">
        <v>0</v>
      </c>
      <c r="AC351" s="104">
        <v>137509</v>
      </c>
      <c r="AD351" s="104">
        <v>130803</v>
      </c>
      <c r="AE351" s="64">
        <f t="shared" si="66"/>
        <v>0</v>
      </c>
      <c r="AF351" s="64">
        <f t="shared" si="67"/>
        <v>0</v>
      </c>
      <c r="AG351" s="20">
        <f t="shared" si="61"/>
        <v>0</v>
      </c>
      <c r="AH351" s="20">
        <f t="shared" si="62"/>
        <v>0</v>
      </c>
      <c r="AI351" s="22"/>
    </row>
    <row r="352" spans="1:35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3"/>
        <v>157.9124535027417</v>
      </c>
      <c r="O352" s="7">
        <f t="shared" si="57"/>
        <v>4377.3292720684358</v>
      </c>
      <c r="P352" s="7">
        <f t="shared" si="58"/>
        <v>4219.4168185656936</v>
      </c>
      <c r="Q352" s="7">
        <f t="shared" si="59"/>
        <v>1726</v>
      </c>
      <c r="R352" s="7">
        <f t="shared" si="60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64"/>
        <v>123929</v>
      </c>
      <c r="X352" s="104">
        <f t="shared" si="65"/>
        <v>137569</v>
      </c>
      <c r="Y352" s="104"/>
      <c r="Z352" s="7">
        <v>17556</v>
      </c>
      <c r="AB352" s="2">
        <v>0</v>
      </c>
      <c r="AC352" s="104">
        <v>158033</v>
      </c>
      <c r="AD352" s="104">
        <v>137569</v>
      </c>
      <c r="AE352" s="64">
        <f t="shared" si="66"/>
        <v>0.10220346383350314</v>
      </c>
      <c r="AF352" s="64">
        <f t="shared" si="67"/>
        <v>0</v>
      </c>
      <c r="AG352" s="20">
        <f t="shared" si="61"/>
        <v>157.9124535027417</v>
      </c>
      <c r="AH352" s="20">
        <f t="shared" si="62"/>
        <v>0</v>
      </c>
      <c r="AI352" s="22"/>
    </row>
    <row r="353" spans="1:36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3"/>
        <v>89.799042885375357</v>
      </c>
      <c r="O353" s="7">
        <f t="shared" si="57"/>
        <v>4455.9586538834446</v>
      </c>
      <c r="P353" s="7">
        <f t="shared" si="58"/>
        <v>4366.1596109980692</v>
      </c>
      <c r="Q353" s="7">
        <f t="shared" si="59"/>
        <v>2085</v>
      </c>
      <c r="R353" s="7">
        <f t="shared" si="60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64"/>
        <v>126490</v>
      </c>
      <c r="X353" s="104">
        <f t="shared" si="65"/>
        <v>135661</v>
      </c>
      <c r="Y353" s="104"/>
      <c r="Z353" s="7">
        <v>11748</v>
      </c>
      <c r="AB353" s="2">
        <v>0</v>
      </c>
      <c r="AC353" s="104">
        <v>160394</v>
      </c>
      <c r="AD353" s="104">
        <v>135661</v>
      </c>
      <c r="AE353" s="64">
        <f t="shared" si="66"/>
        <v>6.7385064279212439E-2</v>
      </c>
      <c r="AF353" s="64">
        <f t="shared" si="67"/>
        <v>0</v>
      </c>
      <c r="AG353" s="20">
        <f t="shared" si="61"/>
        <v>89.799042885375357</v>
      </c>
      <c r="AH353" s="20">
        <f t="shared" si="62"/>
        <v>0</v>
      </c>
      <c r="AI353" s="22"/>
    </row>
    <row r="354" spans="1:36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3"/>
        <v>412.15031587769499</v>
      </c>
      <c r="O354" s="7">
        <f t="shared" si="57"/>
        <v>4184.9290674999938</v>
      </c>
      <c r="P354" s="7">
        <f t="shared" si="58"/>
        <v>3772.7787516222988</v>
      </c>
      <c r="Q354" s="7">
        <f t="shared" si="59"/>
        <v>1765.1260833497197</v>
      </c>
      <c r="R354" s="7">
        <f t="shared" si="60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64"/>
        <v>124670</v>
      </c>
      <c r="X354" s="104">
        <f t="shared" si="65"/>
        <v>162736</v>
      </c>
      <c r="Y354" s="104"/>
      <c r="Z354" s="7">
        <v>23454</v>
      </c>
      <c r="AB354" s="2">
        <v>28737</v>
      </c>
      <c r="AC354" s="104">
        <v>138220</v>
      </c>
      <c r="AD354" s="104">
        <v>162736</v>
      </c>
      <c r="AE354" s="64">
        <f t="shared" si="66"/>
        <v>0.15611112718854001</v>
      </c>
      <c r="AF354" s="64">
        <f t="shared" si="67"/>
        <v>0.11478130223183562</v>
      </c>
      <c r="AG354" s="20">
        <f t="shared" si="61"/>
        <v>183.27639922741474</v>
      </c>
      <c r="AH354" s="20">
        <f t="shared" si="62"/>
        <v>228.87391665028022</v>
      </c>
      <c r="AI354" s="22"/>
    </row>
    <row r="355" spans="1:36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3"/>
        <v>341.16088800086732</v>
      </c>
      <c r="O355" s="7">
        <f t="shared" si="57"/>
        <v>4078.5569480193503</v>
      </c>
      <c r="P355" s="7">
        <f t="shared" si="58"/>
        <v>3737.3960600184828</v>
      </c>
      <c r="Q355" s="7">
        <f t="shared" si="59"/>
        <v>1727.1114453907653</v>
      </c>
      <c r="R355" s="7">
        <f t="shared" si="60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64"/>
        <v>117599</v>
      </c>
      <c r="X355" s="104">
        <f t="shared" si="65"/>
        <v>156219</v>
      </c>
      <c r="Y355" s="104"/>
      <c r="Z355" s="7">
        <v>14805</v>
      </c>
      <c r="AB355" s="2">
        <v>27807</v>
      </c>
      <c r="AC355" s="104">
        <v>140522</v>
      </c>
      <c r="AD355" s="104">
        <v>156219</v>
      </c>
      <c r="AE355" s="64">
        <f t="shared" si="66"/>
        <v>9.6928594810776966E-2</v>
      </c>
      <c r="AF355" s="64">
        <f t="shared" si="67"/>
        <v>0.11570007489485915</v>
      </c>
      <c r="AG355" s="20">
        <f t="shared" si="61"/>
        <v>115.18900005829953</v>
      </c>
      <c r="AH355" s="20">
        <f t="shared" si="62"/>
        <v>225.97188794256778</v>
      </c>
      <c r="AI355" s="22"/>
    </row>
    <row r="356" spans="1:36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3"/>
        <v>371.08967113184553</v>
      </c>
      <c r="O356" s="7">
        <f t="shared" si="57"/>
        <v>4097.3250898343158</v>
      </c>
      <c r="P356" s="7">
        <f t="shared" si="58"/>
        <v>3726.2354187024712</v>
      </c>
      <c r="Q356" s="7">
        <f t="shared" si="59"/>
        <v>1651.6221426719583</v>
      </c>
      <c r="R356" s="7">
        <f t="shared" si="60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 t="shared" si="64"/>
        <v>120249</v>
      </c>
      <c r="X356" s="104">
        <f t="shared" si="65"/>
        <v>150429</v>
      </c>
      <c r="Y356" s="104"/>
      <c r="Z356" s="7">
        <v>29141</v>
      </c>
      <c r="AB356" s="2">
        <v>18367</v>
      </c>
      <c r="AC356" s="104">
        <v>156254</v>
      </c>
      <c r="AD356" s="104">
        <v>150429</v>
      </c>
      <c r="AE356" s="64">
        <f t="shared" si="66"/>
        <v>0.17157781560792046</v>
      </c>
      <c r="AF356" s="64">
        <f t="shared" si="67"/>
        <v>7.9363354140491532E-2</v>
      </c>
      <c r="AG356" s="20">
        <f t="shared" si="61"/>
        <v>228.71181380380372</v>
      </c>
      <c r="AH356" s="20">
        <f t="shared" si="62"/>
        <v>142.37785732804181</v>
      </c>
      <c r="AI356" s="22"/>
    </row>
    <row r="357" spans="1:36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3"/>
        <v>154.31792854465093</v>
      </c>
      <c r="O357" s="7">
        <f t="shared" si="57"/>
        <v>4257.5833333333339</v>
      </c>
      <c r="P357" s="7">
        <f t="shared" si="58"/>
        <v>4103.2654047886826</v>
      </c>
      <c r="Q357" s="7">
        <f t="shared" si="59"/>
        <v>1650.8487381220161</v>
      </c>
      <c r="R357" s="7">
        <f t="shared" si="60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si="64"/>
        <v>121471</v>
      </c>
      <c r="X357" s="104">
        <f t="shared" si="65"/>
        <v>148489</v>
      </c>
      <c r="Y357" s="104"/>
      <c r="Z357" s="7">
        <v>0</v>
      </c>
      <c r="AB357" s="2">
        <v>19529</v>
      </c>
      <c r="AC357" s="91">
        <v>148187</v>
      </c>
      <c r="AD357" s="104">
        <f t="shared" ref="AD357:AD420" si="68">+X357</f>
        <v>148489</v>
      </c>
      <c r="AE357" s="64">
        <f t="shared" si="66"/>
        <v>0</v>
      </c>
      <c r="AF357" s="64">
        <f t="shared" si="67"/>
        <v>8.5486803736303699E-2</v>
      </c>
      <c r="AG357" s="20">
        <f t="shared" si="61"/>
        <v>0</v>
      </c>
      <c r="AH357" s="20">
        <f t="shared" si="62"/>
        <v>154.31792854465093</v>
      </c>
      <c r="AI357" s="20"/>
    </row>
    <row r="358" spans="1:36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3"/>
        <v>0</v>
      </c>
      <c r="O358" s="7">
        <f t="shared" si="57"/>
        <v>3954.2499999999995</v>
      </c>
      <c r="P358" s="7">
        <f t="shared" si="58"/>
        <v>3954.2499999999995</v>
      </c>
      <c r="Q358" s="7">
        <f t="shared" si="59"/>
        <v>1615.083333333333</v>
      </c>
      <c r="R358" s="7">
        <f t="shared" si="60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64"/>
        <v>117141</v>
      </c>
      <c r="X358" s="104">
        <f t="shared" si="65"/>
        <v>129343</v>
      </c>
      <c r="Y358" s="104"/>
      <c r="Z358" s="7">
        <v>0</v>
      </c>
      <c r="AB358" s="2">
        <v>0</v>
      </c>
      <c r="AC358" s="91">
        <v>136103</v>
      </c>
      <c r="AD358" s="104">
        <f t="shared" si="68"/>
        <v>129343</v>
      </c>
      <c r="AE358" s="64">
        <f t="shared" si="66"/>
        <v>0</v>
      </c>
      <c r="AF358" s="64">
        <f t="shared" si="67"/>
        <v>0</v>
      </c>
      <c r="AG358" s="20">
        <f t="shared" si="61"/>
        <v>0</v>
      </c>
      <c r="AH358" s="20">
        <f t="shared" si="62"/>
        <v>0</v>
      </c>
      <c r="AI358" s="20"/>
    </row>
    <row r="359" spans="1:36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3"/>
        <v>78.304199733391641</v>
      </c>
      <c r="O359" s="7">
        <f t="shared" si="57"/>
        <v>3949.416666666667</v>
      </c>
      <c r="P359" s="7">
        <f t="shared" si="58"/>
        <v>3871.1124669332758</v>
      </c>
      <c r="Q359" s="7">
        <f t="shared" si="59"/>
        <v>1757.1883240261511</v>
      </c>
      <c r="R359" s="7">
        <f t="shared" si="60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64"/>
        <v>125795</v>
      </c>
      <c r="X359" s="104">
        <f t="shared" si="65"/>
        <v>139498</v>
      </c>
      <c r="Y359" s="104"/>
      <c r="Z359" s="7">
        <v>6528</v>
      </c>
      <c r="AB359" s="2">
        <v>2522</v>
      </c>
      <c r="AC359" s="91">
        <v>116234</v>
      </c>
      <c r="AD359" s="104">
        <f t="shared" si="68"/>
        <v>139498</v>
      </c>
      <c r="AE359" s="64">
        <f t="shared" si="66"/>
        <v>5.1669563122666351E-2</v>
      </c>
      <c r="AF359" s="64">
        <f t="shared" si="67"/>
        <v>1.1751422959468953E-2</v>
      </c>
      <c r="AG359" s="20">
        <f t="shared" si="61"/>
        <v>57.409190426209214</v>
      </c>
      <c r="AH359" s="20">
        <f t="shared" si="62"/>
        <v>20.895009307182423</v>
      </c>
      <c r="AI359" s="20"/>
    </row>
    <row r="360" spans="1:36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3"/>
        <v>154.43315705382912</v>
      </c>
      <c r="O360" s="7">
        <f t="shared" si="57"/>
        <v>3969.7500000000005</v>
      </c>
      <c r="P360" s="7">
        <f t="shared" si="58"/>
        <v>3815.3168429461712</v>
      </c>
      <c r="Q360" s="7">
        <f t="shared" si="59"/>
        <v>1685.0833333333335</v>
      </c>
      <c r="R360" s="7">
        <f t="shared" si="60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64"/>
        <v>130381</v>
      </c>
      <c r="X360" s="104">
        <f t="shared" si="65"/>
        <v>142075</v>
      </c>
      <c r="Y360" s="104"/>
      <c r="Z360" s="7">
        <v>17613</v>
      </c>
      <c r="AB360" s="2">
        <v>0</v>
      </c>
      <c r="AC360" s="91">
        <v>119545</v>
      </c>
      <c r="AD360" s="104">
        <f t="shared" si="68"/>
        <v>142075</v>
      </c>
      <c r="AE360" s="64">
        <f t="shared" si="66"/>
        <v>0.13554694884771426</v>
      </c>
      <c r="AF360" s="64">
        <f t="shared" si="67"/>
        <v>0</v>
      </c>
      <c r="AG360" s="20">
        <f t="shared" si="61"/>
        <v>154.43315705382912</v>
      </c>
      <c r="AH360" s="20">
        <f t="shared" si="62"/>
        <v>0</v>
      </c>
      <c r="AI360" s="20"/>
    </row>
    <row r="361" spans="1:36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3"/>
        <v>263.78507696180941</v>
      </c>
      <c r="O361" s="7">
        <f t="shared" si="57"/>
        <v>3950.0833333333335</v>
      </c>
      <c r="P361" s="7">
        <f t="shared" si="58"/>
        <v>3686.2982563715241</v>
      </c>
      <c r="Q361" s="7">
        <f t="shared" si="59"/>
        <v>1674.3258439191648</v>
      </c>
      <c r="R361" s="7">
        <f t="shared" si="60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64"/>
        <v>118133</v>
      </c>
      <c r="X361" s="104">
        <f t="shared" si="65"/>
        <v>135716</v>
      </c>
      <c r="Y361" s="104"/>
      <c r="Z361" s="7">
        <v>19623</v>
      </c>
      <c r="AB361" s="2">
        <v>11546</v>
      </c>
      <c r="AC361" s="91">
        <v>117022</v>
      </c>
      <c r="AD361" s="104">
        <f t="shared" si="68"/>
        <v>135716</v>
      </c>
      <c r="AE361" s="64">
        <f t="shared" si="66"/>
        <v>0.15427150450342669</v>
      </c>
      <c r="AF361" s="64">
        <f t="shared" si="67"/>
        <v>5.529856464970969E-2</v>
      </c>
      <c r="AG361" s="20">
        <f t="shared" si="61"/>
        <v>165.77758754764062</v>
      </c>
      <c r="AH361" s="20">
        <f t="shared" si="62"/>
        <v>98.007489414168816</v>
      </c>
      <c r="AI361" s="20"/>
    </row>
    <row r="362" spans="1:36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3"/>
        <v>72.769724365599387</v>
      </c>
      <c r="O362" s="7">
        <f t="shared" si="57"/>
        <v>2278.25</v>
      </c>
      <c r="P362" s="7">
        <f t="shared" si="58"/>
        <v>2205.4802756344006</v>
      </c>
      <c r="Q362" s="7">
        <f t="shared" si="59"/>
        <v>1059.7302756344006</v>
      </c>
      <c r="R362" s="7">
        <f t="shared" si="60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64"/>
        <v>86641</v>
      </c>
      <c r="X362" s="104">
        <f t="shared" si="65"/>
        <v>99661</v>
      </c>
      <c r="Y362" s="104"/>
      <c r="Z362" s="7">
        <v>0</v>
      </c>
      <c r="AB362" s="2">
        <v>9852</v>
      </c>
      <c r="AC362" s="91">
        <v>65946</v>
      </c>
      <c r="AD362" s="104">
        <f t="shared" si="68"/>
        <v>99661</v>
      </c>
      <c r="AE362" s="64">
        <f t="shared" si="66"/>
        <v>0</v>
      </c>
      <c r="AF362" s="64">
        <f t="shared" si="67"/>
        <v>6.4255827254392398E-2</v>
      </c>
      <c r="AG362" s="20">
        <f t="shared" si="61"/>
        <v>0</v>
      </c>
      <c r="AH362" s="20">
        <f t="shared" si="62"/>
        <v>72.769724365599387</v>
      </c>
      <c r="AI362" s="20"/>
    </row>
    <row r="363" spans="1:36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3"/>
        <v>139.70661933568587</v>
      </c>
      <c r="O363" s="7">
        <f t="shared" si="57"/>
        <v>2164.75</v>
      </c>
      <c r="P363" s="7">
        <f t="shared" si="58"/>
        <v>2025.0433806643141</v>
      </c>
      <c r="Q363" s="7">
        <f t="shared" si="59"/>
        <v>985.12671399764736</v>
      </c>
      <c r="R363" s="7">
        <f t="shared" si="60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64"/>
        <v>79096</v>
      </c>
      <c r="X363" s="104">
        <f t="shared" si="65"/>
        <v>101167</v>
      </c>
      <c r="Y363" s="104"/>
      <c r="Z363" s="7">
        <v>0</v>
      </c>
      <c r="AB363" s="2">
        <v>19331</v>
      </c>
      <c r="AC363" s="91">
        <v>71169</v>
      </c>
      <c r="AD363" s="104">
        <f t="shared" si="68"/>
        <v>101167</v>
      </c>
      <c r="AE363" s="64">
        <f t="shared" si="66"/>
        <v>0</v>
      </c>
      <c r="AF363" s="64">
        <f t="shared" si="67"/>
        <v>0.12420206193719296</v>
      </c>
      <c r="AG363" s="20">
        <f t="shared" si="61"/>
        <v>0</v>
      </c>
      <c r="AH363" s="20">
        <f t="shared" si="62"/>
        <v>139.70661933568587</v>
      </c>
      <c r="AI363" s="20"/>
    </row>
    <row r="364" spans="1:36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69">+AH364+AG364</f>
        <v>0</v>
      </c>
      <c r="O364" s="7">
        <f t="shared" si="57"/>
        <v>3826.2499999999995</v>
      </c>
      <c r="P364" s="7">
        <f t="shared" si="58"/>
        <v>3826.2499999999995</v>
      </c>
      <c r="Q364" s="7">
        <f t="shared" si="59"/>
        <v>1710.583333333333</v>
      </c>
      <c r="R364" s="7">
        <f t="shared" si="60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si="64"/>
        <v>118210</v>
      </c>
      <c r="X364" s="104">
        <f t="shared" si="65"/>
        <v>136048</v>
      </c>
      <c r="Y364" s="104"/>
      <c r="Z364" s="7">
        <v>0</v>
      </c>
      <c r="AB364" s="104">
        <v>0</v>
      </c>
      <c r="AC364" s="91">
        <v>137937</v>
      </c>
      <c r="AD364" s="104">
        <f t="shared" si="68"/>
        <v>136048</v>
      </c>
      <c r="AE364" s="64">
        <f t="shared" si="66"/>
        <v>0</v>
      </c>
      <c r="AF364" s="64">
        <f t="shared" si="67"/>
        <v>0</v>
      </c>
      <c r="AG364" s="20">
        <f t="shared" si="61"/>
        <v>0</v>
      </c>
      <c r="AH364" s="20">
        <f t="shared" si="62"/>
        <v>0</v>
      </c>
      <c r="AI364" s="20"/>
    </row>
    <row r="365" spans="1:36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69"/>
        <v>280.41904159479884</v>
      </c>
      <c r="O365" s="7">
        <f t="shared" si="57"/>
        <v>3765.6666666666665</v>
      </c>
      <c r="P365" s="7">
        <f t="shared" si="58"/>
        <v>3485.2476250718678</v>
      </c>
      <c r="Q365" s="7">
        <f t="shared" si="59"/>
        <v>1625.7060576284539</v>
      </c>
      <c r="R365" s="7">
        <f t="shared" si="60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64"/>
        <v>123259</v>
      </c>
      <c r="X365" s="104">
        <f t="shared" si="65"/>
        <v>148075</v>
      </c>
      <c r="Y365" s="104"/>
      <c r="Z365" s="7">
        <v>29074</v>
      </c>
      <c r="AB365" s="2">
        <v>9913</v>
      </c>
      <c r="AC365" s="91">
        <v>146723</v>
      </c>
      <c r="AD365" s="104">
        <f t="shared" si="68"/>
        <v>148075</v>
      </c>
      <c r="AE365" s="64">
        <f t="shared" si="66"/>
        <v>0.18230325170559492</v>
      </c>
      <c r="AF365" s="64">
        <f t="shared" si="67"/>
        <v>4.3514772919128822E-2</v>
      </c>
      <c r="AG365" s="20">
        <f t="shared" si="61"/>
        <v>206.45843255658625</v>
      </c>
      <c r="AH365" s="20">
        <f t="shared" si="62"/>
        <v>73.96060903821261</v>
      </c>
      <c r="AI365" s="20"/>
      <c r="AJ365" s="64"/>
    </row>
    <row r="366" spans="1:36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69"/>
        <v>389.99047249675448</v>
      </c>
      <c r="O366" s="30">
        <f t="shared" si="57"/>
        <v>2574.5833333333335</v>
      </c>
      <c r="P366" s="30">
        <f t="shared" si="58"/>
        <v>2184.5928608365793</v>
      </c>
      <c r="Q366" s="30">
        <f t="shared" si="59"/>
        <v>1079.2211028970942</v>
      </c>
      <c r="R366" s="30">
        <f t="shared" si="60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7">
        <f t="shared" si="64"/>
        <v>85247</v>
      </c>
      <c r="X366" s="104">
        <f t="shared" si="65"/>
        <v>113424</v>
      </c>
      <c r="Y366" s="104"/>
      <c r="Z366" s="30">
        <v>38149</v>
      </c>
      <c r="AA366" s="30"/>
      <c r="AB366" s="173">
        <v>19181</v>
      </c>
      <c r="AC366" s="174">
        <v>99975</v>
      </c>
      <c r="AD366" s="172">
        <f t="shared" si="68"/>
        <v>113424</v>
      </c>
      <c r="AE366" s="175">
        <f t="shared" si="66"/>
        <v>0.35105856464116031</v>
      </c>
      <c r="AF366" s="175">
        <f t="shared" si="67"/>
        <v>0.10992073987868528</v>
      </c>
      <c r="AG366" s="176">
        <f t="shared" si="61"/>
        <v>256.71157539384853</v>
      </c>
      <c r="AH366" s="176">
        <f t="shared" si="62"/>
        <v>133.27889710290592</v>
      </c>
      <c r="AI366" s="176"/>
    </row>
    <row r="367" spans="1:36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69"/>
        <v>0</v>
      </c>
      <c r="O367" s="197">
        <f t="shared" si="57"/>
        <v>0</v>
      </c>
      <c r="P367" s="197">
        <f t="shared" si="58"/>
        <v>0</v>
      </c>
      <c r="Q367" s="197">
        <f t="shared" si="59"/>
        <v>0</v>
      </c>
      <c r="R367" s="197">
        <f t="shared" si="60"/>
        <v>0</v>
      </c>
      <c r="S367" s="197">
        <v>0</v>
      </c>
      <c r="T367" s="197">
        <v>0</v>
      </c>
      <c r="U367" s="197">
        <v>0</v>
      </c>
      <c r="V367" s="197">
        <v>0</v>
      </c>
      <c r="W367" s="7">
        <f t="shared" si="64"/>
        <v>0</v>
      </c>
      <c r="X367" s="104">
        <f t="shared" si="65"/>
        <v>0</v>
      </c>
      <c r="Y367" s="104"/>
      <c r="Z367" s="197">
        <v>0</v>
      </c>
      <c r="AA367" s="197"/>
      <c r="AB367" s="199">
        <v>0</v>
      </c>
      <c r="AC367" s="200">
        <v>0</v>
      </c>
      <c r="AD367" s="198">
        <f t="shared" si="68"/>
        <v>0</v>
      </c>
      <c r="AE367" s="201" t="e">
        <f t="shared" si="66"/>
        <v>#DIV/0!</v>
      </c>
      <c r="AF367" s="201"/>
      <c r="AG367" s="202"/>
      <c r="AH367" s="202"/>
      <c r="AI367" s="202"/>
    </row>
    <row r="368" spans="1:36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69"/>
        <v>329.01926366387261</v>
      </c>
      <c r="O368" s="7">
        <f t="shared" si="57"/>
        <v>3894.9166666666661</v>
      </c>
      <c r="P368" s="7">
        <f t="shared" si="58"/>
        <v>3565.8974030027939</v>
      </c>
      <c r="Q368" s="7">
        <f t="shared" si="59"/>
        <v>1519.3960134431318</v>
      </c>
      <c r="R368" s="7">
        <f t="shared" si="60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64"/>
        <v>113003</v>
      </c>
      <c r="X368" s="104">
        <f t="shared" si="65"/>
        <v>164483</v>
      </c>
      <c r="Y368" s="104"/>
      <c r="Z368" s="7">
        <v>9226</v>
      </c>
      <c r="AB368" s="2">
        <v>38145</v>
      </c>
      <c r="AC368" s="91">
        <v>157364</v>
      </c>
      <c r="AD368" s="104">
        <f t="shared" si="68"/>
        <v>164483</v>
      </c>
      <c r="AE368" s="64">
        <f t="shared" si="66"/>
        <v>5.3938130703337486E-2</v>
      </c>
      <c r="AF368" s="64">
        <f t="shared" si="67"/>
        <v>0.15074050205796344</v>
      </c>
      <c r="AG368" s="20">
        <f t="shared" si="61"/>
        <v>59.331943773671235</v>
      </c>
      <c r="AH368" s="20">
        <f t="shared" si="62"/>
        <v>269.68731989020137</v>
      </c>
      <c r="AI368" s="20"/>
    </row>
    <row r="369" spans="1:41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69"/>
        <v>181.06833453190984</v>
      </c>
      <c r="O369" s="7">
        <f t="shared" si="57"/>
        <v>3848.5000000000005</v>
      </c>
      <c r="P369" s="7">
        <f t="shared" si="58"/>
        <v>3667.4316654680906</v>
      </c>
      <c r="Q369" s="7">
        <f t="shared" si="59"/>
        <v>1554.4316654680906</v>
      </c>
      <c r="R369" s="7">
        <f t="shared" si="60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64"/>
        <v>120172</v>
      </c>
      <c r="X369" s="104">
        <f t="shared" si="65"/>
        <v>162693</v>
      </c>
      <c r="Y369" s="104"/>
      <c r="Z369" s="7">
        <v>0</v>
      </c>
      <c r="AB369" s="2">
        <v>26114</v>
      </c>
      <c r="AC369" s="91">
        <v>155727</v>
      </c>
      <c r="AD369" s="104">
        <f t="shared" si="68"/>
        <v>162693</v>
      </c>
      <c r="AE369" s="64">
        <f t="shared" si="66"/>
        <v>0</v>
      </c>
      <c r="AF369" s="64">
        <f t="shared" si="67"/>
        <v>0.10433208558450578</v>
      </c>
      <c r="AG369" s="20">
        <f t="shared" si="61"/>
        <v>0</v>
      </c>
      <c r="AH369" s="20">
        <f t="shared" si="62"/>
        <v>181.06833453190984</v>
      </c>
      <c r="AI369" s="20"/>
      <c r="AO369" s="7"/>
    </row>
    <row r="370" spans="1:41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0">+AH370+AG370</f>
        <v>0</v>
      </c>
      <c r="O370" s="7">
        <f t="shared" si="57"/>
        <v>0</v>
      </c>
      <c r="P370" s="7">
        <f t="shared" si="58"/>
        <v>0</v>
      </c>
      <c r="Q370" s="7">
        <f t="shared" si="59"/>
        <v>0</v>
      </c>
      <c r="R370" s="7">
        <f t="shared" si="60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64"/>
        <v>0</v>
      </c>
      <c r="X370" s="104">
        <f t="shared" si="65"/>
        <v>0</v>
      </c>
      <c r="Y370" s="104"/>
      <c r="Z370" s="7">
        <v>0</v>
      </c>
      <c r="AB370" s="2">
        <v>0</v>
      </c>
      <c r="AC370" s="91">
        <v>0</v>
      </c>
      <c r="AD370" s="104">
        <f t="shared" si="68"/>
        <v>0</v>
      </c>
      <c r="AE370" s="64" t="e">
        <f t="shared" si="66"/>
        <v>#DIV/0!</v>
      </c>
      <c r="AF370" s="64"/>
      <c r="AG370" s="20"/>
      <c r="AH370" s="20"/>
      <c r="AI370" s="20"/>
      <c r="AO370"/>
    </row>
    <row r="371" spans="1:41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1">+AH371+AG371</f>
        <v>5.8627135110709441</v>
      </c>
      <c r="O371" s="7">
        <f t="shared" ref="O371:O377" si="72">+B371+C371+D371+F371+I371+K371+J371</f>
        <v>3985.1666666666661</v>
      </c>
      <c r="P371" s="7">
        <f t="shared" ref="P371:P377" si="73">+B371+C371+D371+F371+J371+Q371+R371</f>
        <v>3979.3039531555951</v>
      </c>
      <c r="Q371" s="7">
        <f t="shared" ref="Q371:Q377" si="74">+I371-AH371</f>
        <v>1675.333333333333</v>
      </c>
      <c r="R371" s="7">
        <f t="shared" ref="R371:R377" si="75">+K371-AG371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si="64"/>
        <v>123336</v>
      </c>
      <c r="X371" s="104">
        <f t="shared" si="65"/>
        <v>134660</v>
      </c>
      <c r="Y371" s="104"/>
      <c r="Z371" s="7">
        <v>681</v>
      </c>
      <c r="AB371" s="2">
        <v>0</v>
      </c>
      <c r="AC371" s="91">
        <v>123928</v>
      </c>
      <c r="AD371" s="104">
        <f t="shared" si="68"/>
        <v>134660</v>
      </c>
      <c r="AE371" s="64">
        <f t="shared" si="66"/>
        <v>5.0555161061261377E-3</v>
      </c>
      <c r="AF371" s="64">
        <f t="shared" si="67"/>
        <v>0</v>
      </c>
      <c r="AG371" s="20">
        <f t="shared" ref="AG371:AG374" si="76">+AE371*K371</f>
        <v>5.8627135110709441</v>
      </c>
      <c r="AH371" s="20">
        <f t="shared" ref="AH371:AH374" si="77">+AF371*I371</f>
        <v>0</v>
      </c>
      <c r="AI371" s="20"/>
      <c r="AO371"/>
    </row>
    <row r="372" spans="1:41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1"/>
        <v>7.9321172156043724</v>
      </c>
      <c r="O372" s="7">
        <f t="shared" si="72"/>
        <v>4219.833333333333</v>
      </c>
      <c r="P372" s="7">
        <f t="shared" si="73"/>
        <v>4211.9012161177288</v>
      </c>
      <c r="Q372" s="7">
        <f>+I372-AH372</f>
        <v>1987.7168536086056</v>
      </c>
      <c r="R372" s="7">
        <f t="shared" si="75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64"/>
        <v>139393</v>
      </c>
      <c r="X372" s="104">
        <f t="shared" si="65"/>
        <v>147684</v>
      </c>
      <c r="Y372" s="104"/>
      <c r="Z372" s="7">
        <v>209</v>
      </c>
      <c r="AB372" s="2">
        <v>697</v>
      </c>
      <c r="AC372" s="91">
        <v>126509</v>
      </c>
      <c r="AD372" s="104">
        <f t="shared" si="68"/>
        <v>147684</v>
      </c>
      <c r="AE372" s="64">
        <f t="shared" si="66"/>
        <v>1.5198918654008807E-3</v>
      </c>
      <c r="AF372" s="64">
        <f t="shared" si="67"/>
        <v>3.0676985997129006E-3</v>
      </c>
      <c r="AG372" s="20">
        <f t="shared" si="76"/>
        <v>1.815637490876802</v>
      </c>
      <c r="AH372" s="20">
        <f t="shared" si="77"/>
        <v>6.1164797247275704</v>
      </c>
      <c r="AI372" s="20"/>
      <c r="AO372"/>
    </row>
    <row r="373" spans="1:41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1"/>
        <v>285.71028574081254</v>
      </c>
      <c r="O373" s="7">
        <f t="shared" si="72"/>
        <v>4204.0833333333339</v>
      </c>
      <c r="P373" s="7">
        <f t="shared" si="73"/>
        <v>3918.3730475925208</v>
      </c>
      <c r="Q373" s="7">
        <f t="shared" si="74"/>
        <v>2046.3929661718544</v>
      </c>
      <c r="R373" s="7">
        <f t="shared" si="75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64"/>
        <v>155915</v>
      </c>
      <c r="X373" s="104">
        <f t="shared" si="65"/>
        <v>173938</v>
      </c>
      <c r="Y373" s="104"/>
      <c r="Z373" s="7">
        <v>27838</v>
      </c>
      <c r="AB373" s="2">
        <v>8925</v>
      </c>
      <c r="AC373" s="91">
        <v>127527</v>
      </c>
      <c r="AD373" s="104">
        <f t="shared" si="68"/>
        <v>173938</v>
      </c>
      <c r="AE373" s="64">
        <f t="shared" si="66"/>
        <v>0.20082774628117969</v>
      </c>
      <c r="AF373" s="64">
        <f t="shared" si="67"/>
        <v>3.3352401430394737E-2</v>
      </c>
      <c r="AG373" s="20">
        <f t="shared" si="76"/>
        <v>215.10325191266691</v>
      </c>
      <c r="AH373" s="20">
        <f t="shared" si="77"/>
        <v>70.60703382814566</v>
      </c>
      <c r="AI373" s="20"/>
      <c r="AO373"/>
    </row>
    <row r="374" spans="1:41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1"/>
        <v>547.88789124705465</v>
      </c>
      <c r="O374" s="7">
        <f t="shared" si="72"/>
        <v>4224.8333333333339</v>
      </c>
      <c r="P374" s="7">
        <f t="shared" si="73"/>
        <v>3676.9454420862789</v>
      </c>
      <c r="Q374" s="7">
        <f t="shared" si="74"/>
        <v>1827.1569131987103</v>
      </c>
      <c r="R374" s="7">
        <f t="shared" si="75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64"/>
        <v>135984</v>
      </c>
      <c r="X374" s="104">
        <f t="shared" si="65"/>
        <v>182336</v>
      </c>
      <c r="Y374" s="104"/>
      <c r="Z374" s="7">
        <v>35931</v>
      </c>
      <c r="AB374" s="2">
        <v>36862</v>
      </c>
      <c r="AC374" s="91">
        <v>134660</v>
      </c>
      <c r="AD374" s="104">
        <f t="shared" si="68"/>
        <v>182336</v>
      </c>
      <c r="AE374" s="64">
        <f t="shared" si="66"/>
        <v>0.24548136046338928</v>
      </c>
      <c r="AF374" s="64">
        <f t="shared" si="67"/>
        <v>0.13140740171990173</v>
      </c>
      <c r="AG374" s="20">
        <f t="shared" si="76"/>
        <v>271.46147111243135</v>
      </c>
      <c r="AH374" s="20">
        <f t="shared" si="77"/>
        <v>276.4264201346233</v>
      </c>
      <c r="AI374" s="20"/>
      <c r="AO374"/>
    </row>
    <row r="375" spans="1:41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1"/>
        <v>190.81340014112675</v>
      </c>
      <c r="O375" s="7">
        <f>+B375+C375+D375+F375+I375+K375+J375</f>
        <v>3975.0000000000005</v>
      </c>
      <c r="P375" s="7">
        <f t="shared" si="73"/>
        <v>3784.1865998588737</v>
      </c>
      <c r="Q375" s="7">
        <f t="shared" si="74"/>
        <v>1592.2494567370859</v>
      </c>
      <c r="R375" s="7">
        <f t="shared" si="75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64"/>
        <v>110356</v>
      </c>
      <c r="X375" s="104">
        <f t="shared" si="65"/>
        <v>143853</v>
      </c>
      <c r="Y375" s="104"/>
      <c r="Z375" s="7">
        <v>3613</v>
      </c>
      <c r="AB375" s="2">
        <v>20409</v>
      </c>
      <c r="AC375" s="91">
        <v>120557</v>
      </c>
      <c r="AD375" s="104">
        <f t="shared" si="68"/>
        <v>143853</v>
      </c>
      <c r="AE375" s="64">
        <f t="shared" ref="AE375:AE412" si="78">+(Z375/AC375*0.92)</f>
        <v>2.7571688081156634E-2</v>
      </c>
      <c r="AF375" s="64">
        <f t="shared" ref="AF375:AF412" si="79">+(AB375/AD375*0.65)</f>
        <v>9.22180976413422E-2</v>
      </c>
      <c r="AG375" s="20">
        <f t="shared" ref="AG375:AG409" si="80">+AE375*K375</f>
        <v>29.062856878212525</v>
      </c>
      <c r="AH375" s="20">
        <f t="shared" ref="AH375:AH409" si="81">+AF375*I375</f>
        <v>161.75054326291422</v>
      </c>
      <c r="AI375" s="20"/>
      <c r="AO375" s="7"/>
    </row>
    <row r="376" spans="1:41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1"/>
        <v>9.181928953985258</v>
      </c>
      <c r="O376" s="7">
        <f t="shared" si="72"/>
        <v>3399.4166666666665</v>
      </c>
      <c r="P376" s="7">
        <f t="shared" si="73"/>
        <v>3390.2347377126812</v>
      </c>
      <c r="Q376" s="7">
        <f t="shared" si="74"/>
        <v>1584.5936245384355</v>
      </c>
      <c r="R376" s="7">
        <f t="shared" si="75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64"/>
        <v>119359</v>
      </c>
      <c r="X376" s="104">
        <f t="shared" si="65"/>
        <v>129090</v>
      </c>
      <c r="Y376" s="104"/>
      <c r="Z376" s="7">
        <v>759</v>
      </c>
      <c r="AB376" s="2">
        <v>374</v>
      </c>
      <c r="AC376" s="91">
        <v>83476</v>
      </c>
      <c r="AD376" s="104">
        <f t="shared" si="68"/>
        <v>129090</v>
      </c>
      <c r="AE376" s="64">
        <f t="shared" si="78"/>
        <v>8.3650390531410223E-3</v>
      </c>
      <c r="AF376" s="64">
        <f t="shared" si="79"/>
        <v>1.8831822759315206E-3</v>
      </c>
      <c r="AG376" s="20">
        <f t="shared" si="80"/>
        <v>6.1922201590876416</v>
      </c>
      <c r="AH376" s="20">
        <f t="shared" si="81"/>
        <v>2.989708794897616</v>
      </c>
      <c r="AI376" s="20"/>
    </row>
    <row r="377" spans="1:41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1"/>
        <v>#DIV/0!</v>
      </c>
      <c r="O377" s="7">
        <f t="shared" si="72"/>
        <v>0</v>
      </c>
      <c r="P377" s="7" t="e">
        <f t="shared" si="73"/>
        <v>#DIV/0!</v>
      </c>
      <c r="Q377" s="7" t="e">
        <f t="shared" si="74"/>
        <v>#DIV/0!</v>
      </c>
      <c r="R377" s="7" t="e">
        <f t="shared" si="75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64"/>
        <v>0</v>
      </c>
      <c r="X377" s="104">
        <f t="shared" si="65"/>
        <v>0</v>
      </c>
      <c r="Y377" s="104"/>
      <c r="Z377" s="7">
        <v>0</v>
      </c>
      <c r="AB377" s="2"/>
      <c r="AC377" s="91">
        <v>0</v>
      </c>
      <c r="AD377" s="104">
        <f t="shared" si="68"/>
        <v>0</v>
      </c>
      <c r="AE377" s="64" t="e">
        <f t="shared" si="78"/>
        <v>#DIV/0!</v>
      </c>
      <c r="AF377" s="64" t="e">
        <f t="shared" si="79"/>
        <v>#DIV/0!</v>
      </c>
      <c r="AG377" s="20" t="e">
        <f t="shared" si="80"/>
        <v>#DIV/0!</v>
      </c>
      <c r="AH377" s="20" t="e">
        <f t="shared" si="81"/>
        <v>#DIV/0!</v>
      </c>
      <c r="AI377" s="20"/>
    </row>
    <row r="378" spans="1:41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2">+AH378+AG378</f>
        <v>21.705092772623221</v>
      </c>
      <c r="O378" s="7">
        <f t="shared" ref="O378:O383" si="83">+B378+C378+D378+F378+I378+K378+J378</f>
        <v>4015.75</v>
      </c>
      <c r="P378" s="7">
        <f t="shared" ref="P378:P383" si="84">+B378+C378+D378+F378+J378+Q378+R378</f>
        <v>3994.0449072273768</v>
      </c>
      <c r="Q378" s="7">
        <f t="shared" ref="Q378:Q383" si="85">+I378-AH378</f>
        <v>1873.2353795143804</v>
      </c>
      <c r="R378" s="7">
        <f t="shared" ref="R378:R383" si="86">+K378-AG378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64"/>
        <v>138180</v>
      </c>
      <c r="X378" s="104">
        <f t="shared" si="65"/>
        <v>146301</v>
      </c>
      <c r="Y378" s="104"/>
      <c r="Z378" s="7">
        <v>1581</v>
      </c>
      <c r="AB378" s="2">
        <v>1187</v>
      </c>
      <c r="AC378" s="91">
        <v>129067</v>
      </c>
      <c r="AD378" s="104">
        <f t="shared" si="68"/>
        <v>146301</v>
      </c>
      <c r="AE378" s="64">
        <f t="shared" si="78"/>
        <v>1.1269495688285929E-2</v>
      </c>
      <c r="AF378" s="64">
        <f t="shared" si="79"/>
        <v>5.2737165159499931E-3</v>
      </c>
      <c r="AG378" s="20">
        <f t="shared" si="80"/>
        <v>11.773805620336724</v>
      </c>
      <c r="AH378" s="20">
        <f t="shared" si="81"/>
        <v>9.9312871522864974</v>
      </c>
      <c r="AI378" s="20"/>
      <c r="AJ378" s="20"/>
    </row>
    <row r="379" spans="1:41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2"/>
        <v>94.602865690207921</v>
      </c>
      <c r="O379" s="7">
        <f t="shared" si="83"/>
        <v>4271.416666666667</v>
      </c>
      <c r="P379" s="7">
        <f t="shared" si="84"/>
        <v>4176.8138009764589</v>
      </c>
      <c r="Q379" s="7">
        <f t="shared" si="85"/>
        <v>1863.3803141767883</v>
      </c>
      <c r="R379" s="7">
        <f t="shared" si="86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64"/>
        <v>123507</v>
      </c>
      <c r="X379" s="104">
        <f t="shared" si="65"/>
        <v>137664</v>
      </c>
      <c r="Y379" s="104"/>
      <c r="Z379" s="7">
        <v>10300</v>
      </c>
      <c r="AB379" s="2">
        <v>1247</v>
      </c>
      <c r="AC379" s="91">
        <v>134883</v>
      </c>
      <c r="AD379" s="104">
        <f t="shared" si="68"/>
        <v>137664</v>
      </c>
      <c r="AE379" s="64">
        <f t="shared" si="78"/>
        <v>7.0253478941008141E-2</v>
      </c>
      <c r="AF379" s="64">
        <f t="shared" si="79"/>
        <v>5.8878864481636452E-3</v>
      </c>
      <c r="AG379" s="20">
        <f t="shared" si="80"/>
        <v>83.566513200329183</v>
      </c>
      <c r="AH379" s="20">
        <f t="shared" si="81"/>
        <v>11.036352489878741</v>
      </c>
      <c r="AI379" s="20"/>
      <c r="AJ379" s="20"/>
      <c r="AL379" s="2"/>
    </row>
    <row r="380" spans="1:41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2"/>
        <v>573.72255953846184</v>
      </c>
      <c r="O380" s="7">
        <f t="shared" si="83"/>
        <v>4187.5833333333339</v>
      </c>
      <c r="P380" s="7">
        <f>+B380+C380+D380+F380+J380+Q380+R380</f>
        <v>3613.8607737948714</v>
      </c>
      <c r="Q380" s="7">
        <f t="shared" si="85"/>
        <v>1739.4579955546537</v>
      </c>
      <c r="R380" s="7">
        <f t="shared" si="86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64"/>
        <v>131335</v>
      </c>
      <c r="X380" s="104">
        <f t="shared" si="65"/>
        <v>167516</v>
      </c>
      <c r="Y380" s="104"/>
      <c r="Z380" s="7">
        <v>39523</v>
      </c>
      <c r="AB380" s="2">
        <v>29193</v>
      </c>
      <c r="AC380" s="91">
        <v>121337</v>
      </c>
      <c r="AD380" s="104">
        <f t="shared" si="68"/>
        <v>167516</v>
      </c>
      <c r="AE380" s="64">
        <f t="shared" si="78"/>
        <v>0.2996708341231446</v>
      </c>
      <c r="AF380" s="64">
        <f t="shared" si="79"/>
        <v>0.11327544831538482</v>
      </c>
      <c r="AG380" s="20">
        <f t="shared" si="80"/>
        <v>351.5138884264486</v>
      </c>
      <c r="AH380" s="20">
        <f t="shared" si="81"/>
        <v>222.20867111201323</v>
      </c>
      <c r="AI380" s="20"/>
      <c r="AJ380" s="20"/>
      <c r="AL380" s="2"/>
    </row>
    <row r="381" spans="1:41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2"/>
        <v>163.20646127254653</v>
      </c>
      <c r="O381" s="7">
        <f t="shared" si="83"/>
        <v>4188.25</v>
      </c>
      <c r="P381" s="7">
        <f t="shared" si="84"/>
        <v>4025.0435387274529</v>
      </c>
      <c r="Q381" s="7">
        <f t="shared" si="85"/>
        <v>1475.4351565927122</v>
      </c>
      <c r="R381" s="7">
        <f t="shared" si="86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64"/>
        <v>120512</v>
      </c>
      <c r="X381" s="104">
        <f t="shared" si="65"/>
        <v>150454</v>
      </c>
      <c r="Y381" s="104"/>
      <c r="Z381" s="7">
        <v>1587</v>
      </c>
      <c r="AB381" s="2">
        <v>20948</v>
      </c>
      <c r="AC381" s="91">
        <v>106486</v>
      </c>
      <c r="AD381" s="104">
        <f t="shared" si="68"/>
        <v>150454</v>
      </c>
      <c r="AE381" s="64">
        <f t="shared" si="78"/>
        <v>1.3711098172529723E-2</v>
      </c>
      <c r="AF381" s="64">
        <f t="shared" si="79"/>
        <v>9.0500751060124701E-2</v>
      </c>
      <c r="AG381" s="20">
        <f t="shared" si="80"/>
        <v>16.391617865259285</v>
      </c>
      <c r="AH381" s="20">
        <f t="shared" si="81"/>
        <v>146.81484340728724</v>
      </c>
      <c r="AI381" s="20"/>
      <c r="AJ381" s="20"/>
      <c r="AL381" s="2"/>
    </row>
    <row r="382" spans="1:41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2"/>
        <v>10.062206652141146</v>
      </c>
      <c r="O382" s="7">
        <f t="shared" si="83"/>
        <v>4084.25</v>
      </c>
      <c r="P382" s="7">
        <f t="shared" si="84"/>
        <v>4074.187793347859</v>
      </c>
      <c r="Q382" s="7">
        <f t="shared" si="85"/>
        <v>1331.1970870840066</v>
      </c>
      <c r="R382" s="7">
        <f t="shared" si="86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64"/>
        <v>104974</v>
      </c>
      <c r="X382" s="104">
        <f t="shared" si="65"/>
        <v>116979</v>
      </c>
      <c r="Y382" s="104"/>
      <c r="Z382" s="7">
        <v>694</v>
      </c>
      <c r="AB382" s="2">
        <v>423</v>
      </c>
      <c r="AC382" s="91">
        <v>112045</v>
      </c>
      <c r="AD382" s="104">
        <f>+X382</f>
        <v>116979</v>
      </c>
      <c r="AE382" s="64">
        <f t="shared" si="78"/>
        <v>5.698424740059797E-3</v>
      </c>
      <c r="AF382" s="64">
        <f t="shared" si="79"/>
        <v>2.3504218705921575E-3</v>
      </c>
      <c r="AG382" s="20">
        <f t="shared" si="80"/>
        <v>6.9259604028143444</v>
      </c>
      <c r="AH382" s="20">
        <f t="shared" si="81"/>
        <v>3.1362462493268026</v>
      </c>
      <c r="AI382" s="20"/>
      <c r="AJ382" s="20"/>
      <c r="AL382" s="2"/>
    </row>
    <row r="383" spans="1:41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2"/>
        <v>3.3838195569386933</v>
      </c>
      <c r="O383" s="7">
        <f t="shared" si="83"/>
        <v>4041.583333333333</v>
      </c>
      <c r="P383" s="7">
        <f t="shared" si="84"/>
        <v>4038.1995137763943</v>
      </c>
      <c r="Q383" s="7">
        <f t="shared" si="85"/>
        <v>1359.486875064784</v>
      </c>
      <c r="R383" s="7">
        <f t="shared" si="86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64"/>
        <v>101156</v>
      </c>
      <c r="X383" s="104">
        <f t="shared" si="65"/>
        <v>109338</v>
      </c>
      <c r="Y383" s="104"/>
      <c r="Z383" s="7">
        <v>101</v>
      </c>
      <c r="AB383" s="2">
        <v>259</v>
      </c>
      <c r="AC383" s="91">
        <v>90097</v>
      </c>
      <c r="AD383" s="104">
        <f t="shared" si="68"/>
        <v>109338</v>
      </c>
      <c r="AE383" s="64">
        <f t="shared" si="78"/>
        <v>1.031332896766818E-3</v>
      </c>
      <c r="AF383" s="64">
        <f t="shared" si="79"/>
        <v>1.5397208655728108E-3</v>
      </c>
      <c r="AG383" s="20">
        <f t="shared" si="80"/>
        <v>1.2873612883891803</v>
      </c>
      <c r="AH383" s="20">
        <f t="shared" si="81"/>
        <v>2.096458268549513</v>
      </c>
      <c r="AI383" s="20"/>
      <c r="AJ383" s="20"/>
      <c r="AL383" s="2"/>
    </row>
    <row r="384" spans="1:41">
      <c r="A384" s="28">
        <v>46040</v>
      </c>
      <c r="N384" s="108" t="e">
        <f t="shared" si="82"/>
        <v>#DIV/0!</v>
      </c>
      <c r="O384" s="7">
        <f t="shared" ref="O384:O415" si="87">+B384+C384+D384+F384+I384+K384+J384</f>
        <v>0</v>
      </c>
      <c r="P384" s="7" t="e">
        <f t="shared" ref="P384:P411" si="88">+B384+C384+D384+F384+J384+Q384+R384</f>
        <v>#DIV/0!</v>
      </c>
      <c r="Q384" s="7" t="e">
        <f t="shared" ref="Q384:Q411" si="89">+I384-AH384</f>
        <v>#DIV/0!</v>
      </c>
      <c r="R384" s="7" t="e">
        <f t="shared" ref="R384:R411" si="90">+K384-AG384</f>
        <v>#DIV/0!</v>
      </c>
      <c r="T384" s="7"/>
      <c r="V384" s="7"/>
      <c r="W384" s="7">
        <f t="shared" si="64"/>
        <v>0</v>
      </c>
      <c r="X384" s="104">
        <f t="shared" si="65"/>
        <v>0</v>
      </c>
      <c r="Y384" s="104"/>
      <c r="AB384" s="2"/>
      <c r="AC384" s="91"/>
      <c r="AD384" s="104"/>
      <c r="AE384" s="64" t="e">
        <f t="shared" si="78"/>
        <v>#DIV/0!</v>
      </c>
      <c r="AF384" s="64" t="e">
        <f t="shared" si="79"/>
        <v>#DIV/0!</v>
      </c>
      <c r="AG384" s="20" t="e">
        <f t="shared" si="80"/>
        <v>#DIV/0!</v>
      </c>
      <c r="AH384" s="20" t="e">
        <f t="shared" si="81"/>
        <v>#DIV/0!</v>
      </c>
      <c r="AL384" s="2"/>
    </row>
    <row r="385" spans="1:35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1">+AH385+AG385</f>
        <v>0</v>
      </c>
      <c r="O385" s="7">
        <f t="shared" si="87"/>
        <v>3709.6666666666665</v>
      </c>
      <c r="P385" s="7">
        <f t="shared" si="88"/>
        <v>3709.6666666666665</v>
      </c>
      <c r="Q385" s="7">
        <f t="shared" si="89"/>
        <v>1571.3333333333333</v>
      </c>
      <c r="R385" s="7">
        <f t="shared" si="90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64"/>
        <v>121889</v>
      </c>
      <c r="X385" s="104">
        <f t="shared" si="65"/>
        <v>128127</v>
      </c>
      <c r="Y385" s="104"/>
      <c r="AB385" s="2"/>
      <c r="AC385" s="91">
        <v>116390</v>
      </c>
      <c r="AD385" s="104">
        <f t="shared" si="68"/>
        <v>128127</v>
      </c>
      <c r="AE385" s="64">
        <f t="shared" si="78"/>
        <v>0</v>
      </c>
      <c r="AF385" s="64">
        <f t="shared" si="79"/>
        <v>0</v>
      </c>
      <c r="AG385" s="20">
        <f t="shared" si="80"/>
        <v>0</v>
      </c>
      <c r="AH385" s="20">
        <f t="shared" si="81"/>
        <v>0</v>
      </c>
      <c r="AI385" s="20"/>
    </row>
    <row r="386" spans="1:35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1"/>
        <v>44.777133818039957</v>
      </c>
      <c r="O386" s="7">
        <f t="shared" si="87"/>
        <v>4002.25</v>
      </c>
      <c r="P386" s="7">
        <f t="shared" si="88"/>
        <v>3957.4728661819599</v>
      </c>
      <c r="Q386" s="7">
        <f t="shared" si="89"/>
        <v>1526.9166666666665</v>
      </c>
      <c r="R386" s="7">
        <f t="shared" si="90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64"/>
        <v>116025</v>
      </c>
      <c r="X386" s="104">
        <f t="shared" si="65"/>
        <v>131650</v>
      </c>
      <c r="Y386" s="104"/>
      <c r="Z386" s="7">
        <v>5800</v>
      </c>
      <c r="AB386" s="2"/>
      <c r="AC386" s="91">
        <v>124749</v>
      </c>
      <c r="AD386" s="104">
        <f t="shared" si="68"/>
        <v>131650</v>
      </c>
      <c r="AE386" s="64">
        <f t="shared" si="78"/>
        <v>4.2773889971061893E-2</v>
      </c>
      <c r="AF386" s="64">
        <f t="shared" si="79"/>
        <v>0</v>
      </c>
      <c r="AG386" s="20">
        <f t="shared" si="80"/>
        <v>44.777133818039957</v>
      </c>
      <c r="AH386" s="20">
        <f t="shared" si="81"/>
        <v>0</v>
      </c>
      <c r="AI386" s="20"/>
    </row>
    <row r="387" spans="1:35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1"/>
        <v>191.21106029032566</v>
      </c>
      <c r="O387" s="7">
        <f>+B387+C387+D387+F387+I387+K387+J387</f>
        <v>4010.416666666667</v>
      </c>
      <c r="P387" s="7">
        <f t="shared" si="88"/>
        <v>3819.2056063763412</v>
      </c>
      <c r="Q387" s="7">
        <f t="shared" si="89"/>
        <v>1460.6281198172014</v>
      </c>
      <c r="R387" s="7">
        <f t="shared" si="90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ref="W387:W450" si="92">+V387-U387-S387+AA387</f>
        <v>113024</v>
      </c>
      <c r="X387" s="104">
        <f t="shared" ref="X387:X450" si="93">+V387+AB387+AA387</f>
        <v>137273</v>
      </c>
      <c r="Y387" s="104"/>
      <c r="Z387" s="7">
        <v>14999</v>
      </c>
      <c r="AB387" s="2">
        <v>10374</v>
      </c>
      <c r="AC387" s="91">
        <v>140368</v>
      </c>
      <c r="AD387" s="104">
        <f>+X387</f>
        <v>137273</v>
      </c>
      <c r="AE387" s="64">
        <f t="shared" si="78"/>
        <v>9.8306451612903231E-2</v>
      </c>
      <c r="AF387" s="64">
        <f t="shared" si="79"/>
        <v>4.9121822936775625E-2</v>
      </c>
      <c r="AG387" s="20">
        <f t="shared" si="80"/>
        <v>115.75584677419356</v>
      </c>
      <c r="AH387" s="20">
        <f t="shared" si="81"/>
        <v>75.455213516132105</v>
      </c>
      <c r="AI387" s="20"/>
    </row>
    <row r="388" spans="1:35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1"/>
        <v>308.14955442240193</v>
      </c>
      <c r="O388" s="7">
        <f t="shared" si="87"/>
        <v>4018.3333333333326</v>
      </c>
      <c r="P388" s="7">
        <f t="shared" si="88"/>
        <v>3710.1837789109313</v>
      </c>
      <c r="Q388" s="7">
        <f t="shared" si="89"/>
        <v>1528.9532487780739</v>
      </c>
      <c r="R388" s="7">
        <f t="shared" si="90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92"/>
        <v>114559</v>
      </c>
      <c r="X388" s="104">
        <f t="shared" si="93"/>
        <v>132714</v>
      </c>
      <c r="Y388" s="104"/>
      <c r="Z388" s="7">
        <v>29306</v>
      </c>
      <c r="AB388" s="2">
        <v>9775</v>
      </c>
      <c r="AC388" s="91">
        <v>138896</v>
      </c>
      <c r="AD388" s="104">
        <f t="shared" si="68"/>
        <v>132714</v>
      </c>
      <c r="AE388" s="64">
        <f t="shared" si="78"/>
        <v>0.1941130054141228</v>
      </c>
      <c r="AF388" s="64">
        <f t="shared" si="79"/>
        <v>4.7875506728755068E-2</v>
      </c>
      <c r="AG388" s="20">
        <f t="shared" si="80"/>
        <v>231.26946986714276</v>
      </c>
      <c r="AH388" s="20">
        <f t="shared" si="81"/>
        <v>76.88008455525916</v>
      </c>
      <c r="AI388" s="20"/>
    </row>
    <row r="389" spans="1:35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1"/>
        <v>471.57261832909575</v>
      </c>
      <c r="O389" s="7">
        <f t="shared" si="87"/>
        <v>4020.7500000000005</v>
      </c>
      <c r="P389" s="7">
        <f t="shared" si="88"/>
        <v>3549.1773816709047</v>
      </c>
      <c r="Q389" s="7">
        <f t="shared" si="89"/>
        <v>1465.1184311467985</v>
      </c>
      <c r="R389" s="7">
        <f t="shared" si="90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92"/>
        <v>120807</v>
      </c>
      <c r="X389" s="104">
        <f t="shared" si="93"/>
        <v>168501</v>
      </c>
      <c r="Y389" s="104"/>
      <c r="Z389" s="7">
        <v>27425</v>
      </c>
      <c r="AB389" s="2">
        <v>38714</v>
      </c>
      <c r="AC389" s="91">
        <v>142433</v>
      </c>
      <c r="AD389" s="104">
        <f t="shared" si="68"/>
        <v>168501</v>
      </c>
      <c r="AE389" s="64">
        <f t="shared" si="78"/>
        <v>0.17714293738108447</v>
      </c>
      <c r="AF389" s="64">
        <f t="shared" si="79"/>
        <v>0.14934095346615156</v>
      </c>
      <c r="AG389" s="20">
        <f t="shared" si="80"/>
        <v>214.35771614256066</v>
      </c>
      <c r="AH389" s="20">
        <f t="shared" si="81"/>
        <v>257.21490218653508</v>
      </c>
      <c r="AI389" s="20"/>
    </row>
    <row r="390" spans="1:35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1"/>
        <v>63.825439243760485</v>
      </c>
      <c r="O390" s="7">
        <f t="shared" si="87"/>
        <v>3871.4166666666674</v>
      </c>
      <c r="P390" s="7">
        <f t="shared" si="88"/>
        <v>3807.5912274229067</v>
      </c>
      <c r="Q390" s="7">
        <f t="shared" si="89"/>
        <v>1748.5912274229065</v>
      </c>
      <c r="R390" s="7">
        <f t="shared" si="90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92"/>
        <v>124176</v>
      </c>
      <c r="X390" s="104">
        <f t="shared" si="93"/>
        <v>140943</v>
      </c>
      <c r="Y390" s="104"/>
      <c r="AB390" s="2">
        <v>7636</v>
      </c>
      <c r="AC390" s="91">
        <v>94887</v>
      </c>
      <c r="AD390" s="104">
        <f t="shared" si="68"/>
        <v>140943</v>
      </c>
      <c r="AE390" s="64">
        <f t="shared" si="78"/>
        <v>0</v>
      </c>
      <c r="AF390" s="64">
        <f t="shared" si="79"/>
        <v>3.5215654555387638E-2</v>
      </c>
      <c r="AG390" s="20">
        <f t="shared" si="80"/>
        <v>0</v>
      </c>
      <c r="AH390" s="20">
        <f t="shared" si="81"/>
        <v>63.825439243760485</v>
      </c>
      <c r="AI390" s="20"/>
    </row>
    <row r="391" spans="1:35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1"/>
        <v>#DIV/0!</v>
      </c>
      <c r="O391" s="7">
        <f t="shared" si="87"/>
        <v>0</v>
      </c>
      <c r="P391" s="7" t="e">
        <f t="shared" si="88"/>
        <v>#DIV/0!</v>
      </c>
      <c r="Q391" s="7" t="e">
        <f t="shared" si="89"/>
        <v>#DIV/0!</v>
      </c>
      <c r="R391" s="7" t="e">
        <f t="shared" si="90"/>
        <v>#DIV/0!</v>
      </c>
      <c r="V391"/>
      <c r="W391" s="7">
        <f t="shared" si="92"/>
        <v>0</v>
      </c>
      <c r="X391" s="104">
        <f t="shared" si="93"/>
        <v>0</v>
      </c>
      <c r="Y391" s="104"/>
      <c r="AB391" s="2"/>
      <c r="AC391" s="163"/>
      <c r="AD391" s="104">
        <f t="shared" si="68"/>
        <v>0</v>
      </c>
      <c r="AE391" s="64" t="e">
        <f t="shared" si="78"/>
        <v>#DIV/0!</v>
      </c>
      <c r="AF391" s="64" t="e">
        <f t="shared" si="79"/>
        <v>#DIV/0!</v>
      </c>
      <c r="AG391" s="20" t="e">
        <f t="shared" si="80"/>
        <v>#DIV/0!</v>
      </c>
      <c r="AH391" s="20" t="e">
        <f t="shared" si="81"/>
        <v>#DIV/0!</v>
      </c>
      <c r="AI391" s="20"/>
    </row>
    <row r="392" spans="1:35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1"/>
        <v>70.911079706048611</v>
      </c>
      <c r="O392" s="7">
        <f t="shared" si="87"/>
        <v>3907.666666666667</v>
      </c>
      <c r="P392" s="7">
        <f t="shared" si="88"/>
        <v>3836.7555869606181</v>
      </c>
      <c r="Q392" s="7">
        <f t="shared" si="89"/>
        <v>1471.0889202939513</v>
      </c>
      <c r="R392" s="7">
        <f t="shared" si="90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92"/>
        <v>116110</v>
      </c>
      <c r="X392" s="104">
        <f t="shared" si="93"/>
        <v>137982</v>
      </c>
      <c r="Y392" s="104"/>
      <c r="AB392" s="2">
        <v>9762</v>
      </c>
      <c r="AC392" s="78">
        <v>132874</v>
      </c>
      <c r="AD392" s="104">
        <f t="shared" si="68"/>
        <v>137982</v>
      </c>
      <c r="AE392" s="64">
        <f t="shared" si="78"/>
        <v>0</v>
      </c>
      <c r="AF392" s="64">
        <f t="shared" si="79"/>
        <v>4.5986433013001697E-2</v>
      </c>
      <c r="AG392" s="20">
        <f t="shared" si="80"/>
        <v>0</v>
      </c>
      <c r="AH392" s="20">
        <f t="shared" si="81"/>
        <v>70.911079706048611</v>
      </c>
      <c r="AI392" s="20"/>
    </row>
    <row r="393" spans="1:35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1"/>
        <v>77.392461030053639</v>
      </c>
      <c r="O393" s="7">
        <f>+B393+C393+D393+F393+I393+K393+J393</f>
        <v>3993.833333333333</v>
      </c>
      <c r="P393" s="7">
        <f t="shared" si="88"/>
        <v>3916.4408723032793</v>
      </c>
      <c r="Q393" s="7">
        <f t="shared" si="89"/>
        <v>1685.5</v>
      </c>
      <c r="R393" s="7">
        <f>+K393-AG393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92"/>
        <v>134566</v>
      </c>
      <c r="X393" s="104">
        <f t="shared" si="93"/>
        <v>144881</v>
      </c>
      <c r="Y393" s="104"/>
      <c r="Z393" s="7">
        <v>8929</v>
      </c>
      <c r="AB393" s="2"/>
      <c r="AC393" s="78">
        <v>122958</v>
      </c>
      <c r="AD393" s="104">
        <f t="shared" si="68"/>
        <v>144881</v>
      </c>
      <c r="AE393" s="64">
        <f t="shared" si="78"/>
        <v>6.6808829031051259E-2</v>
      </c>
      <c r="AF393" s="64">
        <f t="shared" si="79"/>
        <v>0</v>
      </c>
      <c r="AG393" s="20">
        <f t="shared" si="80"/>
        <v>77.392461030053639</v>
      </c>
      <c r="AH393" s="20">
        <f t="shared" si="81"/>
        <v>0</v>
      </c>
      <c r="AI393" s="20"/>
    </row>
    <row r="394" spans="1:35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1"/>
        <v>797.47201096140816</v>
      </c>
      <c r="O394" s="7">
        <f t="shared" si="87"/>
        <v>4189.625</v>
      </c>
      <c r="P394" s="7">
        <f t="shared" si="88"/>
        <v>3392.1529890385918</v>
      </c>
      <c r="Q394" s="7">
        <f t="shared" si="89"/>
        <v>1611.7167537908276</v>
      </c>
      <c r="R394" s="7">
        <f t="shared" si="90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92"/>
        <v>131774</v>
      </c>
      <c r="X394" s="104">
        <f t="shared" si="93"/>
        <v>179820</v>
      </c>
      <c r="Y394" s="104"/>
      <c r="Z394" s="7">
        <v>67677</v>
      </c>
      <c r="AB394" s="2">
        <v>37100</v>
      </c>
      <c r="AC394" s="78">
        <v>145091</v>
      </c>
      <c r="AD394" s="104">
        <f>+X394</f>
        <v>179820</v>
      </c>
      <c r="AE394" s="64">
        <f t="shared" si="78"/>
        <v>0.42912958074587676</v>
      </c>
      <c r="AF394" s="64">
        <f t="shared" si="79"/>
        <v>0.13410632855077301</v>
      </c>
      <c r="AG394" s="20">
        <f t="shared" si="80"/>
        <v>547.85543141890264</v>
      </c>
      <c r="AH394" s="20">
        <f t="shared" si="81"/>
        <v>249.61657954250546</v>
      </c>
      <c r="AI394" s="20"/>
    </row>
    <row r="395" spans="1:35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1"/>
        <v>291.93381925149492</v>
      </c>
      <c r="O395" s="7">
        <f t="shared" si="87"/>
        <v>3994.7916666666665</v>
      </c>
      <c r="P395" s="7">
        <f t="shared" si="88"/>
        <v>3702.8578474151718</v>
      </c>
      <c r="Q395" s="7">
        <f t="shared" si="89"/>
        <v>1583.2730252241759</v>
      </c>
      <c r="R395" s="7">
        <f t="shared" si="90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92"/>
        <v>116367</v>
      </c>
      <c r="X395" s="104">
        <f t="shared" si="93"/>
        <v>160514</v>
      </c>
      <c r="Y395" s="104"/>
      <c r="Z395" s="7">
        <v>144</v>
      </c>
      <c r="AB395" s="2">
        <v>38301</v>
      </c>
      <c r="AC395" s="78">
        <v>111018</v>
      </c>
      <c r="AD395" s="104">
        <f t="shared" si="68"/>
        <v>160514</v>
      </c>
      <c r="AE395" s="64">
        <f t="shared" si="78"/>
        <v>1.1933200021618116E-3</v>
      </c>
      <c r="AF395" s="64">
        <f t="shared" si="79"/>
        <v>0.15509955517898749</v>
      </c>
      <c r="AG395" s="20">
        <f t="shared" si="80"/>
        <v>1.2901778090039451</v>
      </c>
      <c r="AH395" s="20">
        <f t="shared" si="81"/>
        <v>290.643641442491</v>
      </c>
      <c r="AI395" s="20"/>
    </row>
    <row r="396" spans="1:35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1"/>
        <v>0</v>
      </c>
      <c r="O396" s="7">
        <f t="shared" si="87"/>
        <v>3845.458333333333</v>
      </c>
      <c r="P396" s="7">
        <f t="shared" si="88"/>
        <v>3845.458333333333</v>
      </c>
      <c r="Q396" s="7">
        <f t="shared" si="89"/>
        <v>1535.1666666666665</v>
      </c>
      <c r="R396" s="7">
        <f t="shared" si="90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92"/>
        <v>93184</v>
      </c>
      <c r="X396" s="104">
        <f t="shared" si="93"/>
        <v>102208</v>
      </c>
      <c r="Y396" s="104"/>
      <c r="AB396" s="2"/>
      <c r="AC396" s="78">
        <v>71995</v>
      </c>
      <c r="AD396" s="104">
        <f t="shared" si="68"/>
        <v>102208</v>
      </c>
      <c r="AE396" s="64">
        <f t="shared" si="78"/>
        <v>0</v>
      </c>
      <c r="AF396" s="64">
        <f t="shared" si="79"/>
        <v>0</v>
      </c>
      <c r="AG396" s="20">
        <f t="shared" si="80"/>
        <v>0</v>
      </c>
      <c r="AH396" s="20">
        <f t="shared" si="81"/>
        <v>0</v>
      </c>
      <c r="AI396" s="20"/>
    </row>
    <row r="397" spans="1:35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1"/>
        <v>0</v>
      </c>
      <c r="O397" s="197">
        <f t="shared" si="87"/>
        <v>3867.6666666666661</v>
      </c>
      <c r="P397" s="197">
        <f t="shared" si="88"/>
        <v>3867.6666666666661</v>
      </c>
      <c r="Q397" s="197">
        <f t="shared" si="89"/>
        <v>1950.4166666666665</v>
      </c>
      <c r="R397" s="197">
        <f t="shared" si="90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7">
        <f t="shared" si="92"/>
        <v>90627</v>
      </c>
      <c r="X397" s="104">
        <f t="shared" si="93"/>
        <v>97072</v>
      </c>
      <c r="Y397" s="104"/>
      <c r="Z397" s="204"/>
      <c r="AA397" s="204"/>
      <c r="AB397" s="204"/>
      <c r="AC397" s="205">
        <v>79834</v>
      </c>
      <c r="AD397" s="198">
        <f t="shared" si="68"/>
        <v>97072</v>
      </c>
      <c r="AE397" s="201">
        <f t="shared" si="78"/>
        <v>0</v>
      </c>
      <c r="AF397" s="201">
        <f t="shared" si="79"/>
        <v>0</v>
      </c>
      <c r="AG397" s="202">
        <f t="shared" si="80"/>
        <v>0</v>
      </c>
      <c r="AH397" s="202">
        <f t="shared" si="81"/>
        <v>0</v>
      </c>
      <c r="AI397" s="202"/>
    </row>
    <row r="398" spans="1:35">
      <c r="A398" s="28">
        <v>46054</v>
      </c>
      <c r="N398" s="108" t="e">
        <f t="shared" si="91"/>
        <v>#DIV/0!</v>
      </c>
      <c r="O398" s="7">
        <f t="shared" si="87"/>
        <v>0</v>
      </c>
      <c r="P398" s="7" t="e">
        <f t="shared" si="88"/>
        <v>#DIV/0!</v>
      </c>
      <c r="Q398" s="7" t="e">
        <f t="shared" si="89"/>
        <v>#DIV/0!</v>
      </c>
      <c r="R398" s="7" t="e">
        <f t="shared" si="90"/>
        <v>#DIV/0!</v>
      </c>
      <c r="T398" s="7"/>
      <c r="U398" s="7"/>
      <c r="V398" s="7"/>
      <c r="W398" s="7">
        <f t="shared" si="92"/>
        <v>0</v>
      </c>
      <c r="X398" s="104">
        <f t="shared" si="93"/>
        <v>0</v>
      </c>
      <c r="Y398" s="104"/>
      <c r="AB398" s="74"/>
      <c r="AC398" s="113"/>
      <c r="AD398" s="104"/>
      <c r="AE398" s="64" t="e">
        <f t="shared" si="78"/>
        <v>#DIV/0!</v>
      </c>
      <c r="AF398" s="64" t="e">
        <f t="shared" si="79"/>
        <v>#DIV/0!</v>
      </c>
      <c r="AG398" s="20" t="e">
        <f t="shared" si="80"/>
        <v>#DIV/0!</v>
      </c>
      <c r="AH398" s="20" t="e">
        <f t="shared" si="81"/>
        <v>#DIV/0!</v>
      </c>
    </row>
    <row r="399" spans="1:35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1"/>
        <v>43.679033149171268</v>
      </c>
      <c r="O399" s="7">
        <f t="shared" si="87"/>
        <v>4194.25</v>
      </c>
      <c r="P399" s="7">
        <f t="shared" si="88"/>
        <v>4150.5709668508289</v>
      </c>
      <c r="Q399" s="7">
        <f t="shared" si="89"/>
        <v>1566.6666666666665</v>
      </c>
      <c r="R399" s="7">
        <f t="shared" si="90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92"/>
        <v>108296</v>
      </c>
      <c r="X399" s="104">
        <f t="shared" si="93"/>
        <v>123248</v>
      </c>
      <c r="Y399" s="104"/>
      <c r="Z399" s="7">
        <v>5635</v>
      </c>
      <c r="AC399" s="78">
        <v>141180</v>
      </c>
      <c r="AD399" s="104">
        <f t="shared" si="68"/>
        <v>123248</v>
      </c>
      <c r="AE399" s="64">
        <f t="shared" si="78"/>
        <v>3.6720498654200309E-2</v>
      </c>
      <c r="AF399" s="64">
        <f t="shared" si="79"/>
        <v>0</v>
      </c>
      <c r="AG399" s="20">
        <f t="shared" si="80"/>
        <v>43.679033149171268</v>
      </c>
      <c r="AH399" s="20">
        <f t="shared" si="81"/>
        <v>0</v>
      </c>
    </row>
    <row r="400" spans="1:35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1"/>
        <v>260.32949522119253</v>
      </c>
      <c r="O400" s="7">
        <f t="shared" si="87"/>
        <v>4099</v>
      </c>
      <c r="P400" s="7">
        <f t="shared" si="88"/>
        <v>3838.6705047788073</v>
      </c>
      <c r="Q400" s="7">
        <f t="shared" si="89"/>
        <v>1585.4836860184419</v>
      </c>
      <c r="R400" s="7">
        <f t="shared" si="90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92"/>
        <v>118616</v>
      </c>
      <c r="X400" s="104">
        <f t="shared" si="93"/>
        <v>142502</v>
      </c>
      <c r="Y400" s="104"/>
      <c r="Z400" s="7">
        <v>18130</v>
      </c>
      <c r="AB400" s="2">
        <v>13162</v>
      </c>
      <c r="AC400" s="78">
        <v>103708</v>
      </c>
      <c r="AD400" s="104">
        <f t="shared" si="68"/>
        <v>142502</v>
      </c>
      <c r="AE400" s="64">
        <f t="shared" si="78"/>
        <v>0.16083233694604082</v>
      </c>
      <c r="AF400" s="64">
        <f t="shared" si="79"/>
        <v>6.0036350367012402E-2</v>
      </c>
      <c r="AG400" s="20">
        <f t="shared" si="80"/>
        <v>159.06318123963436</v>
      </c>
      <c r="AH400" s="20">
        <f t="shared" si="81"/>
        <v>101.26631398155817</v>
      </c>
    </row>
    <row r="401" spans="1:35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1"/>
        <v>508.37974551621608</v>
      </c>
      <c r="O401" s="7">
        <f t="shared" si="87"/>
        <v>4026.0833333333335</v>
      </c>
      <c r="P401" s="7">
        <f t="shared" si="88"/>
        <v>3517.7035878171173</v>
      </c>
      <c r="Q401" s="7">
        <f t="shared" si="89"/>
        <v>1382.4292948226794</v>
      </c>
      <c r="R401" s="7">
        <f t="shared" si="90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92"/>
        <v>84131</v>
      </c>
      <c r="X401" s="104">
        <f t="shared" si="93"/>
        <v>118768</v>
      </c>
      <c r="Y401" s="104"/>
      <c r="Z401" s="7">
        <v>32112</v>
      </c>
      <c r="AB401" s="2">
        <v>29561</v>
      </c>
      <c r="AC401" s="78">
        <v>147302</v>
      </c>
      <c r="AD401" s="104">
        <f t="shared" si="68"/>
        <v>118768</v>
      </c>
      <c r="AE401" s="64">
        <f t="shared" si="78"/>
        <v>0.20056102429023367</v>
      </c>
      <c r="AF401" s="64">
        <f t="shared" si="79"/>
        <v>0.16178305604203153</v>
      </c>
      <c r="AG401" s="20">
        <f t="shared" si="80"/>
        <v>241.55904033889558</v>
      </c>
      <c r="AH401" s="20">
        <f t="shared" si="81"/>
        <v>266.82070517732052</v>
      </c>
    </row>
    <row r="402" spans="1:35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1"/>
        <v>520.06947307697328</v>
      </c>
      <c r="O402" s="7">
        <f t="shared" si="87"/>
        <v>4044.2499999999995</v>
      </c>
      <c r="P402" s="7">
        <f t="shared" si="88"/>
        <v>3524.1805269230267</v>
      </c>
      <c r="Q402" s="7">
        <f t="shared" si="89"/>
        <v>1312.4177431142002</v>
      </c>
      <c r="R402" s="7">
        <f t="shared" si="90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 t="shared" si="92"/>
        <v>113258</v>
      </c>
      <c r="X402" s="104">
        <f t="shared" si="93"/>
        <v>153940</v>
      </c>
      <c r="Y402" s="104"/>
      <c r="Z402" s="7">
        <v>45815</v>
      </c>
      <c r="AB402" s="2">
        <v>25926</v>
      </c>
      <c r="AC402" s="78">
        <v>140661</v>
      </c>
      <c r="AD402" s="104">
        <f t="shared" si="68"/>
        <v>153940</v>
      </c>
      <c r="AE402" s="64">
        <f t="shared" si="78"/>
        <v>0.29965519938006985</v>
      </c>
      <c r="AF402" s="64">
        <f t="shared" si="79"/>
        <v>0.10947057295050019</v>
      </c>
      <c r="AG402" s="20">
        <f t="shared" si="80"/>
        <v>358.73721619117356</v>
      </c>
      <c r="AH402" s="20">
        <f t="shared" si="81"/>
        <v>161.33225688579967</v>
      </c>
    </row>
    <row r="403" spans="1:35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1"/>
        <v>216.2986582673569</v>
      </c>
      <c r="O403" s="7">
        <f t="shared" si="87"/>
        <v>4067.333333333333</v>
      </c>
      <c r="P403" s="7">
        <f t="shared" si="88"/>
        <v>3851.0346750659764</v>
      </c>
      <c r="Q403" s="7">
        <f t="shared" si="89"/>
        <v>1374.4513417326432</v>
      </c>
      <c r="R403" s="7">
        <f t="shared" si="90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92"/>
        <v>100923</v>
      </c>
      <c r="X403" s="104">
        <f t="shared" si="93"/>
        <v>137928</v>
      </c>
      <c r="Y403" s="104"/>
      <c r="AB403" s="2">
        <v>28853</v>
      </c>
      <c r="AC403" s="78">
        <v>75885</v>
      </c>
      <c r="AD403" s="104">
        <f t="shared" si="68"/>
        <v>137928</v>
      </c>
      <c r="AE403" s="64">
        <f t="shared" si="78"/>
        <v>0</v>
      </c>
      <c r="AF403" s="64">
        <f t="shared" si="79"/>
        <v>0.13597275390058583</v>
      </c>
      <c r="AG403" s="20">
        <f t="shared" si="80"/>
        <v>0</v>
      </c>
      <c r="AH403" s="20">
        <f t="shared" si="81"/>
        <v>216.2986582673569</v>
      </c>
    </row>
    <row r="404" spans="1:35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1"/>
        <v>0</v>
      </c>
      <c r="O404" s="7">
        <f t="shared" si="87"/>
        <v>3770.3333333333335</v>
      </c>
      <c r="P404" s="7">
        <f t="shared" si="88"/>
        <v>3770.3333333333335</v>
      </c>
      <c r="Q404" s="7">
        <f t="shared" si="89"/>
        <v>1440</v>
      </c>
      <c r="R404" s="7">
        <f t="shared" si="90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92"/>
        <v>70609</v>
      </c>
      <c r="X404" s="104">
        <f t="shared" si="93"/>
        <v>77314</v>
      </c>
      <c r="Y404" s="104"/>
      <c r="AB404" s="2"/>
      <c r="AC404" s="78">
        <v>79208</v>
      </c>
      <c r="AD404" s="104">
        <f t="shared" si="68"/>
        <v>77314</v>
      </c>
      <c r="AE404" s="64">
        <f t="shared" si="78"/>
        <v>0</v>
      </c>
      <c r="AF404" s="64">
        <f t="shared" si="79"/>
        <v>0</v>
      </c>
      <c r="AG404" s="20">
        <f t="shared" si="80"/>
        <v>0</v>
      </c>
      <c r="AH404" s="20">
        <f t="shared" si="81"/>
        <v>0</v>
      </c>
    </row>
    <row r="405" spans="1:35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1"/>
        <v>#DIV/0!</v>
      </c>
      <c r="O405" s="7">
        <f t="shared" si="87"/>
        <v>0</v>
      </c>
      <c r="P405" s="7" t="e">
        <f t="shared" si="88"/>
        <v>#DIV/0!</v>
      </c>
      <c r="Q405" s="7" t="e">
        <f t="shared" si="89"/>
        <v>#DIV/0!</v>
      </c>
      <c r="R405" s="7" t="e">
        <f t="shared" si="90"/>
        <v>#DIV/0!</v>
      </c>
      <c r="T405" s="7"/>
      <c r="U405" s="7"/>
      <c r="V405" s="7"/>
      <c r="W405" s="7">
        <f t="shared" si="92"/>
        <v>0</v>
      </c>
      <c r="X405" s="104">
        <f t="shared" si="93"/>
        <v>0</v>
      </c>
      <c r="Y405" s="104"/>
      <c r="AD405" s="104">
        <f t="shared" si="68"/>
        <v>0</v>
      </c>
      <c r="AE405" s="64" t="e">
        <f t="shared" si="78"/>
        <v>#DIV/0!</v>
      </c>
      <c r="AF405" s="64" t="e">
        <f t="shared" si="79"/>
        <v>#DIV/0!</v>
      </c>
      <c r="AG405" s="20" t="e">
        <f t="shared" si="80"/>
        <v>#DIV/0!</v>
      </c>
      <c r="AH405" s="20" t="e">
        <f t="shared" si="81"/>
        <v>#DIV/0!</v>
      </c>
    </row>
    <row r="406" spans="1:35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1"/>
        <v>57.476022463727801</v>
      </c>
      <c r="O406" s="7">
        <f t="shared" si="87"/>
        <v>4069.4166666666665</v>
      </c>
      <c r="P406" s="7">
        <f t="shared" si="88"/>
        <v>4011.9406442029385</v>
      </c>
      <c r="Q406" s="7">
        <f t="shared" si="89"/>
        <v>1544.0833333333333</v>
      </c>
      <c r="R406" s="7">
        <f t="shared" si="90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92"/>
        <v>119206</v>
      </c>
      <c r="X406" s="104">
        <f t="shared" si="93"/>
        <v>131983</v>
      </c>
      <c r="Y406" s="104"/>
      <c r="Z406" s="7">
        <v>7609</v>
      </c>
      <c r="AB406" s="2"/>
      <c r="AC406" s="78">
        <v>143728</v>
      </c>
      <c r="AD406" s="104">
        <f t="shared" si="68"/>
        <v>131983</v>
      </c>
      <c r="AE406" s="64">
        <f t="shared" si="78"/>
        <v>4.8705053990871654E-2</v>
      </c>
      <c r="AF406" s="64">
        <f t="shared" si="79"/>
        <v>0</v>
      </c>
      <c r="AG406" s="20">
        <f t="shared" si="80"/>
        <v>57.476022463727801</v>
      </c>
      <c r="AH406" s="20">
        <f t="shared" si="81"/>
        <v>0</v>
      </c>
    </row>
    <row r="407" spans="1:35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1"/>
        <v>284.10126982112166</v>
      </c>
      <c r="O407" s="7">
        <f t="shared" si="87"/>
        <v>4067.6666666666661</v>
      </c>
      <c r="P407" s="7">
        <f t="shared" si="88"/>
        <v>3783.5653968455449</v>
      </c>
      <c r="Q407" s="7">
        <f t="shared" si="89"/>
        <v>1462.0879483180495</v>
      </c>
      <c r="R407" s="7">
        <f t="shared" si="90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92"/>
        <v>116567</v>
      </c>
      <c r="X407" s="104">
        <f t="shared" si="93"/>
        <v>136092</v>
      </c>
      <c r="Y407" s="104"/>
      <c r="Z407" s="7">
        <v>28842</v>
      </c>
      <c r="AB407" s="2">
        <v>7479</v>
      </c>
      <c r="AC407" s="78">
        <v>124063</v>
      </c>
      <c r="AD407" s="104">
        <f t="shared" si="68"/>
        <v>136092</v>
      </c>
      <c r="AE407" s="64">
        <f t="shared" si="78"/>
        <v>0.2138803672327769</v>
      </c>
      <c r="AF407" s="64">
        <f t="shared" si="79"/>
        <v>3.5721056344237723E-2</v>
      </c>
      <c r="AG407" s="20">
        <f t="shared" si="80"/>
        <v>229.9392181391712</v>
      </c>
      <c r="AH407" s="20">
        <f t="shared" si="81"/>
        <v>54.162051681950445</v>
      </c>
      <c r="AI407" s="20"/>
    </row>
    <row r="408" spans="1:35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1"/>
        <v>372.79687414192369</v>
      </c>
      <c r="O408" s="7">
        <f t="shared" si="87"/>
        <v>4065.75</v>
      </c>
      <c r="P408" s="7">
        <f t="shared" si="88"/>
        <v>3692.953125858076</v>
      </c>
      <c r="Q408" s="7">
        <f t="shared" si="89"/>
        <v>1323.1687916594415</v>
      </c>
      <c r="R408" s="7">
        <f t="shared" si="90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92"/>
        <v>98349</v>
      </c>
      <c r="X408" s="104">
        <f t="shared" si="93"/>
        <v>144175</v>
      </c>
      <c r="Y408" s="104"/>
      <c r="Z408" s="7">
        <v>10301</v>
      </c>
      <c r="AB408" s="2">
        <v>38463</v>
      </c>
      <c r="AC408" s="78">
        <v>117878</v>
      </c>
      <c r="AD408" s="104">
        <f t="shared" si="68"/>
        <v>144175</v>
      </c>
      <c r="AE408" s="64">
        <f t="shared" si="78"/>
        <v>8.0396002646804327E-2</v>
      </c>
      <c r="AF408" s="64">
        <f t="shared" si="79"/>
        <v>0.17340697069533556</v>
      </c>
      <c r="AG408" s="20">
        <f t="shared" si="80"/>
        <v>95.215665801365247</v>
      </c>
      <c r="AH408" s="20">
        <f t="shared" si="81"/>
        <v>277.58120834055842</v>
      </c>
    </row>
    <row r="409" spans="1:35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1"/>
        <v>310.98188013318884</v>
      </c>
      <c r="O409" s="7">
        <f t="shared" si="87"/>
        <v>3993.666666666667</v>
      </c>
      <c r="P409" s="7">
        <f t="shared" si="88"/>
        <v>3682.684786533478</v>
      </c>
      <c r="Q409" s="7">
        <f t="shared" si="89"/>
        <v>1474.7274829957746</v>
      </c>
      <c r="R409" s="7">
        <f t="shared" si="90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92"/>
        <v>90550</v>
      </c>
      <c r="X409" s="104">
        <f t="shared" si="93"/>
        <v>112178</v>
      </c>
      <c r="Y409" s="104"/>
      <c r="Z409" s="7">
        <v>15451</v>
      </c>
      <c r="AB409" s="2">
        <v>15209</v>
      </c>
      <c r="AC409" s="78">
        <v>86836</v>
      </c>
      <c r="AD409" s="104">
        <f t="shared" si="68"/>
        <v>112178</v>
      </c>
      <c r="AE409" s="64">
        <f t="shared" si="78"/>
        <v>0.16369846607397853</v>
      </c>
      <c r="AF409" s="64">
        <f t="shared" si="79"/>
        <v>8.8126459733637627E-2</v>
      </c>
      <c r="AG409" s="20">
        <f t="shared" si="80"/>
        <v>168.45936312896339</v>
      </c>
      <c r="AH409" s="20">
        <f t="shared" si="81"/>
        <v>142.52251700422545</v>
      </c>
    </row>
    <row r="410" spans="1:35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1"/>
        <v>63.159555931812051</v>
      </c>
      <c r="O410" s="7">
        <f t="shared" si="87"/>
        <v>4095.6666666666665</v>
      </c>
      <c r="P410" s="7">
        <f t="shared" si="88"/>
        <v>4032.5071107348545</v>
      </c>
      <c r="Q410" s="7">
        <f t="shared" si="89"/>
        <v>1613.5</v>
      </c>
      <c r="R410" s="7">
        <f t="shared" si="90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92"/>
        <v>94323</v>
      </c>
      <c r="X410" s="104">
        <f t="shared" si="93"/>
        <v>102963</v>
      </c>
      <c r="Y410" s="104"/>
      <c r="Z410" s="7">
        <v>6531</v>
      </c>
      <c r="AB410" s="2"/>
      <c r="AC410" s="78">
        <v>103948</v>
      </c>
      <c r="AD410" s="104">
        <f t="shared" si="68"/>
        <v>102963</v>
      </c>
      <c r="AE410" s="64">
        <f t="shared" si="78"/>
        <v>5.7803132335398466E-2</v>
      </c>
      <c r="AF410" s="64">
        <f t="shared" si="79"/>
        <v>0</v>
      </c>
      <c r="AG410" s="20">
        <f t="shared" ref="AG410:AG422" si="94">+AE410*K410</f>
        <v>63.159555931812051</v>
      </c>
      <c r="AH410" s="20">
        <f t="shared" ref="AH410:AH422" si="95">+AF410*I410</f>
        <v>0</v>
      </c>
    </row>
    <row r="411" spans="1:35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1"/>
        <v>0</v>
      </c>
      <c r="O411" s="7">
        <f t="shared" si="87"/>
        <v>3879.3333333333335</v>
      </c>
      <c r="P411" s="7">
        <f t="shared" si="88"/>
        <v>3879.333333333333</v>
      </c>
      <c r="Q411" s="7">
        <f t="shared" si="89"/>
        <v>1528.9166666666667</v>
      </c>
      <c r="R411" s="7">
        <f t="shared" si="90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92"/>
        <v>92516</v>
      </c>
      <c r="X411" s="104">
        <f t="shared" si="93"/>
        <v>98509</v>
      </c>
      <c r="Y411" s="104"/>
      <c r="AB411" s="2"/>
      <c r="AC411" s="78">
        <v>68945</v>
      </c>
      <c r="AD411" s="104">
        <f t="shared" si="68"/>
        <v>98509</v>
      </c>
      <c r="AE411" s="64">
        <f t="shared" si="78"/>
        <v>0</v>
      </c>
      <c r="AF411" s="64">
        <f t="shared" si="79"/>
        <v>0</v>
      </c>
      <c r="AG411" s="20">
        <f t="shared" si="94"/>
        <v>0</v>
      </c>
      <c r="AH411" s="20">
        <f t="shared" si="95"/>
        <v>0</v>
      </c>
    </row>
    <row r="412" spans="1:35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1"/>
        <v>#DIV/0!</v>
      </c>
      <c r="O412" s="7">
        <f t="shared" si="87"/>
        <v>0</v>
      </c>
      <c r="P412" s="7" t="e">
        <f t="shared" ref="P412:P415" si="96">+B412+C412+D412+F412+J412+Q412+R412</f>
        <v>#DIV/0!</v>
      </c>
      <c r="Q412" s="7" t="e">
        <f t="shared" ref="Q412:Q415" si="97">+I412-AH412</f>
        <v>#DIV/0!</v>
      </c>
      <c r="R412" s="7" t="e">
        <f t="shared" ref="R412:R415" si="98">+K412-AG412</f>
        <v>#DIV/0!</v>
      </c>
      <c r="T412" s="7"/>
      <c r="U412" s="7"/>
      <c r="V412" s="7"/>
      <c r="W412" s="7">
        <f t="shared" si="92"/>
        <v>0</v>
      </c>
      <c r="X412" s="104">
        <f t="shared" si="93"/>
        <v>0</v>
      </c>
      <c r="Y412" s="104"/>
      <c r="AB412" s="2"/>
      <c r="AD412" s="104">
        <f t="shared" si="68"/>
        <v>0</v>
      </c>
      <c r="AE412" s="64" t="e">
        <f t="shared" si="78"/>
        <v>#DIV/0!</v>
      </c>
      <c r="AF412" s="64" t="e">
        <f t="shared" si="79"/>
        <v>#DIV/0!</v>
      </c>
      <c r="AG412" s="20" t="e">
        <f t="shared" si="94"/>
        <v>#DIV/0!</v>
      </c>
      <c r="AH412" s="20" t="e">
        <f t="shared" si="95"/>
        <v>#DIV/0!</v>
      </c>
    </row>
    <row r="413" spans="1:35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1"/>
        <v>0</v>
      </c>
      <c r="O413" s="7">
        <f t="shared" si="87"/>
        <v>4073.4166666666665</v>
      </c>
      <c r="P413" s="7">
        <f t="shared" si="96"/>
        <v>4073.4166666666665</v>
      </c>
      <c r="Q413" s="7">
        <f t="shared" si="97"/>
        <v>1643.25</v>
      </c>
      <c r="R413" s="7">
        <f t="shared" si="98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92"/>
        <v>114643</v>
      </c>
      <c r="X413" s="104">
        <f t="shared" si="93"/>
        <v>124046</v>
      </c>
      <c r="Y413" s="104"/>
      <c r="AC413" s="78">
        <v>135932</v>
      </c>
      <c r="AD413" s="104">
        <f t="shared" si="68"/>
        <v>124046</v>
      </c>
      <c r="AE413" s="193">
        <f>+(Z413/AC413*0.95)</f>
        <v>0</v>
      </c>
      <c r="AF413" s="193">
        <f>+(AB413/AD413*0.6)</f>
        <v>0</v>
      </c>
      <c r="AG413" s="20">
        <f t="shared" si="94"/>
        <v>0</v>
      </c>
      <c r="AH413" s="20">
        <f t="shared" si="95"/>
        <v>0</v>
      </c>
      <c r="AI413" s="20"/>
    </row>
    <row r="414" spans="1:35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1"/>
        <v>141.0921637674912</v>
      </c>
      <c r="O414" s="7">
        <f t="shared" si="87"/>
        <v>4154.5833333333339</v>
      </c>
      <c r="P414" s="7">
        <f t="shared" si="96"/>
        <v>4013.491169565842</v>
      </c>
      <c r="Q414" s="7">
        <f t="shared" si="97"/>
        <v>1687.75</v>
      </c>
      <c r="R414" s="7">
        <f t="shared" si="98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92"/>
        <v>116529</v>
      </c>
      <c r="X414" s="104">
        <f t="shared" si="93"/>
        <v>126422</v>
      </c>
      <c r="Y414" s="104"/>
      <c r="Z414" s="7">
        <v>17756</v>
      </c>
      <c r="AB414" s="2"/>
      <c r="AC414" s="78">
        <v>143834</v>
      </c>
      <c r="AD414" s="104">
        <f t="shared" si="68"/>
        <v>126422</v>
      </c>
      <c r="AE414" s="193">
        <f t="shared" ref="AE414:AE418" si="99">+(Z414/AC414*0.95)</f>
        <v>0.11727547033385707</v>
      </c>
      <c r="AF414" s="193">
        <f t="shared" ref="AF414:AF418" si="100">+(AB414/AD414*0.6)</f>
        <v>0</v>
      </c>
      <c r="AG414" s="20">
        <f t="shared" si="94"/>
        <v>141.0921637674912</v>
      </c>
      <c r="AH414" s="20">
        <f t="shared" si="95"/>
        <v>0</v>
      </c>
      <c r="AI414" s="20"/>
    </row>
    <row r="415" spans="1:35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1"/>
        <v>435.95884584169949</v>
      </c>
      <c r="O415" s="7">
        <f t="shared" si="87"/>
        <v>4062.3333333333335</v>
      </c>
      <c r="P415" s="7">
        <f t="shared" si="96"/>
        <v>3626.3744874916338</v>
      </c>
      <c r="Q415" s="7">
        <f t="shared" si="97"/>
        <v>1463.0243107848351</v>
      </c>
      <c r="R415" s="7">
        <f t="shared" si="98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92"/>
        <v>105170</v>
      </c>
      <c r="X415" s="104">
        <f t="shared" si="93"/>
        <v>142892</v>
      </c>
      <c r="Y415" s="104"/>
      <c r="Z415" s="7">
        <v>29351</v>
      </c>
      <c r="AB415" s="2">
        <v>29339</v>
      </c>
      <c r="AC415" s="78">
        <v>140204</v>
      </c>
      <c r="AD415" s="104">
        <f t="shared" si="68"/>
        <v>142892</v>
      </c>
      <c r="AE415" s="193">
        <f t="shared" si="99"/>
        <v>0.19887770677013494</v>
      </c>
      <c r="AF415" s="193">
        <f t="shared" si="100"/>
        <v>0.12319374072726255</v>
      </c>
      <c r="AG415" s="20">
        <f t="shared" si="94"/>
        <v>230.39982329320134</v>
      </c>
      <c r="AH415" s="20">
        <f t="shared" si="95"/>
        <v>205.55902254849818</v>
      </c>
      <c r="AI415" s="20"/>
    </row>
    <row r="416" spans="1:35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1">+AH416+AG416</f>
        <v>130.63826216232829</v>
      </c>
      <c r="O416" s="7">
        <f t="shared" ref="O416:O422" si="102">+B416+C416+D416+F416+I416+K416+J416</f>
        <v>3993.6666666666665</v>
      </c>
      <c r="P416" s="7">
        <f t="shared" ref="P416:P418" si="103">+B416+C416+D416+F416+J416+Q416+R416</f>
        <v>3863.0284045043386</v>
      </c>
      <c r="Q416" s="7">
        <f t="shared" ref="Q416:Q418" si="104">+I416-AH416</f>
        <v>1561.9450711710049</v>
      </c>
      <c r="R416" s="7">
        <f t="shared" ref="R416:R418" si="105">+K416-AG416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92"/>
        <v>104362</v>
      </c>
      <c r="X416" s="104">
        <f t="shared" si="93"/>
        <v>130156</v>
      </c>
      <c r="Y416" s="104"/>
      <c r="AB416" s="2">
        <v>16743</v>
      </c>
      <c r="AC416" s="78">
        <v>105572</v>
      </c>
      <c r="AD416" s="104">
        <f t="shared" si="68"/>
        <v>130156</v>
      </c>
      <c r="AE416" s="193">
        <f t="shared" si="99"/>
        <v>0</v>
      </c>
      <c r="AF416" s="193">
        <f t="shared" si="100"/>
        <v>7.718276529702818E-2</v>
      </c>
      <c r="AG416" s="20">
        <f t="shared" si="94"/>
        <v>0</v>
      </c>
      <c r="AH416" s="20">
        <f t="shared" si="95"/>
        <v>130.63826216232829</v>
      </c>
    </row>
    <row r="417" spans="1:35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1"/>
        <v>0</v>
      </c>
      <c r="O417" s="7">
        <f t="shared" si="102"/>
        <v>3956.75</v>
      </c>
      <c r="P417" s="7">
        <f t="shared" si="103"/>
        <v>3956.75</v>
      </c>
      <c r="Q417" s="7">
        <f t="shared" si="104"/>
        <v>1731.6666666666665</v>
      </c>
      <c r="R417" s="7">
        <f t="shared" si="105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92"/>
        <v>130610</v>
      </c>
      <c r="X417" s="104">
        <f t="shared" si="93"/>
        <v>138303</v>
      </c>
      <c r="Y417" s="104"/>
      <c r="AB417" s="2"/>
      <c r="AC417" s="78">
        <v>78588</v>
      </c>
      <c r="AD417" s="104">
        <f t="shared" si="68"/>
        <v>138303</v>
      </c>
      <c r="AE417" s="193">
        <f t="shared" si="99"/>
        <v>0</v>
      </c>
      <c r="AF417" s="193">
        <f t="shared" si="100"/>
        <v>0</v>
      </c>
      <c r="AG417" s="20">
        <f t="shared" si="94"/>
        <v>0</v>
      </c>
      <c r="AH417" s="20">
        <f t="shared" si="95"/>
        <v>0</v>
      </c>
      <c r="AI417" s="20"/>
    </row>
    <row r="418" spans="1:35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1"/>
        <v>0</v>
      </c>
      <c r="O418" s="7">
        <f t="shared" si="102"/>
        <v>4055.333333333333</v>
      </c>
      <c r="P418" s="7">
        <f t="shared" si="103"/>
        <v>4055.333333333333</v>
      </c>
      <c r="Q418" s="7">
        <f t="shared" si="104"/>
        <v>1629.083333333333</v>
      </c>
      <c r="R418" s="7">
        <f t="shared" si="105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92"/>
        <v>127682</v>
      </c>
      <c r="X418" s="104">
        <f t="shared" si="93"/>
        <v>135570</v>
      </c>
      <c r="Y418" s="104"/>
      <c r="AB418" s="2"/>
      <c r="AC418" s="78">
        <v>94250</v>
      </c>
      <c r="AD418" s="104">
        <f t="shared" si="68"/>
        <v>135570</v>
      </c>
      <c r="AE418" s="193">
        <f t="shared" si="99"/>
        <v>0</v>
      </c>
      <c r="AF418" s="193">
        <f t="shared" si="100"/>
        <v>0</v>
      </c>
      <c r="AG418" s="20">
        <f t="shared" si="94"/>
        <v>0</v>
      </c>
      <c r="AH418" s="20">
        <f t="shared" si="95"/>
        <v>0</v>
      </c>
    </row>
    <row r="419" spans="1:35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1"/>
        <v>0</v>
      </c>
      <c r="O419" s="7">
        <f t="shared" si="102"/>
        <v>0</v>
      </c>
      <c r="P419" s="7">
        <f t="shared" ref="P419:P422" si="106">+B419+C419+D419+F419+J419+Q419+R419</f>
        <v>0</v>
      </c>
      <c r="Q419" s="7">
        <f t="shared" ref="Q419:Q422" si="107">+I419-AH419</f>
        <v>0</v>
      </c>
      <c r="R419" s="7">
        <f t="shared" ref="R419:R422" si="108">+K419-AG419</f>
        <v>0</v>
      </c>
      <c r="T419" s="7"/>
      <c r="U419" s="7"/>
      <c r="V419" s="7"/>
      <c r="W419" s="7">
        <f t="shared" si="92"/>
        <v>0</v>
      </c>
      <c r="X419" s="104">
        <f t="shared" si="93"/>
        <v>0</v>
      </c>
      <c r="Y419" s="104"/>
      <c r="AB419" s="2"/>
      <c r="AC419" s="78"/>
      <c r="AE419" s="193"/>
      <c r="AF419" s="193"/>
      <c r="AG419" s="20">
        <f t="shared" si="94"/>
        <v>0</v>
      </c>
      <c r="AH419" s="20">
        <f t="shared" si="95"/>
        <v>0</v>
      </c>
    </row>
    <row r="420" spans="1:35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1"/>
        <v>6.9538514150186064</v>
      </c>
      <c r="O420" s="7">
        <f t="shared" si="102"/>
        <v>3987.4999999999995</v>
      </c>
      <c r="P420" s="7">
        <f t="shared" si="106"/>
        <v>3980.546148584981</v>
      </c>
      <c r="Q420" s="7">
        <f t="shared" si="107"/>
        <v>1589.2297957506355</v>
      </c>
      <c r="R420" s="7">
        <f t="shared" si="108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92"/>
        <v>130075</v>
      </c>
      <c r="X420" s="104">
        <f t="shared" si="93"/>
        <v>139111</v>
      </c>
      <c r="Y420" s="104"/>
      <c r="Z420" s="7">
        <v>476</v>
      </c>
      <c r="AB420" s="2">
        <v>464</v>
      </c>
      <c r="AC420" s="78">
        <v>142061</v>
      </c>
      <c r="AD420" s="104">
        <f t="shared" si="68"/>
        <v>139111</v>
      </c>
      <c r="AE420" s="193">
        <f t="shared" ref="AE420:AE422" si="109">+(Z420/AC420*0.95)</f>
        <v>3.1831396371981048E-3</v>
      </c>
      <c r="AF420" s="193">
        <f t="shared" ref="AF420:AF422" si="110">+(AB420/AD420*0.6)</f>
        <v>2.0012795537376628E-3</v>
      </c>
      <c r="AG420" s="20">
        <f t="shared" si="94"/>
        <v>3.7669804989875235</v>
      </c>
      <c r="AH420" s="20">
        <f t="shared" si="95"/>
        <v>3.1868709160310829</v>
      </c>
      <c r="AI420" s="20"/>
    </row>
    <row r="421" spans="1:35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1"/>
        <v>98.654003093425914</v>
      </c>
      <c r="O421" s="7">
        <f t="shared" si="102"/>
        <v>4035.916666666667</v>
      </c>
      <c r="P421" s="7">
        <f t="shared" si="106"/>
        <v>3937.2626635732408</v>
      </c>
      <c r="Q421" s="7">
        <f t="shared" si="107"/>
        <v>1790.8333333333335</v>
      </c>
      <c r="R421" s="7">
        <f t="shared" si="108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92"/>
        <v>146586</v>
      </c>
      <c r="X421" s="104">
        <f t="shared" si="93"/>
        <v>154719</v>
      </c>
      <c r="Y421" s="104"/>
      <c r="Z421" s="7">
        <v>12267</v>
      </c>
      <c r="AB421" s="2"/>
      <c r="AC421" s="78">
        <v>134802</v>
      </c>
      <c r="AD421" s="104">
        <f t="shared" ref="AD421:AD444" si="111">+X421</f>
        <v>154719</v>
      </c>
      <c r="AE421" s="193">
        <f t="shared" si="109"/>
        <v>8.6450126852717316E-2</v>
      </c>
      <c r="AF421" s="193">
        <f t="shared" si="110"/>
        <v>0</v>
      </c>
      <c r="AG421" s="20">
        <f t="shared" si="94"/>
        <v>98.654003093425914</v>
      </c>
      <c r="AH421" s="20">
        <f t="shared" si="95"/>
        <v>0</v>
      </c>
      <c r="AI421" s="20"/>
    </row>
    <row r="422" spans="1:35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1"/>
        <v>120.2427592986103</v>
      </c>
      <c r="O422" s="7">
        <f t="shared" si="102"/>
        <v>4126.833333333333</v>
      </c>
      <c r="P422" s="7">
        <f t="shared" si="106"/>
        <v>4006.590574034723</v>
      </c>
      <c r="Q422" s="7">
        <f t="shared" si="107"/>
        <v>1747.6539062225811</v>
      </c>
      <c r="R422" s="7">
        <f t="shared" si="108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92"/>
        <v>146370</v>
      </c>
      <c r="X422" s="104">
        <f t="shared" si="93"/>
        <v>170958</v>
      </c>
      <c r="Y422" s="104"/>
      <c r="Z422" s="7">
        <v>5059</v>
      </c>
      <c r="AB422" s="2">
        <v>12449</v>
      </c>
      <c r="AC422" s="78">
        <v>138225</v>
      </c>
      <c r="AD422" s="104">
        <f t="shared" si="111"/>
        <v>170958</v>
      </c>
      <c r="AE422" s="193">
        <f t="shared" si="109"/>
        <v>3.4769759450171814E-2</v>
      </c>
      <c r="AF422" s="193">
        <f t="shared" si="110"/>
        <v>4.3691432983539814E-2</v>
      </c>
      <c r="AG422" s="20">
        <f t="shared" si="94"/>
        <v>40.396665521191281</v>
      </c>
      <c r="AH422" s="20">
        <f t="shared" si="95"/>
        <v>79.846093777419014</v>
      </c>
      <c r="AI422" s="20"/>
    </row>
    <row r="423" spans="1:35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2">+AH423+AG423</f>
        <v>443.18511126820431</v>
      </c>
      <c r="O423" s="7">
        <f t="shared" ref="O423:O433" si="113">+B423+C423+D423+F423+I423+K423+J423</f>
        <v>4117.25</v>
      </c>
      <c r="P423" s="7">
        <f t="shared" ref="P423:P433" si="114">+B423+C423+D423+F423+J423+Q423+R423</f>
        <v>3674.0648887317961</v>
      </c>
      <c r="Q423" s="7">
        <f t="shared" ref="Q423:Q433" si="115">+I423-AH423</f>
        <v>1608.8423510907874</v>
      </c>
      <c r="R423" s="7">
        <f t="shared" ref="R423:R433" si="116">+K423-AG423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92"/>
        <v>133104</v>
      </c>
      <c r="X423" s="104">
        <f t="shared" si="93"/>
        <v>171665</v>
      </c>
      <c r="Y423" s="104"/>
      <c r="Z423" s="7">
        <v>33424</v>
      </c>
      <c r="AB423" s="2">
        <v>28524</v>
      </c>
      <c r="AC423" s="78">
        <v>143372</v>
      </c>
      <c r="AD423" s="104">
        <f t="shared" si="111"/>
        <v>171665</v>
      </c>
      <c r="AE423" s="193">
        <f t="shared" ref="AE423:AE425" si="117">+(Z423/AC423*0.95)</f>
        <v>0.22147141701308484</v>
      </c>
      <c r="AF423" s="193">
        <f t="shared" ref="AF423:AF425" si="118">+(AB423/AD423*0.6)</f>
        <v>9.969650190778552E-2</v>
      </c>
      <c r="AG423" s="20">
        <f t="shared" ref="AG423:AG425" si="119">+AE423*K423</f>
        <v>265.02746235899156</v>
      </c>
      <c r="AH423" s="20">
        <f t="shared" ref="AH423:AH425" si="120">+AF423*I423</f>
        <v>178.15764890921275</v>
      </c>
      <c r="AI423" s="20"/>
    </row>
    <row r="424" spans="1:35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2"/>
        <v>203.08480901221557</v>
      </c>
      <c r="O424" s="7">
        <f t="shared" si="113"/>
        <v>4422.9166666666661</v>
      </c>
      <c r="P424" s="7">
        <f t="shared" si="114"/>
        <v>4219.8318576544507</v>
      </c>
      <c r="Q424" s="7">
        <f t="shared" si="115"/>
        <v>1754.1308668395629</v>
      </c>
      <c r="R424" s="7">
        <f t="shared" si="116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92"/>
        <v>141170</v>
      </c>
      <c r="X424" s="104">
        <f t="shared" si="93"/>
        <v>165417</v>
      </c>
      <c r="Y424" s="104"/>
      <c r="Z424" s="7">
        <v>12837</v>
      </c>
      <c r="AB424" s="2">
        <v>14381</v>
      </c>
      <c r="AC424" s="78">
        <v>137614</v>
      </c>
      <c r="AD424" s="104">
        <f t="shared" si="111"/>
        <v>165417</v>
      </c>
      <c r="AE424" s="193">
        <f t="shared" si="117"/>
        <v>8.8618527184734106E-2</v>
      </c>
      <c r="AF424" s="193">
        <f t="shared" si="118"/>
        <v>5.2162716044904689E-2</v>
      </c>
      <c r="AG424" s="20">
        <f t="shared" si="119"/>
        <v>106.54900918511197</v>
      </c>
      <c r="AH424" s="20">
        <f t="shared" si="120"/>
        <v>96.535799827103602</v>
      </c>
      <c r="AI424" s="20"/>
    </row>
    <row r="425" spans="1:35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2"/>
        <v>87.059112642323001</v>
      </c>
      <c r="O425" s="7">
        <f t="shared" si="113"/>
        <v>4088.833333333333</v>
      </c>
      <c r="P425" s="7">
        <f t="shared" si="114"/>
        <v>4001.7742206910098</v>
      </c>
      <c r="Q425" s="7">
        <f t="shared" si="115"/>
        <v>1625.431407945601</v>
      </c>
      <c r="R425" s="7">
        <f t="shared" si="116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92"/>
        <v>126661</v>
      </c>
      <c r="X425" s="104">
        <f t="shared" si="93"/>
        <v>143140</v>
      </c>
      <c r="Y425" s="104"/>
      <c r="Z425" s="7">
        <v>3595</v>
      </c>
      <c r="AB425" s="2">
        <v>7932</v>
      </c>
      <c r="AC425" s="78">
        <v>119698</v>
      </c>
      <c r="AD425" s="104">
        <f t="shared" si="111"/>
        <v>143140</v>
      </c>
      <c r="AE425" s="193">
        <f t="shared" si="117"/>
        <v>2.8532222760614213E-2</v>
      </c>
      <c r="AF425" s="193">
        <f t="shared" si="118"/>
        <v>3.324856783568534E-2</v>
      </c>
      <c r="AG425" s="20">
        <f t="shared" si="119"/>
        <v>31.15718725459072</v>
      </c>
      <c r="AH425" s="20">
        <f t="shared" si="120"/>
        <v>55.901925387732284</v>
      </c>
      <c r="AI425" s="20"/>
    </row>
    <row r="426" spans="1:35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2"/>
        <v>0</v>
      </c>
      <c r="T426" s="7"/>
      <c r="U426" s="7"/>
      <c r="V426" s="7"/>
      <c r="W426" s="7">
        <f t="shared" si="92"/>
        <v>0</v>
      </c>
      <c r="X426" s="104">
        <f t="shared" si="93"/>
        <v>0</v>
      </c>
      <c r="Y426" s="104"/>
      <c r="AB426" s="2"/>
      <c r="AC426" s="78"/>
      <c r="AD426" s="104"/>
      <c r="AE426" s="193"/>
      <c r="AF426" s="193"/>
      <c r="AG426" s="20"/>
      <c r="AH426" s="20"/>
    </row>
    <row r="427" spans="1:35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2"/>
        <v>0</v>
      </c>
      <c r="O427" s="7">
        <f t="shared" si="113"/>
        <v>5709.916666666667</v>
      </c>
      <c r="P427" s="7">
        <f t="shared" si="114"/>
        <v>5709.9166666666661</v>
      </c>
      <c r="Q427" s="7">
        <f t="shared" si="115"/>
        <v>2646.3333333333335</v>
      </c>
      <c r="R427" s="7">
        <f t="shared" si="116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92"/>
        <v>160540</v>
      </c>
      <c r="X427" s="104">
        <f t="shared" si="93"/>
        <v>170506</v>
      </c>
      <c r="Y427" s="104"/>
      <c r="AB427" s="2"/>
      <c r="AC427" s="78">
        <v>175528</v>
      </c>
      <c r="AD427" s="104">
        <f t="shared" si="111"/>
        <v>170506</v>
      </c>
      <c r="AE427" s="193">
        <f t="shared" ref="AE427:AE432" si="121">+(Z427/AC427*0.95)</f>
        <v>0</v>
      </c>
      <c r="AF427" s="193">
        <f t="shared" ref="AF427:AF432" si="122">+(AB427/AD427*0.6)</f>
        <v>0</v>
      </c>
      <c r="AG427" s="20">
        <f t="shared" ref="AG427:AG432" si="123">+AE427*K427</f>
        <v>0</v>
      </c>
      <c r="AH427" s="20">
        <f t="shared" ref="AH427:AH432" si="124">+AF427*I427</f>
        <v>0</v>
      </c>
    </row>
    <row r="428" spans="1:35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2"/>
        <v>0</v>
      </c>
      <c r="O428" s="7">
        <f t="shared" si="113"/>
        <v>5618.75</v>
      </c>
      <c r="P428" s="7">
        <f t="shared" si="114"/>
        <v>5618.75</v>
      </c>
      <c r="Q428" s="7">
        <f t="shared" si="115"/>
        <v>2666.916666666667</v>
      </c>
      <c r="R428" s="7">
        <f t="shared" si="116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92"/>
        <v>185709</v>
      </c>
      <c r="X428" s="104">
        <f t="shared" si="93"/>
        <v>200581</v>
      </c>
      <c r="Y428" s="104"/>
      <c r="AB428" s="2"/>
      <c r="AC428" s="78">
        <v>167689</v>
      </c>
      <c r="AD428" s="104">
        <f t="shared" si="111"/>
        <v>200581</v>
      </c>
      <c r="AE428" s="193">
        <f t="shared" si="121"/>
        <v>0</v>
      </c>
      <c r="AF428" s="193">
        <f t="shared" si="122"/>
        <v>0</v>
      </c>
      <c r="AG428" s="20">
        <f t="shared" si="123"/>
        <v>0</v>
      </c>
      <c r="AH428" s="20">
        <f t="shared" si="124"/>
        <v>0</v>
      </c>
    </row>
    <row r="429" spans="1:35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2"/>
        <v>0</v>
      </c>
      <c r="O429" s="7">
        <f t="shared" si="113"/>
        <v>4850.333333333333</v>
      </c>
      <c r="P429" s="7">
        <f t="shared" si="114"/>
        <v>4850.333333333333</v>
      </c>
      <c r="Q429" s="7">
        <f t="shared" si="115"/>
        <v>2264.9166666666665</v>
      </c>
      <c r="R429" s="7">
        <f t="shared" si="116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92"/>
        <v>175340</v>
      </c>
      <c r="X429" s="104">
        <f t="shared" si="93"/>
        <v>187064</v>
      </c>
      <c r="Y429" s="104"/>
      <c r="AB429" s="2"/>
      <c r="AC429" s="78">
        <v>221549</v>
      </c>
      <c r="AD429" s="104">
        <f t="shared" si="111"/>
        <v>187064</v>
      </c>
      <c r="AE429" s="193">
        <f t="shared" si="121"/>
        <v>0</v>
      </c>
      <c r="AF429" s="193">
        <f t="shared" si="122"/>
        <v>0</v>
      </c>
      <c r="AG429" s="20">
        <f t="shared" si="123"/>
        <v>0</v>
      </c>
      <c r="AH429" s="20">
        <f t="shared" si="124"/>
        <v>0</v>
      </c>
    </row>
    <row r="430" spans="1:35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2"/>
        <v>0</v>
      </c>
      <c r="O430" s="7">
        <f t="shared" si="113"/>
        <v>4671.75</v>
      </c>
      <c r="P430" s="7">
        <f t="shared" si="114"/>
        <v>4671.75</v>
      </c>
      <c r="Q430" s="7">
        <f t="shared" si="115"/>
        <v>2020.5</v>
      </c>
      <c r="R430" s="7">
        <f t="shared" si="116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92"/>
        <v>160369</v>
      </c>
      <c r="X430" s="104">
        <f t="shared" si="93"/>
        <v>171305</v>
      </c>
      <c r="Y430" s="104"/>
      <c r="AB430" s="2"/>
      <c r="AC430" s="78">
        <v>150215</v>
      </c>
      <c r="AD430" s="104">
        <f t="shared" si="111"/>
        <v>171305</v>
      </c>
      <c r="AE430" s="193">
        <f t="shared" si="121"/>
        <v>0</v>
      </c>
      <c r="AF430" s="193">
        <f t="shared" si="122"/>
        <v>0</v>
      </c>
      <c r="AG430" s="20">
        <f t="shared" si="123"/>
        <v>0</v>
      </c>
      <c r="AH430" s="20">
        <f t="shared" si="124"/>
        <v>0</v>
      </c>
    </row>
    <row r="431" spans="1:35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2"/>
        <v>218.07888744321312</v>
      </c>
      <c r="O431" s="7">
        <f t="shared" si="113"/>
        <v>4645.75</v>
      </c>
      <c r="P431" s="7">
        <f t="shared" si="114"/>
        <v>4427.6711125567872</v>
      </c>
      <c r="Q431" s="7">
        <f t="shared" si="115"/>
        <v>1907.0476578117</v>
      </c>
      <c r="R431" s="7">
        <f t="shared" si="116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92"/>
        <v>142182</v>
      </c>
      <c r="X431" s="104">
        <f t="shared" si="93"/>
        <v>161416</v>
      </c>
      <c r="Y431" s="104"/>
      <c r="Z431" s="7">
        <v>19991</v>
      </c>
      <c r="AB431" s="2">
        <v>6442</v>
      </c>
      <c r="AC431" s="78">
        <v>157714</v>
      </c>
      <c r="AD431" s="104">
        <f t="shared" si="111"/>
        <v>161416</v>
      </c>
      <c r="AE431" s="193">
        <f t="shared" si="121"/>
        <v>0.12041702068300848</v>
      </c>
      <c r="AF431" s="193">
        <f t="shared" si="122"/>
        <v>2.3945581602815087E-2</v>
      </c>
      <c r="AG431" s="20">
        <f t="shared" si="123"/>
        <v>171.29321192157957</v>
      </c>
      <c r="AH431" s="20">
        <f t="shared" si="124"/>
        <v>46.78567552163355</v>
      </c>
    </row>
    <row r="432" spans="1:35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2"/>
        <v>128.24795772960954</v>
      </c>
      <c r="O432" s="7">
        <f t="shared" si="113"/>
        <v>5114.25</v>
      </c>
      <c r="P432" s="7">
        <f t="shared" si="114"/>
        <v>4986.002042270391</v>
      </c>
      <c r="Q432" s="7">
        <f t="shared" si="115"/>
        <v>2305.166666666667</v>
      </c>
      <c r="R432" s="7">
        <f t="shared" si="116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92"/>
        <v>176977</v>
      </c>
      <c r="X432" s="104">
        <f t="shared" si="93"/>
        <v>188394</v>
      </c>
      <c r="Y432" s="104"/>
      <c r="Z432" s="7">
        <v>14955</v>
      </c>
      <c r="AB432" s="2"/>
      <c r="AC432" s="78">
        <v>162809</v>
      </c>
      <c r="AD432" s="104">
        <f t="shared" si="111"/>
        <v>188394</v>
      </c>
      <c r="AE432" s="193">
        <f t="shared" si="121"/>
        <v>8.7263296255121026E-2</v>
      </c>
      <c r="AF432" s="193">
        <f t="shared" si="122"/>
        <v>0</v>
      </c>
      <c r="AG432" s="20">
        <f t="shared" si="123"/>
        <v>128.24795772960954</v>
      </c>
      <c r="AH432" s="20">
        <f t="shared" si="124"/>
        <v>0</v>
      </c>
    </row>
    <row r="433" spans="1:35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2"/>
        <v>0</v>
      </c>
      <c r="O433" s="7">
        <f t="shared" si="113"/>
        <v>0</v>
      </c>
      <c r="P433" s="7">
        <f t="shared" si="114"/>
        <v>0</v>
      </c>
      <c r="Q433" s="7">
        <f t="shared" si="115"/>
        <v>0</v>
      </c>
      <c r="R433" s="7">
        <f t="shared" si="116"/>
        <v>0</v>
      </c>
      <c r="S433" s="74"/>
      <c r="T433" s="74"/>
      <c r="U433" s="191"/>
      <c r="V433" s="7"/>
      <c r="W433" s="7">
        <f t="shared" si="92"/>
        <v>0</v>
      </c>
      <c r="X433" s="104">
        <f t="shared" si="93"/>
        <v>0</v>
      </c>
      <c r="Y433" s="104"/>
      <c r="AB433" s="2"/>
      <c r="AC433" s="78"/>
      <c r="AD433" s="104"/>
      <c r="AE433" s="193"/>
      <c r="AF433" s="193"/>
      <c r="AG433" s="20"/>
      <c r="AH433" s="20"/>
    </row>
    <row r="434" spans="1:35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2"/>
        <v>69.683324711830323</v>
      </c>
      <c r="O434" s="7">
        <f t="shared" ref="O434:O440" si="125">+B434+C434+D434+F434+I434+K434+J434</f>
        <v>5787.25</v>
      </c>
      <c r="P434" s="7">
        <f t="shared" ref="P434:P440" si="126">+B434+C434+D434+F434+J434+Q434+R434</f>
        <v>5717.5666752881698</v>
      </c>
      <c r="Q434" s="7">
        <f t="shared" ref="Q434:Q440" si="127">+I434-AH434</f>
        <v>2718.9833419548363</v>
      </c>
      <c r="R434" s="7">
        <f t="shared" ref="R434:R440" si="128">+K434-AG434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92"/>
        <v>183617</v>
      </c>
      <c r="X434" s="104">
        <f t="shared" si="93"/>
        <v>204914</v>
      </c>
      <c r="Y434" s="104"/>
      <c r="AB434" s="2">
        <v>8534</v>
      </c>
      <c r="AC434" s="78">
        <v>184135</v>
      </c>
      <c r="AD434" s="104">
        <f t="shared" si="111"/>
        <v>204914</v>
      </c>
      <c r="AE434" s="193">
        <f t="shared" ref="AE434:AE440" si="129">+(Z434/AC434*0.95)</f>
        <v>0</v>
      </c>
      <c r="AF434" s="193">
        <f t="shared" ref="AF434:AF440" si="130">+(AB434/AD434*0.6)</f>
        <v>2.498804376470129E-2</v>
      </c>
      <c r="AG434" s="20">
        <f t="shared" ref="AG434:AG440" si="131">+AE434*K434</f>
        <v>0</v>
      </c>
      <c r="AH434" s="20">
        <f t="shared" ref="AH434:AH440" si="132">+AF434*I434</f>
        <v>69.683324711830323</v>
      </c>
    </row>
    <row r="435" spans="1:35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2"/>
        <v>46.825575256963646</v>
      </c>
      <c r="O435" s="7">
        <f t="shared" si="125"/>
        <v>5950.0833333333339</v>
      </c>
      <c r="P435" s="7">
        <f t="shared" si="126"/>
        <v>5903.25775807637</v>
      </c>
      <c r="Q435" s="7">
        <f t="shared" si="127"/>
        <v>2712.3410914097035</v>
      </c>
      <c r="R435" s="7">
        <f t="shared" si="128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si="92"/>
        <v>207745</v>
      </c>
      <c r="X435" s="104">
        <f t="shared" si="93"/>
        <v>225421</v>
      </c>
      <c r="Y435" s="104"/>
      <c r="AB435" s="2">
        <v>6376</v>
      </c>
      <c r="AC435" s="78">
        <v>196484</v>
      </c>
      <c r="AD435" s="104">
        <f t="shared" si="111"/>
        <v>225421</v>
      </c>
      <c r="AE435" s="193">
        <f t="shared" si="129"/>
        <v>0</v>
      </c>
      <c r="AF435" s="193">
        <f t="shared" si="130"/>
        <v>1.6970912204275556E-2</v>
      </c>
      <c r="AG435" s="20">
        <f t="shared" si="131"/>
        <v>0</v>
      </c>
      <c r="AH435" s="20">
        <f t="shared" si="132"/>
        <v>46.825575256963646</v>
      </c>
    </row>
    <row r="436" spans="1:35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2"/>
        <v>21.149116287151166</v>
      </c>
      <c r="O436" s="7">
        <f t="shared" si="125"/>
        <v>6018.833333333333</v>
      </c>
      <c r="P436" s="7">
        <f t="shared" si="126"/>
        <v>5997.6842170461814</v>
      </c>
      <c r="Q436" s="7">
        <f t="shared" si="127"/>
        <v>2750.6666666666665</v>
      </c>
      <c r="R436" s="7">
        <f t="shared" si="128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92"/>
        <v>217026</v>
      </c>
      <c r="X436" s="104">
        <f t="shared" si="93"/>
        <v>227633</v>
      </c>
      <c r="Y436" s="104"/>
      <c r="Z436" s="7">
        <v>2400</v>
      </c>
      <c r="AB436" s="2"/>
      <c r="AC436" s="78">
        <v>207194</v>
      </c>
      <c r="AD436" s="104">
        <f t="shared" si="111"/>
        <v>227633</v>
      </c>
      <c r="AE436" s="193">
        <f t="shared" si="129"/>
        <v>1.1004179657712094E-2</v>
      </c>
      <c r="AF436" s="193">
        <f t="shared" si="130"/>
        <v>0</v>
      </c>
      <c r="AG436" s="20">
        <f t="shared" si="131"/>
        <v>21.149116287151166</v>
      </c>
      <c r="AH436" s="20">
        <f t="shared" si="132"/>
        <v>0</v>
      </c>
    </row>
    <row r="437" spans="1:35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2"/>
        <v>16.022096524951788</v>
      </c>
      <c r="O437" s="7">
        <f t="shared" si="125"/>
        <v>5827.5</v>
      </c>
      <c r="P437" s="7">
        <f t="shared" si="126"/>
        <v>5811.4779034750482</v>
      </c>
      <c r="Q437" s="7">
        <f t="shared" si="127"/>
        <v>2685.6445701417151</v>
      </c>
      <c r="R437" s="7">
        <f t="shared" si="128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92"/>
        <v>224859</v>
      </c>
      <c r="X437" s="104">
        <f t="shared" si="93"/>
        <v>240083</v>
      </c>
      <c r="Y437" s="104"/>
      <c r="AB437" s="2">
        <v>2373</v>
      </c>
      <c r="AC437" s="78">
        <v>213939</v>
      </c>
      <c r="AD437" s="104">
        <f t="shared" si="111"/>
        <v>240083</v>
      </c>
      <c r="AE437" s="193">
        <f t="shared" si="129"/>
        <v>0</v>
      </c>
      <c r="AF437" s="193">
        <f t="shared" si="130"/>
        <v>5.9304490530358248E-3</v>
      </c>
      <c r="AG437" s="20">
        <f t="shared" si="131"/>
        <v>0</v>
      </c>
      <c r="AH437" s="20">
        <f t="shared" si="132"/>
        <v>16.022096524951788</v>
      </c>
    </row>
    <row r="438" spans="1:35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2"/>
        <v>0</v>
      </c>
      <c r="O438" s="7">
        <f t="shared" si="125"/>
        <v>5880</v>
      </c>
      <c r="P438" s="7">
        <f t="shared" si="126"/>
        <v>5880</v>
      </c>
      <c r="Q438" s="7">
        <f t="shared" si="127"/>
        <v>2746.5</v>
      </c>
      <c r="R438" s="7">
        <f t="shared" si="128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92"/>
        <v>223438</v>
      </c>
      <c r="X438" s="104">
        <f t="shared" si="93"/>
        <v>236877</v>
      </c>
      <c r="Y438" s="104"/>
      <c r="AB438" s="2"/>
      <c r="AC438" s="78">
        <v>202249</v>
      </c>
      <c r="AD438" s="104">
        <f t="shared" si="111"/>
        <v>236877</v>
      </c>
      <c r="AE438" s="193">
        <f t="shared" si="129"/>
        <v>0</v>
      </c>
      <c r="AF438" s="193">
        <f t="shared" si="130"/>
        <v>0</v>
      </c>
      <c r="AG438" s="20">
        <f t="shared" si="131"/>
        <v>0</v>
      </c>
      <c r="AH438" s="20">
        <f t="shared" si="132"/>
        <v>0</v>
      </c>
    </row>
    <row r="439" spans="1:35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2"/>
        <v>0</v>
      </c>
      <c r="O439" s="7">
        <f t="shared" si="125"/>
        <v>5520.416666666667</v>
      </c>
      <c r="P439" s="7">
        <f t="shared" si="126"/>
        <v>5520.416666666667</v>
      </c>
      <c r="Q439" s="7">
        <f t="shared" si="127"/>
        <v>2638.5</v>
      </c>
      <c r="R439" s="7">
        <f t="shared" si="128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92"/>
        <v>215921</v>
      </c>
      <c r="X439" s="104">
        <f t="shared" si="93"/>
        <v>226868</v>
      </c>
      <c r="Y439" s="104"/>
      <c r="AB439" s="2"/>
      <c r="AC439" s="78">
        <v>182757</v>
      </c>
      <c r="AD439" s="104">
        <f t="shared" si="111"/>
        <v>226868</v>
      </c>
      <c r="AE439" s="193">
        <f t="shared" si="129"/>
        <v>0</v>
      </c>
      <c r="AF439" s="193">
        <f t="shared" si="130"/>
        <v>0</v>
      </c>
      <c r="AG439" s="20">
        <f t="shared" si="131"/>
        <v>0</v>
      </c>
      <c r="AH439" s="20">
        <f t="shared" si="132"/>
        <v>0</v>
      </c>
    </row>
    <row r="440" spans="1:35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2"/>
        <v>0</v>
      </c>
      <c r="O440" s="7">
        <f t="shared" si="125"/>
        <v>4250.25</v>
      </c>
      <c r="P440" s="7">
        <f t="shared" si="126"/>
        <v>4250.25</v>
      </c>
      <c r="Q440" s="7">
        <f t="shared" si="127"/>
        <v>1604.916666666667</v>
      </c>
      <c r="R440" s="7">
        <f t="shared" si="128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92"/>
        <v>147216</v>
      </c>
      <c r="X440" s="104">
        <f t="shared" si="93"/>
        <v>161107</v>
      </c>
      <c r="Y440" s="104"/>
      <c r="AB440" s="2"/>
      <c r="AC440" s="78">
        <v>155764</v>
      </c>
      <c r="AD440" s="104">
        <f t="shared" si="111"/>
        <v>161107</v>
      </c>
      <c r="AE440" s="193">
        <f t="shared" si="129"/>
        <v>0</v>
      </c>
      <c r="AF440" s="193">
        <f t="shared" si="130"/>
        <v>0</v>
      </c>
      <c r="AG440" s="20">
        <f t="shared" si="131"/>
        <v>0</v>
      </c>
      <c r="AH440" s="20">
        <f t="shared" si="132"/>
        <v>0</v>
      </c>
    </row>
    <row r="441" spans="1:35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2"/>
        <v>0</v>
      </c>
      <c r="O441" s="7">
        <f t="shared" ref="O441:O444" si="133">+B441+C441+D441+F441+I441+K441+J441</f>
        <v>5287.166666666667</v>
      </c>
      <c r="P441" s="7">
        <f t="shared" ref="P441:P444" si="134">+B441+C441+D441+F441+J441+Q441+R441</f>
        <v>5287.166666666667</v>
      </c>
      <c r="Q441" s="7">
        <f t="shared" ref="Q441:Q444" si="135">+I441-AH441</f>
        <v>2402.5833333333335</v>
      </c>
      <c r="R441" s="7">
        <f t="shared" ref="R441:R444" si="136">+K441-AG441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si="92"/>
        <v>183347</v>
      </c>
      <c r="X441" s="104">
        <f t="shared" si="93"/>
        <v>196826</v>
      </c>
      <c r="Y441" s="104"/>
      <c r="AB441" s="2"/>
      <c r="AC441" s="78">
        <v>194766</v>
      </c>
      <c r="AD441" s="104">
        <f t="shared" si="111"/>
        <v>196826</v>
      </c>
      <c r="AE441" s="193">
        <f t="shared" ref="AE441:AE444" si="137">+(Z441/AC441*0.95)</f>
        <v>0</v>
      </c>
      <c r="AF441" s="193">
        <f t="shared" ref="AF441:AF444" si="138">+(AB441/AD441*0.6)</f>
        <v>0</v>
      </c>
      <c r="AG441" s="20">
        <f t="shared" ref="AG441:AG444" si="139">+AE441*K441</f>
        <v>0</v>
      </c>
      <c r="AH441" s="20">
        <f t="shared" ref="AH441:AH444" si="140">+AF441*I441</f>
        <v>0</v>
      </c>
    </row>
    <row r="442" spans="1:35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2"/>
        <v>0</v>
      </c>
      <c r="O442" s="7">
        <f t="shared" si="133"/>
        <v>4290.6666666666661</v>
      </c>
      <c r="P442" s="7">
        <f t="shared" si="134"/>
        <v>4290.6666666666661</v>
      </c>
      <c r="Q442" s="7">
        <f t="shared" si="135"/>
        <v>2037.25</v>
      </c>
      <c r="R442" s="7">
        <f t="shared" si="136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92"/>
        <v>165753</v>
      </c>
      <c r="X442" s="104">
        <f t="shared" si="93"/>
        <v>183886</v>
      </c>
      <c r="Y442" s="104"/>
      <c r="AC442" s="78">
        <v>113058</v>
      </c>
      <c r="AD442" s="104">
        <f t="shared" si="111"/>
        <v>183886</v>
      </c>
      <c r="AE442" s="193">
        <f t="shared" si="137"/>
        <v>0</v>
      </c>
      <c r="AF442" s="193">
        <f t="shared" si="138"/>
        <v>0</v>
      </c>
      <c r="AG442" s="20">
        <f t="shared" si="139"/>
        <v>0</v>
      </c>
      <c r="AH442" s="20">
        <f t="shared" si="140"/>
        <v>0</v>
      </c>
    </row>
    <row r="443" spans="1:35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2"/>
        <v>0</v>
      </c>
      <c r="O443" s="7">
        <f t="shared" si="133"/>
        <v>4149.416666666667</v>
      </c>
      <c r="P443" s="7">
        <f t="shared" si="134"/>
        <v>4149.416666666667</v>
      </c>
      <c r="Q443" s="7">
        <f t="shared" si="135"/>
        <v>1658.9166666666672</v>
      </c>
      <c r="R443" s="7">
        <f t="shared" si="136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92"/>
        <v>116776</v>
      </c>
      <c r="X443" s="104">
        <f t="shared" si="93"/>
        <v>129772</v>
      </c>
      <c r="Y443" s="104"/>
      <c r="AC443" s="78">
        <v>87749</v>
      </c>
      <c r="AD443" s="104">
        <f t="shared" si="111"/>
        <v>129772</v>
      </c>
      <c r="AE443" s="193">
        <f t="shared" si="137"/>
        <v>0</v>
      </c>
      <c r="AF443" s="193">
        <f t="shared" si="138"/>
        <v>0</v>
      </c>
      <c r="AG443" s="20">
        <f t="shared" si="139"/>
        <v>0</v>
      </c>
      <c r="AH443" s="20">
        <f t="shared" si="140"/>
        <v>0</v>
      </c>
    </row>
    <row r="444" spans="1:35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2"/>
        <v>0</v>
      </c>
      <c r="O444" s="7">
        <f t="shared" si="133"/>
        <v>1315</v>
      </c>
      <c r="P444" s="7">
        <f t="shared" si="134"/>
        <v>1315</v>
      </c>
      <c r="Q444" s="7">
        <f t="shared" si="135"/>
        <v>547.5</v>
      </c>
      <c r="R444" s="7">
        <f t="shared" si="136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92"/>
        <v>21646</v>
      </c>
      <c r="X444" s="104">
        <f t="shared" si="93"/>
        <v>23290</v>
      </c>
      <c r="Y444" s="104"/>
      <c r="Z444" s="74"/>
      <c r="AA444" s="74"/>
      <c r="AC444" s="78">
        <v>22179</v>
      </c>
      <c r="AD444" s="104">
        <f t="shared" si="111"/>
        <v>23290</v>
      </c>
      <c r="AE444" s="193">
        <f t="shared" si="137"/>
        <v>0</v>
      </c>
      <c r="AF444" s="193">
        <f t="shared" si="138"/>
        <v>0</v>
      </c>
      <c r="AG444" s="20">
        <f t="shared" si="139"/>
        <v>0</v>
      </c>
      <c r="AH444" s="20">
        <f t="shared" si="140"/>
        <v>0</v>
      </c>
    </row>
    <row r="445" spans="1:35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2"/>
        <v>0</v>
      </c>
      <c r="O445" s="7">
        <f t="shared" ref="O445:O453" si="141">+B445+C445+D445+F445+I445+K445+J445</f>
        <v>0</v>
      </c>
      <c r="P445" s="7">
        <f t="shared" ref="P445:P453" si="142">+B445+C445+D445+F445+J445+Q445+R445</f>
        <v>0</v>
      </c>
      <c r="Q445" s="7">
        <f t="shared" ref="Q445:Q453" si="143">+I445-AH445</f>
        <v>0</v>
      </c>
      <c r="R445" s="7">
        <f t="shared" ref="R445:R453" si="144">+K445-AG445</f>
        <v>0</v>
      </c>
      <c r="T445" s="7"/>
      <c r="U445" s="7"/>
      <c r="V445" s="74"/>
      <c r="W445" s="7">
        <f t="shared" si="92"/>
        <v>0</v>
      </c>
      <c r="X445" s="104">
        <f t="shared" si="93"/>
        <v>0</v>
      </c>
      <c r="Y445" s="104"/>
      <c r="Z445" s="191"/>
      <c r="AA445" s="191"/>
      <c r="AD445" s="104"/>
      <c r="AE445" s="193"/>
      <c r="AF445" s="193"/>
      <c r="AG445" s="20"/>
      <c r="AH445" s="20"/>
    </row>
    <row r="446" spans="1:35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2"/>
        <v>0</v>
      </c>
      <c r="O446" s="7">
        <f t="shared" si="141"/>
        <v>0</v>
      </c>
      <c r="P446" s="7">
        <f t="shared" si="142"/>
        <v>0</v>
      </c>
      <c r="Q446" s="7">
        <f t="shared" si="143"/>
        <v>0</v>
      </c>
      <c r="R446" s="7">
        <f t="shared" si="144"/>
        <v>0</v>
      </c>
      <c r="T446" s="7"/>
      <c r="U446" s="7"/>
      <c r="V446" s="74"/>
      <c r="W446" s="7">
        <f t="shared" si="92"/>
        <v>0</v>
      </c>
      <c r="X446" s="104">
        <f t="shared" si="93"/>
        <v>0</v>
      </c>
      <c r="Y446" s="104"/>
      <c r="Z446" s="191"/>
      <c r="AA446" s="191"/>
      <c r="AC446" s="78"/>
      <c r="AD446" s="104"/>
      <c r="AE446" s="193"/>
      <c r="AF446" s="193"/>
      <c r="AG446" s="20"/>
      <c r="AH446" s="20"/>
    </row>
    <row r="447" spans="1:35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2"/>
        <v>0</v>
      </c>
      <c r="O447" s="7">
        <f t="shared" si="141"/>
        <v>0</v>
      </c>
      <c r="P447" s="7">
        <f t="shared" si="142"/>
        <v>0</v>
      </c>
      <c r="Q447" s="7">
        <f t="shared" si="143"/>
        <v>0</v>
      </c>
      <c r="R447" s="7">
        <f t="shared" si="144"/>
        <v>0</v>
      </c>
      <c r="W447" s="7">
        <f t="shared" si="92"/>
        <v>0</v>
      </c>
      <c r="X447" s="104">
        <f t="shared" si="93"/>
        <v>0</v>
      </c>
      <c r="Y447" s="104"/>
      <c r="AE447" s="193"/>
      <c r="AF447" s="193"/>
      <c r="AG447" s="20"/>
      <c r="AH447" s="20"/>
    </row>
    <row r="448" spans="1:35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2"/>
        <v>0</v>
      </c>
      <c r="O448" s="7">
        <f t="shared" si="141"/>
        <v>4476.916666666667</v>
      </c>
      <c r="P448" s="7">
        <f t="shared" si="142"/>
        <v>4476.916666666667</v>
      </c>
      <c r="Q448" s="7">
        <f t="shared" si="143"/>
        <v>1967.4999999999998</v>
      </c>
      <c r="R448" s="7">
        <f t="shared" si="144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si="92"/>
        <v>132810</v>
      </c>
      <c r="X448" s="104">
        <f t="shared" si="93"/>
        <v>140064</v>
      </c>
      <c r="Y448" s="104"/>
      <c r="Z448" s="191"/>
      <c r="AA448" s="191"/>
      <c r="AC448" s="78">
        <v>167958</v>
      </c>
      <c r="AD448" s="104">
        <f t="shared" ref="AD448:AD511" si="145">+X448</f>
        <v>140064</v>
      </c>
      <c r="AE448" s="193">
        <f t="shared" ref="AE448:AE453" si="146">+(Z448/AC448*0.95)</f>
        <v>0</v>
      </c>
      <c r="AF448" s="193">
        <f t="shared" ref="AF448:AF453" si="147">+(AB448/AD448*0.6)</f>
        <v>0</v>
      </c>
      <c r="AG448" s="20">
        <f t="shared" ref="AG448:AG453" si="148">+AE448*K448</f>
        <v>0</v>
      </c>
      <c r="AH448" s="20">
        <f t="shared" ref="AH448:AH453" si="149">+AF448*I448</f>
        <v>0</v>
      </c>
      <c r="AI448" s="27"/>
    </row>
    <row r="449" spans="1:35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2"/>
        <v>0</v>
      </c>
      <c r="O449" s="7">
        <f t="shared" si="141"/>
        <v>4569.2500000000009</v>
      </c>
      <c r="P449" s="7">
        <f t="shared" si="142"/>
        <v>4569.2500000000009</v>
      </c>
      <c r="Q449" s="7">
        <f t="shared" si="143"/>
        <v>2263.916666666667</v>
      </c>
      <c r="R449" s="7">
        <f t="shared" si="144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92"/>
        <v>183380</v>
      </c>
      <c r="X449" s="104">
        <f t="shared" si="93"/>
        <v>194351</v>
      </c>
      <c r="Y449" s="104"/>
      <c r="AC449" s="78">
        <v>154730</v>
      </c>
      <c r="AD449" s="104">
        <f t="shared" si="145"/>
        <v>194351</v>
      </c>
      <c r="AE449" s="193">
        <f t="shared" si="146"/>
        <v>0</v>
      </c>
      <c r="AF449" s="193">
        <f t="shared" si="147"/>
        <v>0</v>
      </c>
      <c r="AG449" s="20">
        <f t="shared" si="148"/>
        <v>0</v>
      </c>
      <c r="AH449" s="20">
        <f t="shared" si="149"/>
        <v>0</v>
      </c>
      <c r="AI449" s="27"/>
    </row>
    <row r="450" spans="1:35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2"/>
        <v>106.82105888504971</v>
      </c>
      <c r="O450" s="7">
        <f t="shared" si="141"/>
        <v>4595</v>
      </c>
      <c r="P450" s="7">
        <f t="shared" si="142"/>
        <v>4488.1789411149502</v>
      </c>
      <c r="Q450" s="7">
        <f t="shared" si="143"/>
        <v>2349.6666666666665</v>
      </c>
      <c r="R450" s="7">
        <f t="shared" si="144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92"/>
        <v>187063</v>
      </c>
      <c r="X450" s="104">
        <f t="shared" si="93"/>
        <v>197964</v>
      </c>
      <c r="Y450" s="104"/>
      <c r="Z450" s="7">
        <v>14284</v>
      </c>
      <c r="AB450" s="2"/>
      <c r="AC450" s="78">
        <v>151074</v>
      </c>
      <c r="AD450" s="104">
        <f t="shared" si="145"/>
        <v>197964</v>
      </c>
      <c r="AE450" s="193">
        <f t="shared" si="146"/>
        <v>8.9822206335967797E-2</v>
      </c>
      <c r="AF450" s="193">
        <f t="shared" si="147"/>
        <v>0</v>
      </c>
      <c r="AG450" s="20">
        <f t="shared" si="148"/>
        <v>106.82105888504971</v>
      </c>
      <c r="AH450" s="20">
        <f t="shared" si="149"/>
        <v>0</v>
      </c>
      <c r="AI450" s="27"/>
    </row>
    <row r="451" spans="1:35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2"/>
        <v>688.45810163156511</v>
      </c>
      <c r="O451" s="7">
        <f t="shared" si="141"/>
        <v>4358.75</v>
      </c>
      <c r="P451" s="7">
        <f t="shared" si="142"/>
        <v>3670.2918983684349</v>
      </c>
      <c r="Q451" s="7">
        <f t="shared" si="143"/>
        <v>1798.2867064728571</v>
      </c>
      <c r="R451" s="7">
        <f t="shared" si="144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ref="W451:W514" si="150">+V451-U451-S451+AA451</f>
        <v>126924</v>
      </c>
      <c r="X451" s="104">
        <f t="shared" ref="X451:X514" si="151">+V451+AB451+AA451</f>
        <v>178113</v>
      </c>
      <c r="Y451" s="104"/>
      <c r="Z451" s="7">
        <v>59293</v>
      </c>
      <c r="AB451" s="2">
        <v>39866</v>
      </c>
      <c r="AC451" s="78">
        <v>162545</v>
      </c>
      <c r="AD451" s="104">
        <f t="shared" si="145"/>
        <v>178113</v>
      </c>
      <c r="AE451" s="193">
        <f t="shared" si="146"/>
        <v>0.34654003506721215</v>
      </c>
      <c r="AF451" s="193">
        <f>+(AB451/AD451*0.6)</f>
        <v>0.13429452089403918</v>
      </c>
      <c r="AG451" s="20">
        <f t="shared" si="148"/>
        <v>409.4948081044223</v>
      </c>
      <c r="AH451" s="20">
        <f t="shared" si="149"/>
        <v>278.96329352714287</v>
      </c>
      <c r="AI451" s="27"/>
    </row>
    <row r="452" spans="1:35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2"/>
        <v>131.61444828255495</v>
      </c>
      <c r="O452" s="7">
        <f t="shared" si="141"/>
        <v>4002.3333333333335</v>
      </c>
      <c r="P452" s="7">
        <f t="shared" si="142"/>
        <v>3870.7188850507782</v>
      </c>
      <c r="Q452" s="7">
        <f t="shared" si="143"/>
        <v>1668.1611056075296</v>
      </c>
      <c r="R452" s="7">
        <f t="shared" si="144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0"/>
        <v>125308</v>
      </c>
      <c r="X452" s="104">
        <f t="shared" si="151"/>
        <v>152426</v>
      </c>
      <c r="Y452" s="104"/>
      <c r="Z452" s="7">
        <v>1108</v>
      </c>
      <c r="AB452" s="2">
        <v>17413</v>
      </c>
      <c r="AC452" s="78">
        <v>114749</v>
      </c>
      <c r="AD452" s="104">
        <f t="shared" si="145"/>
        <v>152426</v>
      </c>
      <c r="AE452" s="193">
        <f t="shared" si="146"/>
        <v>9.1730646890168972E-3</v>
      </c>
      <c r="AF452" s="193">
        <f t="shared" si="147"/>
        <v>6.8543424350176477E-2</v>
      </c>
      <c r="AG452" s="20">
        <f t="shared" si="148"/>
        <v>8.8588872234180691</v>
      </c>
      <c r="AH452" s="20">
        <f t="shared" si="149"/>
        <v>122.75556105913688</v>
      </c>
      <c r="AI452" s="27"/>
    </row>
    <row r="453" spans="1:35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2"/>
        <v>90.738158811237525</v>
      </c>
      <c r="O453" s="7">
        <f t="shared" si="141"/>
        <v>3928.9166666666661</v>
      </c>
      <c r="P453" s="7">
        <f t="shared" si="142"/>
        <v>3838.1785078554285</v>
      </c>
      <c r="Q453" s="7">
        <f t="shared" si="143"/>
        <v>1566.7618411887624</v>
      </c>
      <c r="R453" s="7">
        <f t="shared" si="144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0"/>
        <v>118139</v>
      </c>
      <c r="X453" s="104">
        <f t="shared" si="151"/>
        <v>146438</v>
      </c>
      <c r="Y453" s="104"/>
      <c r="AB453" s="2">
        <v>13361</v>
      </c>
      <c r="AC453" s="78">
        <v>92110</v>
      </c>
      <c r="AD453" s="104">
        <f t="shared" si="145"/>
        <v>146438</v>
      </c>
      <c r="AE453" s="193">
        <f t="shared" si="146"/>
        <v>0</v>
      </c>
      <c r="AF453" s="193">
        <f t="shared" si="147"/>
        <v>5.4743987216432893E-2</v>
      </c>
      <c r="AG453" s="20">
        <f t="shared" si="148"/>
        <v>0</v>
      </c>
      <c r="AH453" s="20">
        <f t="shared" si="149"/>
        <v>90.738158811237525</v>
      </c>
      <c r="AI453" s="27"/>
    </row>
    <row r="454" spans="1:35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2"/>
        <v>0</v>
      </c>
      <c r="O454" s="7">
        <f t="shared" ref="O454:O461" si="152">+B454+C454+D454+F454+I454+K454+J454</f>
        <v>0</v>
      </c>
      <c r="P454" s="7">
        <f t="shared" ref="P454:P461" si="153">+B454+C454+D454+F454+J454+Q454+R454</f>
        <v>0</v>
      </c>
      <c r="Q454" s="7">
        <f t="shared" ref="Q454:Q461" si="154">+I454-AH454</f>
        <v>0</v>
      </c>
      <c r="R454" s="7">
        <f t="shared" ref="R454:R461" si="155">+K454-AG454</f>
        <v>0</v>
      </c>
      <c r="S454" s="166"/>
      <c r="T454" s="165"/>
      <c r="V454" s="104"/>
      <c r="W454" s="7">
        <f t="shared" si="150"/>
        <v>0</v>
      </c>
      <c r="X454" s="104">
        <f t="shared" si="151"/>
        <v>0</v>
      </c>
      <c r="Y454" s="104"/>
      <c r="AB454" s="2"/>
      <c r="AD454" s="104"/>
      <c r="AE454" s="193"/>
      <c r="AF454" s="193"/>
      <c r="AG454" s="20"/>
      <c r="AH454" s="20"/>
    </row>
    <row r="455" spans="1:35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2"/>
        <v>0</v>
      </c>
      <c r="O455" s="7">
        <f t="shared" si="152"/>
        <v>4098.75</v>
      </c>
      <c r="P455" s="7">
        <f t="shared" si="153"/>
        <v>4098.75</v>
      </c>
      <c r="Q455" s="7">
        <f t="shared" si="154"/>
        <v>1681.75</v>
      </c>
      <c r="R455" s="7">
        <f t="shared" si="155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0"/>
        <v>128584</v>
      </c>
      <c r="X455" s="104">
        <f t="shared" si="151"/>
        <v>137391</v>
      </c>
      <c r="Y455" s="104"/>
      <c r="AB455" s="2"/>
      <c r="AC455" s="78">
        <v>147380</v>
      </c>
      <c r="AD455" s="104">
        <f t="shared" si="145"/>
        <v>137391</v>
      </c>
      <c r="AE455" s="193">
        <f t="shared" ref="AE455:AE460" si="156">+(Z455/AC455*0.95)</f>
        <v>0</v>
      </c>
      <c r="AF455" s="193">
        <f t="shared" ref="AF455:AF460" si="157">+(AB455/AD455*0.6)</f>
        <v>0</v>
      </c>
      <c r="AG455" s="20">
        <f t="shared" ref="AG455:AG460" si="158">+AE455*K455</f>
        <v>0</v>
      </c>
      <c r="AH455" s="20">
        <f t="shared" ref="AH455:AH460" si="159">+AF455*I455</f>
        <v>0</v>
      </c>
    </row>
    <row r="456" spans="1:35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2"/>
        <v>0</v>
      </c>
      <c r="O456" s="7">
        <f t="shared" si="152"/>
        <v>4021.0833333333335</v>
      </c>
      <c r="P456" s="7">
        <f t="shared" si="153"/>
        <v>4021.0833333333335</v>
      </c>
      <c r="Q456" s="7">
        <f t="shared" si="154"/>
        <v>1603.0833333333333</v>
      </c>
      <c r="R456" s="7">
        <f t="shared" si="155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0"/>
        <v>140045</v>
      </c>
      <c r="X456" s="104">
        <f t="shared" si="151"/>
        <v>150863</v>
      </c>
      <c r="Y456" s="104"/>
      <c r="AB456" s="2"/>
      <c r="AC456" s="78">
        <v>148942</v>
      </c>
      <c r="AD456" s="104">
        <f t="shared" si="145"/>
        <v>150863</v>
      </c>
      <c r="AE456" s="193">
        <f t="shared" si="156"/>
        <v>0</v>
      </c>
      <c r="AF456" s="193">
        <f t="shared" si="157"/>
        <v>0</v>
      </c>
      <c r="AG456" s="20">
        <f t="shared" si="158"/>
        <v>0</v>
      </c>
      <c r="AH456" s="20">
        <f t="shared" si="159"/>
        <v>0</v>
      </c>
    </row>
    <row r="457" spans="1:35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2"/>
        <v>136.00679111287204</v>
      </c>
      <c r="O457" s="7">
        <f t="shared" si="152"/>
        <v>3995.6666666666665</v>
      </c>
      <c r="P457" s="7">
        <f t="shared" si="153"/>
        <v>3859.6598755537952</v>
      </c>
      <c r="Q457" s="7">
        <f t="shared" si="154"/>
        <v>1488.4098755537948</v>
      </c>
      <c r="R457" s="7">
        <f t="shared" si="155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0"/>
        <v>130652</v>
      </c>
      <c r="X457" s="104">
        <f t="shared" si="151"/>
        <v>166578</v>
      </c>
      <c r="Y457" s="104"/>
      <c r="AB457" s="2">
        <v>23245</v>
      </c>
      <c r="AC457" s="78">
        <v>139764</v>
      </c>
      <c r="AD457" s="104">
        <f t="shared" si="145"/>
        <v>166578</v>
      </c>
      <c r="AE457" s="193">
        <f t="shared" si="156"/>
        <v>0</v>
      </c>
      <c r="AF457" s="193">
        <f t="shared" si="157"/>
        <v>8.3726542520620964E-2</v>
      </c>
      <c r="AG457" s="20">
        <f t="shared" si="158"/>
        <v>0</v>
      </c>
      <c r="AH457" s="20">
        <f t="shared" si="159"/>
        <v>136.00679111287204</v>
      </c>
    </row>
    <row r="458" spans="1:35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2"/>
        <v>176.13562084857003</v>
      </c>
      <c r="O458" s="7">
        <f t="shared" si="152"/>
        <v>4143.75</v>
      </c>
      <c r="P458" s="7">
        <f t="shared" si="153"/>
        <v>3967.6143791514301</v>
      </c>
      <c r="Q458" s="7">
        <f t="shared" si="154"/>
        <v>1957.8829230935446</v>
      </c>
      <c r="R458" s="7">
        <f t="shared" si="155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0"/>
        <v>144512</v>
      </c>
      <c r="X458" s="104">
        <f t="shared" si="151"/>
        <v>157347</v>
      </c>
      <c r="Y458" s="104"/>
      <c r="Z458" s="7">
        <v>22476</v>
      </c>
      <c r="AB458" s="2">
        <v>38</v>
      </c>
      <c r="AC458" s="78">
        <v>101903</v>
      </c>
      <c r="AD458" s="104">
        <f t="shared" si="145"/>
        <v>157347</v>
      </c>
      <c r="AE458" s="193">
        <f t="shared" si="156"/>
        <v>0.20953455737318821</v>
      </c>
      <c r="AF458" s="193">
        <f t="shared" si="157"/>
        <v>1.4490266735304772E-4</v>
      </c>
      <c r="AG458" s="20">
        <f t="shared" si="158"/>
        <v>175.8518772754482</v>
      </c>
      <c r="AH458" s="20">
        <f t="shared" si="159"/>
        <v>0.28374357312182624</v>
      </c>
    </row>
    <row r="459" spans="1:35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2"/>
        <v>0</v>
      </c>
      <c r="O459" s="7">
        <f t="shared" si="152"/>
        <v>4136.5833333333339</v>
      </c>
      <c r="P459" s="7">
        <f t="shared" si="153"/>
        <v>4136.5833333333339</v>
      </c>
      <c r="Q459" s="7">
        <f t="shared" si="154"/>
        <v>1873.75</v>
      </c>
      <c r="R459" s="7">
        <f t="shared" si="155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0"/>
        <v>144743</v>
      </c>
      <c r="X459" s="104">
        <f t="shared" si="151"/>
        <v>156080</v>
      </c>
      <c r="Y459" s="104"/>
      <c r="AB459" s="2"/>
      <c r="AC459" s="78">
        <v>120543</v>
      </c>
      <c r="AD459" s="104">
        <f t="shared" si="145"/>
        <v>156080</v>
      </c>
      <c r="AE459" s="193">
        <f t="shared" si="156"/>
        <v>0</v>
      </c>
      <c r="AF459" s="193">
        <f t="shared" si="157"/>
        <v>0</v>
      </c>
      <c r="AG459" s="20">
        <f t="shared" si="158"/>
        <v>0</v>
      </c>
      <c r="AH459" s="20">
        <f t="shared" si="159"/>
        <v>0</v>
      </c>
    </row>
    <row r="460" spans="1:35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2"/>
        <v>0</v>
      </c>
      <c r="O460" s="7">
        <f t="shared" si="152"/>
        <v>3467.666666666667</v>
      </c>
      <c r="P460" s="7">
        <f t="shared" si="153"/>
        <v>3467.666666666667</v>
      </c>
      <c r="Q460" s="7">
        <f t="shared" si="154"/>
        <v>1467.4999999999998</v>
      </c>
      <c r="R460" s="7">
        <f t="shared" si="155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0"/>
        <v>116034</v>
      </c>
      <c r="X460" s="104">
        <f t="shared" si="151"/>
        <v>126619</v>
      </c>
      <c r="Y460" s="104"/>
      <c r="AB460" s="2"/>
      <c r="AC460" s="78">
        <v>114645</v>
      </c>
      <c r="AD460" s="104">
        <f t="shared" si="145"/>
        <v>126619</v>
      </c>
      <c r="AE460" s="193">
        <f t="shared" si="156"/>
        <v>0</v>
      </c>
      <c r="AF460" s="193">
        <f t="shared" si="157"/>
        <v>0</v>
      </c>
      <c r="AG460" s="20">
        <f t="shared" si="158"/>
        <v>0</v>
      </c>
      <c r="AH460" s="20">
        <f t="shared" si="159"/>
        <v>0</v>
      </c>
    </row>
    <row r="461" spans="1:35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2"/>
        <v>0</v>
      </c>
      <c r="O461" s="7">
        <f t="shared" si="152"/>
        <v>0</v>
      </c>
      <c r="P461" s="7">
        <f t="shared" si="153"/>
        <v>0</v>
      </c>
      <c r="Q461" s="7">
        <f t="shared" si="154"/>
        <v>0</v>
      </c>
      <c r="R461" s="7">
        <f t="shared" si="155"/>
        <v>0</v>
      </c>
      <c r="T461" s="7"/>
      <c r="U461" s="7"/>
      <c r="V461" s="104"/>
      <c r="W461" s="7">
        <f t="shared" si="150"/>
        <v>0</v>
      </c>
      <c r="X461" s="104">
        <f t="shared" si="151"/>
        <v>0</v>
      </c>
      <c r="Y461" s="104"/>
      <c r="AB461" s="2"/>
      <c r="AC461" s="78"/>
      <c r="AD461" s="104"/>
      <c r="AE461" s="193"/>
      <c r="AF461" s="193"/>
      <c r="AG461" s="20"/>
      <c r="AH461" s="20"/>
    </row>
    <row r="462" spans="1:35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2"/>
        <v>0</v>
      </c>
      <c r="O462" s="7">
        <f t="shared" ref="O462:O467" si="160">+B462+C462+D462+F462+I462+K462+J462</f>
        <v>4392.75</v>
      </c>
      <c r="P462" s="7">
        <f t="shared" ref="P462:P467" si="161">+B462+C462+D462+F462+J462+Q462+R462</f>
        <v>4392.75</v>
      </c>
      <c r="Q462" s="7">
        <f t="shared" ref="Q462:Q467" si="162">+I462-AH462</f>
        <v>2024.75</v>
      </c>
      <c r="R462" s="7">
        <f t="shared" ref="R462:R467" si="163">+K462-AG462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0"/>
        <v>136236</v>
      </c>
      <c r="X462" s="104">
        <f t="shared" si="151"/>
        <v>141815</v>
      </c>
      <c r="Y462" s="104"/>
      <c r="AB462" s="2"/>
      <c r="AC462" s="78">
        <v>138164</v>
      </c>
      <c r="AD462" s="104">
        <f t="shared" si="145"/>
        <v>141815</v>
      </c>
      <c r="AE462" s="193">
        <f t="shared" ref="AE462:AE467" si="164">+(Z462/AC462*0.95)</f>
        <v>0</v>
      </c>
      <c r="AF462" s="193">
        <f t="shared" ref="AF462:AF467" si="165">+(AB462/AD462*0.6)</f>
        <v>0</v>
      </c>
      <c r="AG462" s="20">
        <f t="shared" ref="AG462:AG467" si="166">+AE462*K462</f>
        <v>0</v>
      </c>
      <c r="AH462" s="20">
        <f t="shared" ref="AH462:AH467" si="167">+AF462*I462</f>
        <v>0</v>
      </c>
    </row>
    <row r="463" spans="1:35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2"/>
        <v>0</v>
      </c>
      <c r="O463" s="7">
        <f t="shared" si="160"/>
        <v>4303.3333333333339</v>
      </c>
      <c r="P463" s="7">
        <f t="shared" si="161"/>
        <v>4303.3333333333339</v>
      </c>
      <c r="Q463" s="7">
        <f t="shared" si="162"/>
        <v>1829.75</v>
      </c>
      <c r="R463" s="7">
        <f t="shared" si="163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0"/>
        <v>134645</v>
      </c>
      <c r="X463" s="104">
        <f t="shared" si="151"/>
        <v>142688</v>
      </c>
      <c r="Y463" s="104"/>
      <c r="AC463" s="78">
        <v>150498</v>
      </c>
      <c r="AD463" s="104">
        <f t="shared" si="145"/>
        <v>142688</v>
      </c>
      <c r="AE463" s="193">
        <f t="shared" si="164"/>
        <v>0</v>
      </c>
      <c r="AF463" s="193">
        <f t="shared" si="165"/>
        <v>0</v>
      </c>
      <c r="AG463" s="20">
        <f t="shared" si="166"/>
        <v>0</v>
      </c>
      <c r="AH463" s="20">
        <f t="shared" si="167"/>
        <v>0</v>
      </c>
    </row>
    <row r="464" spans="1:35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2"/>
        <v>0</v>
      </c>
      <c r="O464" s="7">
        <f t="shared" si="160"/>
        <v>4470.25</v>
      </c>
      <c r="P464" s="7">
        <f t="shared" si="161"/>
        <v>4470.25</v>
      </c>
      <c r="Q464" s="7">
        <f t="shared" si="162"/>
        <v>2172.8333333333335</v>
      </c>
      <c r="R464" s="7">
        <f t="shared" si="163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0"/>
        <v>164366</v>
      </c>
      <c r="X464" s="104">
        <f t="shared" si="151"/>
        <v>173757</v>
      </c>
      <c r="Y464" s="104"/>
      <c r="AC464" s="78">
        <v>135226</v>
      </c>
      <c r="AD464" s="104">
        <f t="shared" si="145"/>
        <v>173757</v>
      </c>
      <c r="AE464" s="193">
        <f t="shared" si="164"/>
        <v>0</v>
      </c>
      <c r="AF464" s="193">
        <f t="shared" si="165"/>
        <v>0</v>
      </c>
      <c r="AG464" s="20">
        <f t="shared" si="166"/>
        <v>0</v>
      </c>
      <c r="AH464" s="20">
        <f t="shared" si="167"/>
        <v>0</v>
      </c>
    </row>
    <row r="465" spans="1:35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2"/>
        <v>0</v>
      </c>
      <c r="O465" s="7">
        <f t="shared" si="160"/>
        <v>4571.083333333333</v>
      </c>
      <c r="P465" s="7">
        <f t="shared" si="161"/>
        <v>4571.083333333333</v>
      </c>
      <c r="Q465" s="7">
        <f t="shared" si="162"/>
        <v>2145.6666666666665</v>
      </c>
      <c r="R465" s="7">
        <f t="shared" si="163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0"/>
        <v>168696</v>
      </c>
      <c r="X465" s="104">
        <f t="shared" si="151"/>
        <v>180019</v>
      </c>
      <c r="Y465" s="104"/>
      <c r="AC465" s="78">
        <v>139569</v>
      </c>
      <c r="AD465" s="104">
        <f t="shared" si="145"/>
        <v>180019</v>
      </c>
      <c r="AE465" s="193">
        <f t="shared" si="164"/>
        <v>0</v>
      </c>
      <c r="AF465" s="193">
        <f t="shared" si="165"/>
        <v>0</v>
      </c>
      <c r="AG465" s="20">
        <f t="shared" si="166"/>
        <v>0</v>
      </c>
      <c r="AH465" s="20">
        <f t="shared" si="167"/>
        <v>0</v>
      </c>
    </row>
    <row r="466" spans="1:35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2"/>
        <v>82.865192802453777</v>
      </c>
      <c r="O466" s="7">
        <f t="shared" si="160"/>
        <v>4292.333333333333</v>
      </c>
      <c r="P466" s="7">
        <f t="shared" si="161"/>
        <v>4209.4681405308793</v>
      </c>
      <c r="Q466" s="7">
        <f t="shared" si="162"/>
        <v>1965.5</v>
      </c>
      <c r="R466" s="7">
        <f t="shared" si="163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0"/>
        <v>147107</v>
      </c>
      <c r="X466" s="104">
        <f t="shared" si="151"/>
        <v>159246</v>
      </c>
      <c r="Y466" s="104"/>
      <c r="Z466" s="7">
        <v>10245</v>
      </c>
      <c r="AC466" s="78">
        <v>129433</v>
      </c>
      <c r="AD466" s="104">
        <f t="shared" si="145"/>
        <v>159246</v>
      </c>
      <c r="AE466" s="193">
        <f t="shared" si="164"/>
        <v>7.5195274775366402E-2</v>
      </c>
      <c r="AF466" s="193">
        <f t="shared" si="165"/>
        <v>0</v>
      </c>
      <c r="AG466" s="20">
        <f t="shared" si="166"/>
        <v>82.865192802453777</v>
      </c>
      <c r="AH466" s="20">
        <f t="shared" si="167"/>
        <v>0</v>
      </c>
      <c r="AI466" s="20"/>
    </row>
    <row r="467" spans="1:35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2"/>
        <v>65.369722032687775</v>
      </c>
      <c r="O467" s="7">
        <f t="shared" si="160"/>
        <v>3895.916666666667</v>
      </c>
      <c r="P467" s="7">
        <f t="shared" si="161"/>
        <v>3830.5469446339794</v>
      </c>
      <c r="Q467" s="7">
        <f t="shared" si="162"/>
        <v>1638.7136113006457</v>
      </c>
      <c r="R467" s="7">
        <f t="shared" si="163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0"/>
        <v>138797</v>
      </c>
      <c r="X467" s="104">
        <f t="shared" si="151"/>
        <v>156817</v>
      </c>
      <c r="Y467" s="104"/>
      <c r="AB467" s="2">
        <v>10026</v>
      </c>
      <c r="AC467" s="78">
        <v>124565</v>
      </c>
      <c r="AD467" s="104">
        <f t="shared" si="145"/>
        <v>156817</v>
      </c>
      <c r="AE467" s="193">
        <f t="shared" si="164"/>
        <v>0</v>
      </c>
      <c r="AF467" s="193">
        <f t="shared" si="165"/>
        <v>3.8360636920742007E-2</v>
      </c>
      <c r="AG467" s="20">
        <f t="shared" si="166"/>
        <v>0</v>
      </c>
      <c r="AH467" s="20">
        <f t="shared" si="167"/>
        <v>65.369722032687775</v>
      </c>
    </row>
    <row r="468" spans="1:35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2"/>
        <v>0</v>
      </c>
      <c r="S468" s="74"/>
      <c r="T468" s="74"/>
      <c r="U468" s="74"/>
      <c r="V468" s="104"/>
      <c r="W468" s="7">
        <f t="shared" si="150"/>
        <v>0</v>
      </c>
      <c r="X468" s="104">
        <f t="shared" si="151"/>
        <v>0</v>
      </c>
      <c r="Y468" s="104"/>
      <c r="AD468" s="104">
        <f t="shared" si="145"/>
        <v>0</v>
      </c>
      <c r="AE468" s="193"/>
      <c r="AF468" s="193"/>
      <c r="AG468" s="20"/>
      <c r="AH468" s="20"/>
    </row>
    <row r="469" spans="1:35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2"/>
        <v>0</v>
      </c>
      <c r="O469" s="7">
        <f t="shared" ref="O469:O516" si="168">+B469+C469+D469+F469+I469+K469+J469</f>
        <v>4031.583333333333</v>
      </c>
      <c r="P469" s="7">
        <f t="shared" ref="P469:P516" si="169">+B469+C469+D469+F469+J469+Q469+R469</f>
        <v>4031.583333333333</v>
      </c>
      <c r="Q469" s="7">
        <f t="shared" ref="Q469:Q516" si="170">+I469-AH469</f>
        <v>1569.75</v>
      </c>
      <c r="R469" s="7">
        <f t="shared" ref="R469:R475" si="171">+K469-AG469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0"/>
        <v>127767</v>
      </c>
      <c r="X469" s="104">
        <f t="shared" si="151"/>
        <v>134647</v>
      </c>
      <c r="Y469" s="104"/>
      <c r="AC469" s="78">
        <v>132752</v>
      </c>
      <c r="AD469" s="104">
        <f t="shared" si="145"/>
        <v>134647</v>
      </c>
      <c r="AE469" s="193">
        <f t="shared" ref="AE469:AE475" si="172">+(Z469/AC469*0.95)</f>
        <v>0</v>
      </c>
      <c r="AF469" s="193">
        <f t="shared" ref="AF469:AF475" si="173">+(AB469/AD469*0.6)</f>
        <v>0</v>
      </c>
      <c r="AG469" s="20">
        <f t="shared" ref="AG469:AG472" si="174">+AE469*K469</f>
        <v>0</v>
      </c>
      <c r="AH469" s="20">
        <f t="shared" ref="AH469:AH472" si="175">+AF469*I469</f>
        <v>0</v>
      </c>
      <c r="AI469" s="20"/>
    </row>
    <row r="470" spans="1:35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2"/>
        <v>0</v>
      </c>
      <c r="O470" s="7">
        <f t="shared" si="168"/>
        <v>4157</v>
      </c>
      <c r="P470" s="7">
        <f t="shared" si="169"/>
        <v>4157</v>
      </c>
      <c r="Q470" s="7">
        <f t="shared" si="170"/>
        <v>1627</v>
      </c>
      <c r="R470" s="7">
        <f t="shared" si="171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0"/>
        <v>134267</v>
      </c>
      <c r="X470" s="104">
        <f t="shared" si="151"/>
        <v>144859</v>
      </c>
      <c r="Y470" s="104"/>
      <c r="AC470" s="78">
        <v>150916</v>
      </c>
      <c r="AD470" s="104">
        <f t="shared" si="145"/>
        <v>144859</v>
      </c>
      <c r="AE470" s="193">
        <f t="shared" si="172"/>
        <v>0</v>
      </c>
      <c r="AF470" s="193">
        <f t="shared" si="173"/>
        <v>0</v>
      </c>
      <c r="AG470" s="20">
        <f t="shared" si="174"/>
        <v>0</v>
      </c>
      <c r="AH470" s="20">
        <f t="shared" si="175"/>
        <v>0</v>
      </c>
      <c r="AI470" s="20"/>
    </row>
    <row r="471" spans="1:35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2"/>
        <v>0</v>
      </c>
      <c r="O471" s="7">
        <f t="shared" si="168"/>
        <v>3984.25</v>
      </c>
      <c r="P471" s="7">
        <f t="shared" si="169"/>
        <v>3984.25</v>
      </c>
      <c r="Q471" s="7">
        <f t="shared" si="170"/>
        <v>1732.3333333333335</v>
      </c>
      <c r="R471" s="7">
        <f t="shared" si="171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0"/>
        <v>151523</v>
      </c>
      <c r="X471" s="104">
        <f t="shared" si="151"/>
        <v>158487</v>
      </c>
      <c r="Y471" s="104"/>
      <c r="AC471" s="78">
        <v>133898</v>
      </c>
      <c r="AD471" s="104">
        <f t="shared" si="145"/>
        <v>158487</v>
      </c>
      <c r="AE471" s="193">
        <f t="shared" si="172"/>
        <v>0</v>
      </c>
      <c r="AF471" s="193">
        <f t="shared" si="173"/>
        <v>0</v>
      </c>
      <c r="AG471" s="20">
        <f t="shared" si="174"/>
        <v>0</v>
      </c>
      <c r="AH471" s="20">
        <f t="shared" si="175"/>
        <v>0</v>
      </c>
      <c r="AI471" s="20"/>
    </row>
    <row r="472" spans="1:35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2"/>
        <v>0</v>
      </c>
      <c r="O472" s="7">
        <f t="shared" si="168"/>
        <v>3986.25</v>
      </c>
      <c r="P472" s="7">
        <f t="shared" si="169"/>
        <v>3986.25</v>
      </c>
      <c r="Q472" s="7">
        <f t="shared" si="170"/>
        <v>1733.5</v>
      </c>
      <c r="R472" s="7">
        <f>+K472-AG472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0"/>
        <v>150196</v>
      </c>
      <c r="X472" s="104">
        <f t="shared" si="151"/>
        <v>159831</v>
      </c>
      <c r="Y472" s="104"/>
      <c r="AC472" s="78">
        <v>132832</v>
      </c>
      <c r="AD472" s="104">
        <f t="shared" si="145"/>
        <v>159831</v>
      </c>
      <c r="AE472" s="193">
        <f t="shared" si="172"/>
        <v>0</v>
      </c>
      <c r="AF472" s="193">
        <f t="shared" si="173"/>
        <v>0</v>
      </c>
      <c r="AG472" s="20">
        <f t="shared" si="174"/>
        <v>0</v>
      </c>
      <c r="AH472" s="20">
        <f t="shared" si="175"/>
        <v>0</v>
      </c>
      <c r="AI472" s="20"/>
    </row>
    <row r="473" spans="1:35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2"/>
        <v>112.21866073633933</v>
      </c>
      <c r="O473" s="7">
        <f t="shared" si="168"/>
        <v>4091.916666666667</v>
      </c>
      <c r="P473" s="7">
        <f t="shared" si="169"/>
        <v>3979.6980059303273</v>
      </c>
      <c r="Q473" s="7">
        <f t="shared" si="170"/>
        <v>1856.8228375181097</v>
      </c>
      <c r="R473" s="7">
        <f t="shared" si="171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0"/>
        <v>151652</v>
      </c>
      <c r="X473" s="104">
        <f t="shared" si="151"/>
        <v>159905</v>
      </c>
      <c r="Y473" s="104"/>
      <c r="Z473" s="2">
        <v>12081</v>
      </c>
      <c r="AA473" s="2"/>
      <c r="AB473" s="2">
        <v>1760</v>
      </c>
      <c r="AC473" s="78">
        <v>137015</v>
      </c>
      <c r="AD473" s="104">
        <f t="shared" si="145"/>
        <v>159905</v>
      </c>
      <c r="AE473" s="193">
        <f t="shared" si="172"/>
        <v>8.3764186402948582E-2</v>
      </c>
      <c r="AF473" s="193">
        <f t="shared" si="173"/>
        <v>6.6039210781401458E-3</v>
      </c>
      <c r="AG473" s="20">
        <f t="shared" ref="AG473:AG495" si="176">+AE473*K473</f>
        <v>99.874831587782367</v>
      </c>
      <c r="AH473" s="20">
        <f t="shared" ref="AH473:AH495" si="177">+AF473*I473</f>
        <v>12.343829148556956</v>
      </c>
      <c r="AI473" s="20"/>
    </row>
    <row r="474" spans="1:35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2"/>
        <v>305.60528699206577</v>
      </c>
      <c r="O474" s="7">
        <f t="shared" si="168"/>
        <v>3992</v>
      </c>
      <c r="P474" s="7">
        <f t="shared" si="169"/>
        <v>3686.3947130079341</v>
      </c>
      <c r="Q474" s="7">
        <f t="shared" si="170"/>
        <v>1671.6809899565249</v>
      </c>
      <c r="R474" s="7">
        <f t="shared" si="171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0"/>
        <v>144459</v>
      </c>
      <c r="X474" s="104">
        <f t="shared" si="151"/>
        <v>165381</v>
      </c>
      <c r="Y474" s="104"/>
      <c r="Z474" s="2">
        <v>28200</v>
      </c>
      <c r="AA474" s="2"/>
      <c r="AB474" s="2">
        <v>12047</v>
      </c>
      <c r="AC474" s="78">
        <v>137484</v>
      </c>
      <c r="AD474" s="104">
        <f t="shared" si="145"/>
        <v>165381</v>
      </c>
      <c r="AE474" s="193">
        <f t="shared" si="172"/>
        <v>0.19485903814262023</v>
      </c>
      <c r="AF474" s="193">
        <f t="shared" si="173"/>
        <v>4.3706350789994013E-2</v>
      </c>
      <c r="AG474" s="20">
        <f t="shared" si="176"/>
        <v>229.20294361525706</v>
      </c>
      <c r="AH474" s="20">
        <f t="shared" si="177"/>
        <v>76.402343376808702</v>
      </c>
      <c r="AI474" s="20"/>
    </row>
    <row r="475" spans="1:35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2"/>
        <v>559.89048217995423</v>
      </c>
      <c r="O475" s="7">
        <f t="shared" si="168"/>
        <v>3433.666666666667</v>
      </c>
      <c r="P475" s="7">
        <f t="shared" si="169"/>
        <v>2873.7761844867127</v>
      </c>
      <c r="Q475" s="7">
        <f t="shared" si="170"/>
        <v>1258.8706166645147</v>
      </c>
      <c r="R475" s="7">
        <f t="shared" si="171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0"/>
        <v>102283</v>
      </c>
      <c r="X475" s="104">
        <f t="shared" si="151"/>
        <v>162633</v>
      </c>
      <c r="Y475" s="104"/>
      <c r="Z475" s="2">
        <v>29871</v>
      </c>
      <c r="AA475" s="2"/>
      <c r="AB475" s="2">
        <v>54977</v>
      </c>
      <c r="AC475" s="78">
        <v>123868</v>
      </c>
      <c r="AD475" s="104">
        <f t="shared" si="145"/>
        <v>162633</v>
      </c>
      <c r="AE475" s="193">
        <f t="shared" si="172"/>
        <v>0.22909427777957178</v>
      </c>
      <c r="AF475" s="193">
        <f t="shared" si="173"/>
        <v>0.20282599472431792</v>
      </c>
      <c r="AG475" s="20">
        <f t="shared" si="176"/>
        <v>239.59443217780219</v>
      </c>
      <c r="AH475" s="20">
        <f t="shared" si="177"/>
        <v>320.29605000215207</v>
      </c>
      <c r="AI475" s="20"/>
    </row>
    <row r="476" spans="1:35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2"/>
        <v>199.93568321486129</v>
      </c>
      <c r="O476" s="7">
        <f t="shared" si="168"/>
        <v>3939.5833333333335</v>
      </c>
      <c r="P476" s="7">
        <f t="shared" si="169"/>
        <v>3739.6476501184725</v>
      </c>
      <c r="Q476" s="7">
        <f t="shared" si="170"/>
        <v>1575.0833333333335</v>
      </c>
      <c r="R476" s="7">
        <f t="shared" ref="R476:R516" si="178">+K476-AG476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0"/>
        <v>139282</v>
      </c>
      <c r="X476" s="104">
        <f t="shared" si="151"/>
        <v>139615</v>
      </c>
      <c r="Y476" s="104"/>
      <c r="Z476" s="2">
        <v>24806</v>
      </c>
      <c r="AA476" s="2"/>
      <c r="AB476" s="2"/>
      <c r="AC476" s="78">
        <v>149543</v>
      </c>
      <c r="AD476" s="104">
        <f t="shared" si="145"/>
        <v>139615</v>
      </c>
      <c r="AE476" s="193">
        <f t="shared" ref="AE476:AE478" si="179">+(Z476/AC476*0.95)</f>
        <v>0.15758477494767392</v>
      </c>
      <c r="AF476" s="193">
        <f t="shared" ref="AF476:AF478" si="180">+(AB476/AD476*0.6)</f>
        <v>0</v>
      </c>
      <c r="AG476" s="20">
        <f t="shared" si="176"/>
        <v>199.93568321486129</v>
      </c>
      <c r="AH476" s="20">
        <f t="shared" si="177"/>
        <v>0</v>
      </c>
      <c r="AI476" s="20"/>
    </row>
    <row r="477" spans="1:35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2"/>
        <v>527.38670328325622</v>
      </c>
      <c r="O477" s="7">
        <f t="shared" si="168"/>
        <v>4202.416666666667</v>
      </c>
      <c r="P477" s="7">
        <f t="shared" si="169"/>
        <v>3675.0299633834106</v>
      </c>
      <c r="Q477" s="7">
        <f t="shared" si="170"/>
        <v>1647.9533741760733</v>
      </c>
      <c r="R477" s="7">
        <f t="shared" si="178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0"/>
        <v>137278</v>
      </c>
      <c r="X477" s="104">
        <f t="shared" si="151"/>
        <v>172042</v>
      </c>
      <c r="Y477" s="104"/>
      <c r="Z477" s="2">
        <v>47459</v>
      </c>
      <c r="AA477" s="2"/>
      <c r="AB477" s="2">
        <v>26462</v>
      </c>
      <c r="AC477" s="78">
        <v>148777</v>
      </c>
      <c r="AD477" s="104">
        <f t="shared" si="145"/>
        <v>172042</v>
      </c>
      <c r="AE477" s="193">
        <f t="shared" si="179"/>
        <v>0.30304448940360401</v>
      </c>
      <c r="AF477" s="193">
        <f t="shared" si="180"/>
        <v>9.2286767184757201E-2</v>
      </c>
      <c r="AG477" s="20">
        <f t="shared" si="176"/>
        <v>359.84007745932951</v>
      </c>
      <c r="AH477" s="20">
        <f t="shared" si="177"/>
        <v>167.54662582392669</v>
      </c>
      <c r="AI477" s="20"/>
    </row>
    <row r="478" spans="1:35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2"/>
        <v>429.11166438540863</v>
      </c>
      <c r="O478" s="7">
        <f t="shared" si="168"/>
        <v>4359.25</v>
      </c>
      <c r="P478" s="7">
        <f t="shared" si="169"/>
        <v>3930.1383356145916</v>
      </c>
      <c r="Q478" s="7">
        <f t="shared" si="170"/>
        <v>1760.8700525639781</v>
      </c>
      <c r="R478" s="7">
        <f t="shared" si="178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0"/>
        <v>146114</v>
      </c>
      <c r="X478" s="104">
        <f t="shared" si="151"/>
        <v>185298</v>
      </c>
      <c r="Y478" s="104"/>
      <c r="Z478" s="2">
        <v>30038</v>
      </c>
      <c r="AA478" s="2"/>
      <c r="AB478" s="2">
        <v>31010</v>
      </c>
      <c r="AC478" s="78">
        <v>147201</v>
      </c>
      <c r="AD478" s="104">
        <f t="shared" si="145"/>
        <v>185298</v>
      </c>
      <c r="AE478" s="193">
        <f t="shared" si="179"/>
        <v>0.19385805802949707</v>
      </c>
      <c r="AF478" s="193">
        <f t="shared" si="180"/>
        <v>0.10041122947900138</v>
      </c>
      <c r="AG478" s="20">
        <f t="shared" si="176"/>
        <v>232.56505028271997</v>
      </c>
      <c r="AH478" s="20">
        <f t="shared" si="177"/>
        <v>196.54661410268864</v>
      </c>
      <c r="AI478" s="20"/>
    </row>
    <row r="479" spans="1:35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2"/>
        <v>450.48657549045816</v>
      </c>
      <c r="O479" s="7">
        <f t="shared" si="168"/>
        <v>3953.75</v>
      </c>
      <c r="P479" s="7">
        <f t="shared" si="169"/>
        <v>3503.2634245095419</v>
      </c>
      <c r="Q479" s="7">
        <f t="shared" si="170"/>
        <v>1586.9529022675581</v>
      </c>
      <c r="R479" s="7">
        <f t="shared" si="178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0"/>
        <v>138679</v>
      </c>
      <c r="X479" s="104">
        <f t="shared" si="151"/>
        <v>190087</v>
      </c>
      <c r="Y479" s="104"/>
      <c r="Z479" s="2">
        <v>25791</v>
      </c>
      <c r="AA479" s="2"/>
      <c r="AB479" s="2">
        <v>42389</v>
      </c>
      <c r="AC479" s="78">
        <v>127634</v>
      </c>
      <c r="AD479" s="104">
        <f t="shared" si="145"/>
        <v>190087</v>
      </c>
      <c r="AE479" s="193">
        <f t="shared" ref="AE479:AE489" si="181">+(Z479/AC479*0.95)</f>
        <v>0.19196648228528446</v>
      </c>
      <c r="AF479" s="193">
        <f t="shared" ref="AF479:AF489" si="182">+(AB479/AD479*0.6)</f>
        <v>0.13379873426378447</v>
      </c>
      <c r="AG479" s="20">
        <f t="shared" si="176"/>
        <v>205.35614442468304</v>
      </c>
      <c r="AH479" s="20">
        <f t="shared" si="177"/>
        <v>245.13043106577513</v>
      </c>
      <c r="AI479" s="20"/>
    </row>
    <row r="480" spans="1:35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2"/>
        <v>188.94230218303483</v>
      </c>
      <c r="O480" s="7">
        <f t="shared" si="168"/>
        <v>3878.9166666666665</v>
      </c>
      <c r="P480" s="7">
        <f t="shared" si="169"/>
        <v>3689.9743644836317</v>
      </c>
      <c r="Q480" s="7">
        <f t="shared" si="170"/>
        <v>1501.0000840786288</v>
      </c>
      <c r="R480" s="7">
        <f t="shared" si="178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0"/>
        <v>123870</v>
      </c>
      <c r="X480" s="104">
        <f t="shared" si="151"/>
        <v>143120</v>
      </c>
      <c r="Y480" s="104"/>
      <c r="Z480" s="2">
        <v>14299</v>
      </c>
      <c r="AA480" s="2"/>
      <c r="AB480" s="2">
        <v>10071</v>
      </c>
      <c r="AC480" s="78">
        <v>114781</v>
      </c>
      <c r="AD480" s="104">
        <f t="shared" si="145"/>
        <v>143120</v>
      </c>
      <c r="AE480" s="193">
        <f t="shared" si="181"/>
        <v>0.11834754881034316</v>
      </c>
      <c r="AF480" s="193">
        <f t="shared" si="182"/>
        <v>4.2220514253773059E-2</v>
      </c>
      <c r="AG480" s="20">
        <f t="shared" si="176"/>
        <v>122.77571959499681</v>
      </c>
      <c r="AH480" s="20">
        <f t="shared" si="177"/>
        <v>66.166582588038011</v>
      </c>
      <c r="AI480" s="20"/>
    </row>
    <row r="481" spans="1:38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2"/>
        <v>20.583825906609324</v>
      </c>
      <c r="O481" s="7">
        <f t="shared" si="168"/>
        <v>3654.0833333333335</v>
      </c>
      <c r="P481" s="7">
        <f t="shared" si="169"/>
        <v>3633.4995074267235</v>
      </c>
      <c r="Q481" s="7">
        <f t="shared" si="170"/>
        <v>1531.4166666666667</v>
      </c>
      <c r="R481" s="7">
        <f t="shared" si="178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0"/>
        <v>104715</v>
      </c>
      <c r="X481" s="104">
        <f t="shared" si="151"/>
        <v>109755</v>
      </c>
      <c r="Y481" s="104"/>
      <c r="Z481" s="2">
        <v>2156</v>
      </c>
      <c r="AA481" s="2"/>
      <c r="AB481" s="2"/>
      <c r="AC481" s="78">
        <v>98361</v>
      </c>
      <c r="AD481" s="104">
        <f t="shared" si="145"/>
        <v>109755</v>
      </c>
      <c r="AE481" s="193">
        <f t="shared" si="181"/>
        <v>2.0823293785138416E-2</v>
      </c>
      <c r="AF481" s="193">
        <f t="shared" si="182"/>
        <v>0</v>
      </c>
      <c r="AG481" s="20">
        <f t="shared" si="176"/>
        <v>20.583825906609324</v>
      </c>
      <c r="AH481" s="20">
        <f t="shared" si="177"/>
        <v>0</v>
      </c>
      <c r="AI481" s="20"/>
    </row>
    <row r="482" spans="1:38">
      <c r="A482" s="28">
        <v>46138</v>
      </c>
      <c r="N482" s="108">
        <f t="shared" si="112"/>
        <v>0</v>
      </c>
      <c r="O482" s="7">
        <f t="shared" si="168"/>
        <v>0</v>
      </c>
      <c r="P482" s="7">
        <f t="shared" si="169"/>
        <v>0</v>
      </c>
      <c r="Q482" s="7">
        <f t="shared" si="170"/>
        <v>0</v>
      </c>
      <c r="R482" s="7">
        <f t="shared" si="178"/>
        <v>0</v>
      </c>
      <c r="T482" s="7"/>
      <c r="U482" s="7"/>
      <c r="V482" s="104"/>
      <c r="W482" s="7">
        <f t="shared" si="150"/>
        <v>0</v>
      </c>
      <c r="X482" s="104">
        <f t="shared" si="151"/>
        <v>0</v>
      </c>
      <c r="Y482" s="104"/>
      <c r="Z482" s="2"/>
      <c r="AA482" s="2"/>
      <c r="AB482" s="2"/>
      <c r="AC482" s="78"/>
      <c r="AD482" s="104"/>
      <c r="AE482" s="193"/>
      <c r="AF482" s="193"/>
      <c r="AG482" s="20">
        <f t="shared" si="176"/>
        <v>0</v>
      </c>
      <c r="AH482" s="20">
        <f t="shared" si="177"/>
        <v>0</v>
      </c>
    </row>
    <row r="483" spans="1:38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2"/>
        <v>28.042026191678698</v>
      </c>
      <c r="O483" s="7">
        <f t="shared" si="168"/>
        <v>3771.75</v>
      </c>
      <c r="P483" s="7">
        <f t="shared" si="169"/>
        <v>3743.7079738083212</v>
      </c>
      <c r="Q483" s="7">
        <f t="shared" si="170"/>
        <v>1536.2913071416547</v>
      </c>
      <c r="R483" s="7">
        <f t="shared" si="178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0"/>
        <v>130303</v>
      </c>
      <c r="X483" s="104">
        <f t="shared" si="151"/>
        <v>140579</v>
      </c>
      <c r="Y483" s="104"/>
      <c r="Z483"/>
      <c r="AA483"/>
      <c r="AB483" s="2">
        <v>4200</v>
      </c>
      <c r="AC483" s="78">
        <v>130416</v>
      </c>
      <c r="AD483" s="104">
        <f t="shared" si="145"/>
        <v>140579</v>
      </c>
      <c r="AE483" s="193">
        <f t="shared" si="181"/>
        <v>0</v>
      </c>
      <c r="AF483" s="193">
        <f t="shared" si="182"/>
        <v>1.7925863749208629E-2</v>
      </c>
      <c r="AG483" s="20">
        <f t="shared" si="176"/>
        <v>0</v>
      </c>
      <c r="AH483" s="20">
        <f t="shared" si="177"/>
        <v>28.042026191678698</v>
      </c>
    </row>
    <row r="484" spans="1:38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2"/>
        <v>1.2274924689405322</v>
      </c>
      <c r="O484" s="7">
        <f t="shared" si="168"/>
        <v>3999.083333333333</v>
      </c>
      <c r="P484" s="7">
        <f t="shared" si="169"/>
        <v>3997.8558408643921</v>
      </c>
      <c r="Q484" s="7">
        <f t="shared" si="170"/>
        <v>1656.8558408643926</v>
      </c>
      <c r="R484" s="7">
        <f t="shared" si="178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 t="shared" si="150"/>
        <v>144503</v>
      </c>
      <c r="X484" s="104">
        <f t="shared" si="151"/>
        <v>152369</v>
      </c>
      <c r="Y484" s="104"/>
      <c r="Z484"/>
      <c r="AA484"/>
      <c r="AB484" s="2">
        <v>188</v>
      </c>
      <c r="AC484" s="78">
        <v>144560</v>
      </c>
      <c r="AD484" s="104">
        <f t="shared" si="145"/>
        <v>152369</v>
      </c>
      <c r="AE484" s="193">
        <f t="shared" si="181"/>
        <v>0</v>
      </c>
      <c r="AF484" s="193">
        <f t="shared" si="182"/>
        <v>7.4030806791407699E-4</v>
      </c>
      <c r="AG484" s="20">
        <f t="shared" si="176"/>
        <v>0</v>
      </c>
      <c r="AH484" s="20">
        <f t="shared" si="177"/>
        <v>1.2274924689405322</v>
      </c>
    </row>
    <row r="485" spans="1:38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2"/>
        <v>0</v>
      </c>
      <c r="O485" s="7">
        <f t="shared" si="168"/>
        <v>3949.416666666667</v>
      </c>
      <c r="P485" s="7">
        <f t="shared" si="169"/>
        <v>3949.4166666666665</v>
      </c>
      <c r="Q485" s="7">
        <f t="shared" si="170"/>
        <v>1683.1666666666667</v>
      </c>
      <c r="R485" s="7">
        <f t="shared" si="178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0"/>
        <v>153978</v>
      </c>
      <c r="X485" s="104">
        <f t="shared" si="151"/>
        <v>162660</v>
      </c>
      <c r="Y485" s="104"/>
      <c r="Z485"/>
      <c r="AA485"/>
      <c r="AB485" s="2"/>
      <c r="AC485" s="78">
        <v>128545</v>
      </c>
      <c r="AD485" s="104">
        <f t="shared" si="145"/>
        <v>162660</v>
      </c>
      <c r="AE485" s="193">
        <f t="shared" si="181"/>
        <v>0</v>
      </c>
      <c r="AF485" s="193">
        <f t="shared" si="182"/>
        <v>0</v>
      </c>
      <c r="AG485" s="20">
        <f t="shared" si="176"/>
        <v>0</v>
      </c>
      <c r="AH485" s="20">
        <f t="shared" si="177"/>
        <v>0</v>
      </c>
    </row>
    <row r="486" spans="1:38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2"/>
        <v>0</v>
      </c>
      <c r="O486" s="7">
        <f t="shared" si="168"/>
        <v>3895.916666666667</v>
      </c>
      <c r="P486" s="7">
        <f t="shared" si="169"/>
        <v>3895.916666666667</v>
      </c>
      <c r="Q486" s="7">
        <f t="shared" si="170"/>
        <v>1803.3333333333337</v>
      </c>
      <c r="R486" s="7">
        <f t="shared" si="178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0"/>
        <v>156185</v>
      </c>
      <c r="X486" s="104">
        <f t="shared" si="151"/>
        <v>163354</v>
      </c>
      <c r="Y486" s="104"/>
      <c r="Z486"/>
      <c r="AA486"/>
      <c r="AB486" s="2"/>
      <c r="AC486" s="78">
        <v>138912</v>
      </c>
      <c r="AD486" s="104">
        <f t="shared" si="145"/>
        <v>163354</v>
      </c>
      <c r="AE486" s="193">
        <f t="shared" si="181"/>
        <v>0</v>
      </c>
      <c r="AF486" s="193">
        <f t="shared" si="182"/>
        <v>0</v>
      </c>
      <c r="AG486" s="20">
        <f t="shared" si="176"/>
        <v>0</v>
      </c>
      <c r="AH486" s="20">
        <f t="shared" si="177"/>
        <v>0</v>
      </c>
    </row>
    <row r="487" spans="1:38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83">+AH487+AG487</f>
        <v>0</v>
      </c>
      <c r="O487" s="7">
        <f t="shared" si="168"/>
        <v>0</v>
      </c>
      <c r="P487" s="7">
        <f t="shared" si="169"/>
        <v>0</v>
      </c>
      <c r="Q487" s="7">
        <f t="shared" si="170"/>
        <v>0</v>
      </c>
      <c r="R487" s="7">
        <f t="shared" si="178"/>
        <v>0</v>
      </c>
      <c r="T487" s="7"/>
      <c r="U487" s="7"/>
      <c r="V487" s="104"/>
      <c r="W487" s="7">
        <f t="shared" si="150"/>
        <v>0</v>
      </c>
      <c r="X487" s="104">
        <f t="shared" si="151"/>
        <v>0</v>
      </c>
      <c r="Y487" s="104"/>
      <c r="Z487"/>
      <c r="AA487"/>
      <c r="AB487" s="2"/>
      <c r="AD487" s="104"/>
      <c r="AE487" s="193"/>
      <c r="AF487" s="193"/>
      <c r="AG487" s="20">
        <f t="shared" si="176"/>
        <v>0</v>
      </c>
      <c r="AH487" s="20">
        <f t="shared" si="177"/>
        <v>0</v>
      </c>
    </row>
    <row r="488" spans="1:38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83"/>
        <v>0</v>
      </c>
      <c r="O488" s="7">
        <f t="shared" si="168"/>
        <v>3838.4166666666665</v>
      </c>
      <c r="P488" s="7">
        <f t="shared" si="169"/>
        <v>3838.416666666667</v>
      </c>
      <c r="Q488" s="7">
        <f t="shared" si="170"/>
        <v>1727.9166666666667</v>
      </c>
      <c r="R488" s="7">
        <f t="shared" si="178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0"/>
        <v>150720</v>
      </c>
      <c r="X488" s="104">
        <f t="shared" si="151"/>
        <v>157855</v>
      </c>
      <c r="Y488" s="104"/>
      <c r="Z488"/>
      <c r="AA488"/>
      <c r="AB488" s="2"/>
      <c r="AC488" s="78">
        <v>152718</v>
      </c>
      <c r="AD488" s="104">
        <f t="shared" si="145"/>
        <v>157855</v>
      </c>
      <c r="AE488" s="193">
        <f t="shared" si="181"/>
        <v>0</v>
      </c>
      <c r="AF488" s="193">
        <f t="shared" si="182"/>
        <v>0</v>
      </c>
      <c r="AG488" s="20">
        <f t="shared" si="176"/>
        <v>0</v>
      </c>
      <c r="AH488" s="20">
        <f t="shared" si="177"/>
        <v>0</v>
      </c>
    </row>
    <row r="489" spans="1:38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83"/>
        <v>0</v>
      </c>
      <c r="O489" s="7">
        <f t="shared" si="168"/>
        <v>3527.3333333333335</v>
      </c>
      <c r="P489" s="7">
        <f t="shared" si="169"/>
        <v>3527.333333333333</v>
      </c>
      <c r="Q489" s="7">
        <f t="shared" si="170"/>
        <v>1656.5</v>
      </c>
      <c r="R489" s="7">
        <f t="shared" si="178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0"/>
        <v>154051</v>
      </c>
      <c r="X489" s="104">
        <f t="shared" si="151"/>
        <v>161947</v>
      </c>
      <c r="Y489" s="104"/>
      <c r="Z489"/>
      <c r="AA489"/>
      <c r="AB489" s="2"/>
      <c r="AC489" s="78">
        <v>127009</v>
      </c>
      <c r="AD489" s="104">
        <f t="shared" si="145"/>
        <v>161947</v>
      </c>
      <c r="AE489" s="193">
        <f t="shared" si="181"/>
        <v>0</v>
      </c>
      <c r="AF489" s="193">
        <f t="shared" si="182"/>
        <v>0</v>
      </c>
      <c r="AG489" s="20">
        <f t="shared" si="176"/>
        <v>0</v>
      </c>
      <c r="AH489" s="20">
        <f t="shared" si="177"/>
        <v>0</v>
      </c>
    </row>
    <row r="490" spans="1:38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83"/>
        <v>9.0155231417131318E-2</v>
      </c>
      <c r="O490" s="7">
        <f t="shared" si="168"/>
        <v>3761</v>
      </c>
      <c r="P490" s="7">
        <f t="shared" si="169"/>
        <v>3760.9098447685828</v>
      </c>
      <c r="Q490" s="7">
        <f t="shared" si="170"/>
        <v>1604.7038956419431</v>
      </c>
      <c r="R490" s="7">
        <f t="shared" si="178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0"/>
        <v>136489</v>
      </c>
      <c r="X490" s="104">
        <f t="shared" si="151"/>
        <v>146189</v>
      </c>
      <c r="Y490" s="104"/>
      <c r="Z490" s="2">
        <v>7</v>
      </c>
      <c r="AA490" s="2"/>
      <c r="AB490" s="7">
        <v>7</v>
      </c>
      <c r="AC490" s="78">
        <v>185834</v>
      </c>
      <c r="AD490" s="104">
        <f t="shared" si="145"/>
        <v>146189</v>
      </c>
      <c r="AE490" s="193">
        <f t="shared" ref="AE490:AE495" si="184">+(Z490/AC490*0.95)</f>
        <v>3.5784624987892421E-5</v>
      </c>
      <c r="AF490" s="193">
        <f t="shared" ref="AF490:AF495" si="185">+(AB490/AD490*0.6)</f>
        <v>2.872993180061427E-5</v>
      </c>
      <c r="AG490" s="20">
        <f t="shared" si="176"/>
        <v>4.4050873360095569E-2</v>
      </c>
      <c r="AH490" s="20">
        <f t="shared" si="177"/>
        <v>4.6104358057035749E-2</v>
      </c>
    </row>
    <row r="491" spans="1:38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83"/>
        <v>0.1772782921318643</v>
      </c>
      <c r="O491" s="7">
        <f t="shared" si="168"/>
        <v>4401.083333333333</v>
      </c>
      <c r="P491" s="7">
        <f t="shared" si="169"/>
        <v>4400.9060550412014</v>
      </c>
      <c r="Q491" s="7">
        <f t="shared" si="170"/>
        <v>1998.7174722304405</v>
      </c>
      <c r="R491" s="7">
        <f t="shared" si="178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0"/>
        <v>155342</v>
      </c>
      <c r="X491" s="104">
        <f t="shared" si="151"/>
        <v>165619</v>
      </c>
      <c r="Y491" s="104"/>
      <c r="Z491" s="2">
        <v>8</v>
      </c>
      <c r="AA491" s="2"/>
      <c r="AB491" s="7">
        <v>16</v>
      </c>
      <c r="AC491" s="78">
        <v>147348</v>
      </c>
      <c r="AD491" s="104">
        <f t="shared" si="145"/>
        <v>165619</v>
      </c>
      <c r="AE491" s="193">
        <f t="shared" si="184"/>
        <v>5.1578575888373094E-5</v>
      </c>
      <c r="AF491" s="193">
        <f t="shared" si="185"/>
        <v>5.796436399205405E-5</v>
      </c>
      <c r="AG491" s="20">
        <f t="shared" si="176"/>
        <v>6.141718923908026E-2</v>
      </c>
      <c r="AH491" s="20">
        <f t="shared" si="177"/>
        <v>0.11586110289278403</v>
      </c>
    </row>
    <row r="492" spans="1:38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83"/>
        <v>2.5001116002599888</v>
      </c>
      <c r="O492" s="7">
        <f t="shared" si="168"/>
        <v>4338.9166666666661</v>
      </c>
      <c r="P492" s="7">
        <f t="shared" si="169"/>
        <v>4336.4165550664065</v>
      </c>
      <c r="Q492" s="7">
        <f t="shared" si="170"/>
        <v>2143.0010027218714</v>
      </c>
      <c r="R492" s="7">
        <f t="shared" si="178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0"/>
        <v>174842</v>
      </c>
      <c r="X492" s="104">
        <f t="shared" si="151"/>
        <v>180758</v>
      </c>
      <c r="Y492" s="104"/>
      <c r="Z492" s="2">
        <v>309</v>
      </c>
      <c r="AA492" s="2"/>
      <c r="AB492" s="7">
        <v>35</v>
      </c>
      <c r="AC492" s="78">
        <v>158482</v>
      </c>
      <c r="AD492" s="104">
        <f t="shared" si="145"/>
        <v>180758</v>
      </c>
      <c r="AE492" s="193">
        <f t="shared" si="184"/>
        <v>1.8522608245731375E-3</v>
      </c>
      <c r="AF492" s="193">
        <f t="shared" si="185"/>
        <v>1.1617743059781585E-4</v>
      </c>
      <c r="AG492" s="20">
        <f t="shared" si="176"/>
        <v>2.2511143221312198</v>
      </c>
      <c r="AH492" s="20">
        <f t="shared" si="177"/>
        <v>0.24899727812876882</v>
      </c>
    </row>
    <row r="493" spans="1:38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83"/>
        <v>6.8517829013315188</v>
      </c>
      <c r="O493" s="7">
        <f t="shared" si="168"/>
        <v>4131.916666666667</v>
      </c>
      <c r="P493" s="7">
        <f t="shared" si="169"/>
        <v>4125.0648837653343</v>
      </c>
      <c r="Q493" s="7">
        <f t="shared" si="170"/>
        <v>2174.151681216083</v>
      </c>
      <c r="R493" s="7">
        <f t="shared" si="178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0"/>
        <v>182457</v>
      </c>
      <c r="X493" s="104">
        <f t="shared" si="151"/>
        <v>185689</v>
      </c>
      <c r="Y493" s="104"/>
      <c r="Z493" s="2">
        <v>888</v>
      </c>
      <c r="AA493" s="2"/>
      <c r="AB493" s="7">
        <v>97</v>
      </c>
      <c r="AC493" s="78">
        <v>160570</v>
      </c>
      <c r="AD493" s="104">
        <f t="shared" si="145"/>
        <v>185689</v>
      </c>
      <c r="AE493" s="193">
        <f t="shared" si="184"/>
        <v>5.2537833966494361E-3</v>
      </c>
      <c r="AF493" s="193">
        <f t="shared" si="185"/>
        <v>3.1342728971559967E-4</v>
      </c>
      <c r="AG493" s="20">
        <f t="shared" si="176"/>
        <v>6.1701307840817092</v>
      </c>
      <c r="AH493" s="20">
        <f t="shared" si="177"/>
        <v>0.6816521172498099</v>
      </c>
    </row>
    <row r="494" spans="1:38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83"/>
        <v>45.03336331699505</v>
      </c>
      <c r="O494" s="7">
        <f t="shared" si="168"/>
        <v>4296.9999999999991</v>
      </c>
      <c r="P494" s="7">
        <f t="shared" si="169"/>
        <v>4251.9666366830052</v>
      </c>
      <c r="Q494" s="7">
        <f t="shared" si="170"/>
        <v>2132.6749742107859</v>
      </c>
      <c r="R494" s="7">
        <f t="shared" si="178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0"/>
        <v>146673</v>
      </c>
      <c r="X494" s="104">
        <f t="shared" si="151"/>
        <v>156073</v>
      </c>
      <c r="Y494" s="104"/>
      <c r="Z494" s="2">
        <v>2756</v>
      </c>
      <c r="AA494" s="2"/>
      <c r="AB494" s="7">
        <v>2844</v>
      </c>
      <c r="AC494" s="78">
        <v>145033</v>
      </c>
      <c r="AD494" s="104">
        <f t="shared" si="145"/>
        <v>156073</v>
      </c>
      <c r="AE494" s="193">
        <f t="shared" si="184"/>
        <v>1.8052443237056393E-2</v>
      </c>
      <c r="AF494" s="193">
        <f t="shared" si="185"/>
        <v>1.0933345293548532E-2</v>
      </c>
      <c r="AG494" s="20">
        <f t="shared" si="176"/>
        <v>21.45833752778103</v>
      </c>
      <c r="AH494" s="20">
        <f t="shared" si="177"/>
        <v>23.57502578921402</v>
      </c>
    </row>
    <row r="495" spans="1:38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83"/>
        <v>197.56128418290598</v>
      </c>
      <c r="O495" s="7">
        <f t="shared" si="168"/>
        <v>3688.9166666666665</v>
      </c>
      <c r="P495" s="7">
        <f t="shared" si="169"/>
        <v>3491.3553824837609</v>
      </c>
      <c r="Q495" s="7">
        <f t="shared" si="170"/>
        <v>1582.6524489913379</v>
      </c>
      <c r="R495" s="7">
        <f t="shared" si="178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0"/>
        <v>156262</v>
      </c>
      <c r="X495" s="104">
        <f t="shared" si="151"/>
        <v>173745</v>
      </c>
      <c r="Y495" s="104"/>
      <c r="Z495" s="2">
        <v>18609</v>
      </c>
      <c r="AA495" s="2"/>
      <c r="AB495" s="7">
        <v>7474</v>
      </c>
      <c r="AC495" s="78">
        <v>126344</v>
      </c>
      <c r="AD495" s="104">
        <f t="shared" si="145"/>
        <v>173745</v>
      </c>
      <c r="AE495" s="193">
        <f t="shared" si="184"/>
        <v>0.1399239378205534</v>
      </c>
      <c r="AF495" s="193">
        <f t="shared" si="185"/>
        <v>2.5810239143572476E-2</v>
      </c>
      <c r="AG495" s="20">
        <f t="shared" si="176"/>
        <v>155.63039984091051</v>
      </c>
      <c r="AH495" s="20">
        <f t="shared" si="177"/>
        <v>41.930884341995451</v>
      </c>
    </row>
    <row r="496" spans="1:38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83"/>
        <v>0</v>
      </c>
      <c r="O496" s="7">
        <f t="shared" si="168"/>
        <v>0</v>
      </c>
      <c r="P496" s="7">
        <f t="shared" si="169"/>
        <v>0</v>
      </c>
      <c r="Q496" s="7">
        <f t="shared" si="170"/>
        <v>0</v>
      </c>
      <c r="R496" s="7">
        <f t="shared" si="178"/>
        <v>0</v>
      </c>
      <c r="T496" s="7"/>
      <c r="U496" s="7"/>
      <c r="V496" s="74"/>
      <c r="W496" s="7">
        <f t="shared" si="150"/>
        <v>0</v>
      </c>
      <c r="X496" s="104">
        <f t="shared" si="151"/>
        <v>0</v>
      </c>
      <c r="Y496" s="104"/>
      <c r="Z496" s="2"/>
      <c r="AA496" s="2"/>
      <c r="AD496" s="104"/>
      <c r="AE496" s="193"/>
      <c r="AF496" s="193"/>
      <c r="AG496" s="20"/>
      <c r="AH496" s="20"/>
      <c r="AI496"/>
      <c r="AJ496"/>
      <c r="AK496"/>
      <c r="AL496"/>
    </row>
    <row r="497" spans="1:84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83"/>
        <v>102.88663490380853</v>
      </c>
      <c r="O497" s="7">
        <f t="shared" si="168"/>
        <v>4982.833333333333</v>
      </c>
      <c r="P497" s="7">
        <f t="shared" si="169"/>
        <v>4879.9466984295241</v>
      </c>
      <c r="Q497" s="7">
        <f t="shared" si="170"/>
        <v>2269.366332722263</v>
      </c>
      <c r="R497" s="7">
        <f t="shared" si="178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50"/>
        <v>173082</v>
      </c>
      <c r="X497" s="104">
        <f t="shared" si="151"/>
        <v>186558</v>
      </c>
      <c r="Y497" s="104"/>
      <c r="Z497" s="2">
        <v>3473</v>
      </c>
      <c r="AA497" s="2"/>
      <c r="AB497" s="7">
        <v>9407</v>
      </c>
      <c r="AC497" s="78">
        <v>173684</v>
      </c>
      <c r="AD497" s="104">
        <f t="shared" si="145"/>
        <v>186558</v>
      </c>
      <c r="AE497" s="193">
        <f t="shared" ref="AE497:AE516" si="186">+(Z497/AC497*0.95)</f>
        <v>1.8996280601552243E-2</v>
      </c>
      <c r="AF497" s="193">
        <f t="shared" ref="AF497:AF516" si="187">+(AB497/AD497*0.6)</f>
        <v>3.0254398096034474E-2</v>
      </c>
      <c r="AG497" s="20">
        <f t="shared" ref="AG497:AG516" si="188">+AE497*K497</f>
        <v>32.0863009594052</v>
      </c>
      <c r="AH497" s="20">
        <f t="shared" ref="AH497:AH516" si="189">+AF497*I497</f>
        <v>70.800333944403334</v>
      </c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83"/>
        <v>46.419781421741703</v>
      </c>
      <c r="O498" s="7">
        <f t="shared" si="168"/>
        <v>4993.25</v>
      </c>
      <c r="P498" s="7">
        <f t="shared" si="169"/>
        <v>4946.8302185782586</v>
      </c>
      <c r="Q498" s="7">
        <f t="shared" si="170"/>
        <v>2326.582258628222</v>
      </c>
      <c r="R498" s="7">
        <f t="shared" si="178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50"/>
        <v>185545</v>
      </c>
      <c r="X498" s="104">
        <f t="shared" si="151"/>
        <v>198380</v>
      </c>
      <c r="Y498" s="104"/>
      <c r="Z498" s="2">
        <v>3512</v>
      </c>
      <c r="AA498" s="2"/>
      <c r="AB498" s="7">
        <v>2048</v>
      </c>
      <c r="AC498" s="78">
        <v>168656</v>
      </c>
      <c r="AD498" s="104">
        <f t="shared" si="145"/>
        <v>198380</v>
      </c>
      <c r="AE498" s="193">
        <f t="shared" si="186"/>
        <v>1.9782278721183946E-2</v>
      </c>
      <c r="AF498" s="193">
        <f t="shared" si="187"/>
        <v>6.1941727996773872E-3</v>
      </c>
      <c r="AG498" s="20">
        <f t="shared" si="188"/>
        <v>31.918706716630297</v>
      </c>
      <c r="AH498" s="20">
        <f t="shared" si="189"/>
        <v>14.501074705111405</v>
      </c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83"/>
        <v>19.291663278640918</v>
      </c>
      <c r="O499" s="7">
        <f t="shared" si="168"/>
        <v>5049.1666666666661</v>
      </c>
      <c r="P499" s="7">
        <f t="shared" si="169"/>
        <v>5029.875003388026</v>
      </c>
      <c r="Q499" s="7">
        <f t="shared" si="170"/>
        <v>2254.958336721359</v>
      </c>
      <c r="R499" s="7">
        <f t="shared" si="178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50"/>
        <v>196237</v>
      </c>
      <c r="X499" s="104">
        <f t="shared" si="151"/>
        <v>206610</v>
      </c>
      <c r="Y499" s="104"/>
      <c r="Z499" s="2"/>
      <c r="AA499" s="2"/>
      <c r="AB499" s="7">
        <v>2921</v>
      </c>
      <c r="AC499" s="78">
        <v>163061</v>
      </c>
      <c r="AD499" s="104">
        <f t="shared" si="145"/>
        <v>206610</v>
      </c>
      <c r="AE499" s="193">
        <f t="shared" si="186"/>
        <v>0</v>
      </c>
      <c r="AF499" s="193">
        <f t="shared" si="187"/>
        <v>8.4826484681283579E-3</v>
      </c>
      <c r="AG499" s="20">
        <f t="shared" si="188"/>
        <v>0</v>
      </c>
      <c r="AH499" s="20">
        <f t="shared" si="189"/>
        <v>19.291663278640918</v>
      </c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83"/>
        <v>61.665424601384188</v>
      </c>
      <c r="O500" s="7">
        <f t="shared" si="168"/>
        <v>5281.666666666667</v>
      </c>
      <c r="P500" s="7">
        <f t="shared" si="169"/>
        <v>5220.0012420652829</v>
      </c>
      <c r="Q500" s="7">
        <f t="shared" si="170"/>
        <v>2370.7465102058918</v>
      </c>
      <c r="R500" s="7">
        <f t="shared" si="178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50"/>
        <v>203195</v>
      </c>
      <c r="X500" s="104">
        <f t="shared" si="151"/>
        <v>214239</v>
      </c>
      <c r="Y500" s="104"/>
      <c r="Z500" s="2">
        <v>3688</v>
      </c>
      <c r="AA500" s="2"/>
      <c r="AB500" s="7">
        <v>4009</v>
      </c>
      <c r="AC500" s="78">
        <v>174498</v>
      </c>
      <c r="AD500" s="104">
        <f t="shared" si="145"/>
        <v>214239</v>
      </c>
      <c r="AE500" s="193">
        <f t="shared" si="186"/>
        <v>2.007816708500957E-2</v>
      </c>
      <c r="AF500" s="193">
        <f t="shared" si="187"/>
        <v>1.1227647627182726E-2</v>
      </c>
      <c r="AG500" s="20">
        <f t="shared" si="188"/>
        <v>34.745268140609063</v>
      </c>
      <c r="AH500" s="20">
        <f t="shared" si="189"/>
        <v>26.920156460775122</v>
      </c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83"/>
        <v>42.636638394870737</v>
      </c>
      <c r="O501" s="7">
        <f t="shared" si="168"/>
        <v>5230.083333333333</v>
      </c>
      <c r="P501" s="7">
        <f t="shared" si="169"/>
        <v>5187.4466949384623</v>
      </c>
      <c r="Q501" s="7">
        <f t="shared" si="170"/>
        <v>2280.1907805985115</v>
      </c>
      <c r="R501" s="7">
        <f t="shared" si="178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50"/>
        <v>177249</v>
      </c>
      <c r="X501" s="104">
        <f t="shared" si="151"/>
        <v>189470</v>
      </c>
      <c r="Y501" s="104"/>
      <c r="Z501" s="2">
        <v>1769</v>
      </c>
      <c r="AA501" s="2"/>
      <c r="AB501" s="7">
        <v>3602</v>
      </c>
      <c r="AC501" s="78">
        <v>177002</v>
      </c>
      <c r="AD501" s="104">
        <f t="shared" si="145"/>
        <v>189470</v>
      </c>
      <c r="AE501" s="193">
        <f t="shared" si="186"/>
        <v>9.4945254855877334E-3</v>
      </c>
      <c r="AF501" s="193">
        <f t="shared" si="187"/>
        <v>1.1406555127460812E-2</v>
      </c>
      <c r="AG501" s="20">
        <f t="shared" si="188"/>
        <v>16.327418993382373</v>
      </c>
      <c r="AH501" s="20">
        <f t="shared" si="189"/>
        <v>26.309219401488363</v>
      </c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83"/>
        <v>26.613774944771421</v>
      </c>
      <c r="O502" s="7">
        <f t="shared" si="168"/>
        <v>5227.4166666666661</v>
      </c>
      <c r="P502" s="7">
        <f t="shared" si="169"/>
        <v>5200.8028917218944</v>
      </c>
      <c r="Q502" s="7">
        <f t="shared" si="170"/>
        <v>2316.2983197241288</v>
      </c>
      <c r="R502" s="7">
        <f t="shared" si="178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50"/>
        <v>205983</v>
      </c>
      <c r="X502" s="104">
        <f t="shared" si="151"/>
        <v>215173</v>
      </c>
      <c r="Y502" s="104"/>
      <c r="Z502" s="2">
        <v>1003</v>
      </c>
      <c r="AA502" s="2"/>
      <c r="AB502" s="7">
        <v>2758</v>
      </c>
      <c r="AC502" s="78">
        <v>194594</v>
      </c>
      <c r="AD502" s="104">
        <f t="shared" si="145"/>
        <v>215173</v>
      </c>
      <c r="AE502" s="193">
        <f t="shared" si="186"/>
        <v>4.8966052396271212E-3</v>
      </c>
      <c r="AF502" s="193">
        <f t="shared" si="187"/>
        <v>7.690555971241745E-3</v>
      </c>
      <c r="AG502" s="20">
        <f t="shared" si="188"/>
        <v>8.6620946689003766</v>
      </c>
      <c r="AH502" s="20">
        <f t="shared" si="189"/>
        <v>17.951680275871045</v>
      </c>
      <c r="AI502"/>
      <c r="AJ502"/>
      <c r="AK502"/>
      <c r="AL502"/>
    </row>
    <row r="503" spans="1:84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83"/>
        <v>0</v>
      </c>
      <c r="O503" s="7">
        <f t="shared" si="168"/>
        <v>5229.1666666666661</v>
      </c>
      <c r="P503" s="7">
        <f t="shared" si="169"/>
        <v>5229.166666666667</v>
      </c>
      <c r="Q503" s="7">
        <f t="shared" si="170"/>
        <v>2383.666666666667</v>
      </c>
      <c r="R503" s="7">
        <f t="shared" si="178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50"/>
        <v>224159</v>
      </c>
      <c r="X503" s="104">
        <f t="shared" si="151"/>
        <v>227177</v>
      </c>
      <c r="Y503" s="104"/>
      <c r="Z503" s="2"/>
      <c r="AA503" s="2"/>
      <c r="AC503" s="78">
        <v>205814</v>
      </c>
      <c r="AD503" s="104">
        <f t="shared" si="145"/>
        <v>227177</v>
      </c>
      <c r="AE503" s="193">
        <f t="shared" si="186"/>
        <v>0</v>
      </c>
      <c r="AF503" s="193">
        <f t="shared" si="187"/>
        <v>0</v>
      </c>
      <c r="AG503" s="20">
        <f t="shared" si="188"/>
        <v>0</v>
      </c>
      <c r="AH503" s="20">
        <f t="shared" si="189"/>
        <v>0</v>
      </c>
      <c r="AI503"/>
      <c r="AJ503"/>
      <c r="AK503"/>
      <c r="AL503"/>
    </row>
    <row r="504" spans="1:84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83"/>
        <v>46.396275726682994</v>
      </c>
      <c r="O504" s="7">
        <f t="shared" si="168"/>
        <v>5407.333333333333</v>
      </c>
      <c r="P504" s="7">
        <f t="shared" si="169"/>
        <v>5360.9370576066503</v>
      </c>
      <c r="Q504" s="7">
        <f t="shared" si="170"/>
        <v>2416.833333333333</v>
      </c>
      <c r="R504" s="7">
        <f t="shared" si="178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50"/>
        <v>207525</v>
      </c>
      <c r="X504" s="104">
        <f t="shared" si="151"/>
        <v>213725</v>
      </c>
      <c r="Y504" s="104"/>
      <c r="Z504" s="2">
        <v>5222</v>
      </c>
      <c r="AA504" s="2"/>
      <c r="AC504" s="78">
        <v>227277</v>
      </c>
      <c r="AD504" s="104">
        <f t="shared" si="145"/>
        <v>213725</v>
      </c>
      <c r="AE504" s="193">
        <f t="shared" si="186"/>
        <v>2.1827549642066728E-2</v>
      </c>
      <c r="AF504" s="193">
        <f t="shared" si="187"/>
        <v>0</v>
      </c>
      <c r="AG504" s="20">
        <f t="shared" si="188"/>
        <v>46.396275726682994</v>
      </c>
      <c r="AH504" s="20">
        <f t="shared" si="189"/>
        <v>0</v>
      </c>
      <c r="AI504"/>
      <c r="AJ504"/>
      <c r="AK504"/>
      <c r="AL504"/>
    </row>
    <row r="505" spans="1:84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83"/>
        <v>59.345307658060108</v>
      </c>
      <c r="O505" s="7">
        <f t="shared" si="168"/>
        <v>5060.75</v>
      </c>
      <c r="P505" s="7">
        <f t="shared" si="169"/>
        <v>5001.4046923419401</v>
      </c>
      <c r="Q505" s="7">
        <f t="shared" si="170"/>
        <v>2300.7666652600187</v>
      </c>
      <c r="R505" s="7">
        <f t="shared" si="178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50"/>
        <v>203824</v>
      </c>
      <c r="X505" s="104">
        <f t="shared" si="151"/>
        <v>213273</v>
      </c>
      <c r="Y505" s="104"/>
      <c r="Z505" s="2">
        <v>2363</v>
      </c>
      <c r="AA505" s="2"/>
      <c r="AB505" s="7">
        <v>5885</v>
      </c>
      <c r="AC505" s="78">
        <v>190293</v>
      </c>
      <c r="AD505" s="104">
        <f t="shared" si="145"/>
        <v>213273</v>
      </c>
      <c r="AE505" s="193">
        <f t="shared" si="186"/>
        <v>1.1796808080171103E-2</v>
      </c>
      <c r="AF505" s="193">
        <f t="shared" si="187"/>
        <v>1.6556244812986173E-2</v>
      </c>
      <c r="AG505" s="20">
        <f t="shared" si="188"/>
        <v>20.611972918078958</v>
      </c>
      <c r="AH505" s="20">
        <f t="shared" si="189"/>
        <v>38.733334739981153</v>
      </c>
      <c r="AI505"/>
      <c r="AJ505"/>
      <c r="AK505"/>
      <c r="AL505"/>
    </row>
    <row r="506" spans="1:84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83"/>
        <v>23.621790054688113</v>
      </c>
      <c r="O506" s="7">
        <f t="shared" si="168"/>
        <v>5457.3333333333339</v>
      </c>
      <c r="P506" s="7">
        <f t="shared" si="169"/>
        <v>5433.711543278645</v>
      </c>
      <c r="Q506" s="7">
        <f t="shared" si="170"/>
        <v>2484.0092239634582</v>
      </c>
      <c r="R506" s="7">
        <f t="shared" si="178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50"/>
        <v>199699</v>
      </c>
      <c r="X506" s="104">
        <f t="shared" si="151"/>
        <v>208345</v>
      </c>
      <c r="Y506" s="104"/>
      <c r="Z506" s="2">
        <v>724</v>
      </c>
      <c r="AA506" s="2"/>
      <c r="AB506" s="7">
        <v>2382</v>
      </c>
      <c r="AC506" s="78">
        <v>202761</v>
      </c>
      <c r="AD506" s="104">
        <f t="shared" si="145"/>
        <v>208345</v>
      </c>
      <c r="AE506" s="193">
        <f t="shared" si="186"/>
        <v>3.3921710782645574E-3</v>
      </c>
      <c r="AF506" s="193">
        <f t="shared" si="187"/>
        <v>6.8597758525522565E-3</v>
      </c>
      <c r="AG506" s="20">
        <f t="shared" si="188"/>
        <v>6.4643473514794918</v>
      </c>
      <c r="AH506" s="20">
        <f t="shared" si="189"/>
        <v>17.15744270320862</v>
      </c>
      <c r="AI506"/>
      <c r="AJ506"/>
      <c r="AK506"/>
      <c r="AL506"/>
    </row>
    <row r="507" spans="1:84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83"/>
        <v>48.94389880687558</v>
      </c>
      <c r="O507" s="7">
        <f t="shared" si="168"/>
        <v>5177.083333333333</v>
      </c>
      <c r="P507" s="7">
        <f t="shared" si="169"/>
        <v>5128.139434526458</v>
      </c>
      <c r="Q507" s="7">
        <f t="shared" si="170"/>
        <v>2413.5</v>
      </c>
      <c r="R507" s="7">
        <f t="shared" si="178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50"/>
        <v>211412</v>
      </c>
      <c r="X507" s="104">
        <f t="shared" si="151"/>
        <v>220286</v>
      </c>
      <c r="Y507" s="104"/>
      <c r="Z507" s="2">
        <v>5609</v>
      </c>
      <c r="AA507" s="2"/>
      <c r="AC507" s="78">
        <v>168577</v>
      </c>
      <c r="AD507" s="104">
        <f t="shared" si="145"/>
        <v>220286</v>
      </c>
      <c r="AE507" s="193">
        <f t="shared" si="186"/>
        <v>3.1608997668721113E-2</v>
      </c>
      <c r="AF507" s="193">
        <f t="shared" si="187"/>
        <v>0</v>
      </c>
      <c r="AG507" s="20">
        <f t="shared" si="188"/>
        <v>48.94389880687558</v>
      </c>
      <c r="AH507" s="20">
        <f t="shared" si="189"/>
        <v>0</v>
      </c>
      <c r="AI507"/>
      <c r="AJ507"/>
      <c r="AK507"/>
      <c r="AL507"/>
    </row>
    <row r="508" spans="1:84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83"/>
        <v>58.951391460726384</v>
      </c>
      <c r="O508" s="7">
        <f t="shared" si="168"/>
        <v>4890.25</v>
      </c>
      <c r="P508" s="7">
        <f t="shared" si="169"/>
        <v>4831.298608539274</v>
      </c>
      <c r="Q508" s="7">
        <f t="shared" si="170"/>
        <v>2368.01848621626</v>
      </c>
      <c r="R508" s="7">
        <f t="shared" si="178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50"/>
        <v>207334</v>
      </c>
      <c r="X508" s="104">
        <f t="shared" si="151"/>
        <v>222436</v>
      </c>
      <c r="Y508" s="104"/>
      <c r="Z508" s="2">
        <v>1604</v>
      </c>
      <c r="AA508" s="2"/>
      <c r="AB508" s="7">
        <v>6760</v>
      </c>
      <c r="AC508" s="78">
        <v>133499</v>
      </c>
      <c r="AD508" s="104">
        <f t="shared" si="145"/>
        <v>222436</v>
      </c>
      <c r="AE508" s="193">
        <f t="shared" si="186"/>
        <v>1.1414317710245019E-2</v>
      </c>
      <c r="AF508" s="193">
        <f t="shared" si="187"/>
        <v>1.8234458450970166E-2</v>
      </c>
      <c r="AG508" s="20">
        <f t="shared" si="188"/>
        <v>14.969877676986343</v>
      </c>
      <c r="AH508" s="20">
        <f t="shared" si="189"/>
        <v>43.981513783740041</v>
      </c>
      <c r="AI508"/>
      <c r="AJ508"/>
      <c r="AK508"/>
      <c r="AL508"/>
    </row>
    <row r="509" spans="1:84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83"/>
        <v>4.2063540226681946</v>
      </c>
      <c r="O509" s="7">
        <f t="shared" si="168"/>
        <v>4760</v>
      </c>
      <c r="P509" s="7">
        <f t="shared" si="169"/>
        <v>4755.7936459773318</v>
      </c>
      <c r="Q509" s="7">
        <f t="shared" si="170"/>
        <v>2671.9066653907971</v>
      </c>
      <c r="R509" s="7">
        <f t="shared" si="178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50"/>
        <v>220518</v>
      </c>
      <c r="X509" s="104">
        <f t="shared" si="151"/>
        <v>227296</v>
      </c>
      <c r="Y509" s="104"/>
      <c r="Z509" s="2">
        <v>76</v>
      </c>
      <c r="AA509" s="2"/>
      <c r="AB509" s="7">
        <v>497</v>
      </c>
      <c r="AC509" s="78">
        <v>104910</v>
      </c>
      <c r="AD509" s="104">
        <f t="shared" si="145"/>
        <v>227296</v>
      </c>
      <c r="AE509" s="193">
        <f t="shared" si="186"/>
        <v>6.8820894099704509E-4</v>
      </c>
      <c r="AF509" s="193">
        <f t="shared" si="187"/>
        <v>1.3119456567647473E-3</v>
      </c>
      <c r="AG509" s="20">
        <f t="shared" si="188"/>
        <v>0.6963527467988434</v>
      </c>
      <c r="AH509" s="20">
        <f t="shared" si="189"/>
        <v>3.5100012758693508</v>
      </c>
      <c r="AI509"/>
      <c r="AJ509"/>
      <c r="AK509"/>
      <c r="AL509"/>
    </row>
    <row r="510" spans="1:84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83"/>
        <v>0</v>
      </c>
      <c r="O510" s="7">
        <f t="shared" si="168"/>
        <v>0</v>
      </c>
      <c r="P510" s="7">
        <f t="shared" si="169"/>
        <v>0</v>
      </c>
      <c r="Q510" s="7">
        <f t="shared" si="170"/>
        <v>0</v>
      </c>
      <c r="R510" s="7">
        <f t="shared" si="178"/>
        <v>0</v>
      </c>
      <c r="T510" s="7"/>
      <c r="U510" s="7"/>
      <c r="V510" s="104"/>
      <c r="W510" s="7">
        <f t="shared" si="150"/>
        <v>0</v>
      </c>
      <c r="X510" s="104">
        <f t="shared" si="151"/>
        <v>0</v>
      </c>
      <c r="Y510" s="104"/>
      <c r="Z510" s="2"/>
      <c r="AA510" s="2"/>
      <c r="AC510" s="78"/>
      <c r="AD510" s="104">
        <f t="shared" si="145"/>
        <v>0</v>
      </c>
      <c r="AE510" s="193"/>
      <c r="AF510" s="193"/>
      <c r="AG510" s="20"/>
      <c r="AH510" s="20"/>
      <c r="AI510"/>
      <c r="AJ510"/>
      <c r="AK510"/>
      <c r="AL510"/>
    </row>
    <row r="511" spans="1:84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83"/>
        <v>0</v>
      </c>
      <c r="O511" s="7">
        <f t="shared" si="168"/>
        <v>4302</v>
      </c>
      <c r="P511" s="7">
        <f t="shared" si="169"/>
        <v>4302</v>
      </c>
      <c r="Q511" s="7">
        <f t="shared" si="170"/>
        <v>1976.5833333333333</v>
      </c>
      <c r="R511" s="7">
        <f t="shared" si="178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50"/>
        <v>157122</v>
      </c>
      <c r="X511" s="104">
        <f t="shared" si="151"/>
        <v>161649</v>
      </c>
      <c r="Y511" s="104"/>
      <c r="Z511" s="2"/>
      <c r="AA511" s="2"/>
      <c r="AC511" s="78">
        <v>127706</v>
      </c>
      <c r="AD511" s="104">
        <f t="shared" si="145"/>
        <v>161649</v>
      </c>
      <c r="AE511" s="193">
        <f t="shared" si="186"/>
        <v>0</v>
      </c>
      <c r="AF511" s="193">
        <f t="shared" si="187"/>
        <v>0</v>
      </c>
      <c r="AG511" s="20">
        <f t="shared" si="188"/>
        <v>0</v>
      </c>
      <c r="AH511" s="20">
        <f t="shared" si="189"/>
        <v>0</v>
      </c>
      <c r="AI511"/>
      <c r="AJ511"/>
      <c r="AK511"/>
      <c r="AL511"/>
    </row>
    <row r="512" spans="1:84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83"/>
        <v>0</v>
      </c>
      <c r="O512" s="7">
        <f t="shared" si="168"/>
        <v>1374.25</v>
      </c>
      <c r="P512" s="7">
        <f t="shared" si="169"/>
        <v>1374.25</v>
      </c>
      <c r="Q512" s="7">
        <f t="shared" si="170"/>
        <v>583.58333333333337</v>
      </c>
      <c r="R512" s="7">
        <f t="shared" si="178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50"/>
        <v>48083</v>
      </c>
      <c r="X512" s="104">
        <f t="shared" si="151"/>
        <v>50260</v>
      </c>
      <c r="Y512" s="104"/>
      <c r="Z512" s="2"/>
      <c r="AA512" s="2"/>
      <c r="AC512" s="78">
        <v>29460</v>
      </c>
      <c r="AD512" s="104">
        <f t="shared" ref="AD512:AD516" si="190">+X512</f>
        <v>50260</v>
      </c>
      <c r="AE512" s="193">
        <f t="shared" si="186"/>
        <v>0</v>
      </c>
      <c r="AF512" s="193">
        <f t="shared" si="187"/>
        <v>0</v>
      </c>
      <c r="AG512" s="20">
        <f t="shared" si="188"/>
        <v>0</v>
      </c>
      <c r="AH512" s="20">
        <f t="shared" si="189"/>
        <v>0</v>
      </c>
      <c r="AI512"/>
      <c r="AJ512"/>
      <c r="AK512"/>
      <c r="AL512"/>
    </row>
    <row r="513" spans="1:38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83"/>
        <v>0</v>
      </c>
      <c r="O513" s="7">
        <f t="shared" si="168"/>
        <v>0</v>
      </c>
      <c r="P513" s="7">
        <f t="shared" si="169"/>
        <v>0</v>
      </c>
      <c r="Q513" s="7">
        <f t="shared" si="170"/>
        <v>0</v>
      </c>
      <c r="R513" s="7">
        <f t="shared" si="178"/>
        <v>0</v>
      </c>
      <c r="T513" s="7"/>
      <c r="U513" s="7"/>
      <c r="V513" s="104">
        <v>0</v>
      </c>
      <c r="W513" s="7">
        <f t="shared" si="150"/>
        <v>0</v>
      </c>
      <c r="X513" s="104">
        <f t="shared" si="151"/>
        <v>0</v>
      </c>
      <c r="Y513" s="104"/>
      <c r="Z513" s="2"/>
      <c r="AA513" s="2"/>
      <c r="AC513" s="78"/>
      <c r="AD513" s="104">
        <f t="shared" si="190"/>
        <v>0</v>
      </c>
      <c r="AE513" s="193"/>
      <c r="AF513" s="193"/>
      <c r="AG513" s="20"/>
      <c r="AH513" s="20"/>
      <c r="AI513"/>
      <c r="AJ513"/>
      <c r="AK513"/>
      <c r="AL513"/>
    </row>
    <row r="514" spans="1:38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83"/>
        <v>0</v>
      </c>
      <c r="O514" s="7">
        <f t="shared" si="168"/>
        <v>0</v>
      </c>
      <c r="P514" s="7">
        <f t="shared" si="169"/>
        <v>0</v>
      </c>
      <c r="Q514" s="7">
        <f t="shared" si="170"/>
        <v>0</v>
      </c>
      <c r="R514" s="7">
        <f t="shared" si="178"/>
        <v>0</v>
      </c>
      <c r="T514" s="7"/>
      <c r="U514" s="7"/>
      <c r="V514" s="104">
        <v>0</v>
      </c>
      <c r="W514" s="7">
        <f t="shared" si="150"/>
        <v>0</v>
      </c>
      <c r="X514" s="104">
        <f t="shared" si="151"/>
        <v>0</v>
      </c>
      <c r="Y514" s="104"/>
      <c r="Z514" s="2"/>
      <c r="AA514" s="2"/>
      <c r="AC514" s="78"/>
      <c r="AD514" s="104">
        <f t="shared" si="190"/>
        <v>0</v>
      </c>
      <c r="AE514" s="193"/>
      <c r="AF514" s="193"/>
      <c r="AG514" s="20"/>
      <c r="AH514" s="20"/>
      <c r="AI514"/>
      <c r="AJ514"/>
      <c r="AK514"/>
      <c r="AL514"/>
    </row>
    <row r="515" spans="1:38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83"/>
        <v>0</v>
      </c>
      <c r="O515" s="7">
        <f t="shared" si="168"/>
        <v>0</v>
      </c>
      <c r="P515" s="7">
        <f t="shared" si="169"/>
        <v>0</v>
      </c>
      <c r="Q515" s="7">
        <f t="shared" si="170"/>
        <v>0</v>
      </c>
      <c r="R515" s="7">
        <f t="shared" si="178"/>
        <v>0</v>
      </c>
      <c r="T515" s="7"/>
      <c r="U515" s="7"/>
      <c r="V515" s="104"/>
      <c r="W515" s="7">
        <f t="shared" ref="W515:W578" si="191">+V515-U515-S515+AA515</f>
        <v>0</v>
      </c>
      <c r="X515" s="104">
        <f t="shared" ref="X515:X578" si="192">+V515+AB515+AA515</f>
        <v>0</v>
      </c>
      <c r="Y515" s="104"/>
      <c r="Z515" s="2"/>
      <c r="AA515" s="2"/>
      <c r="AC515" s="78"/>
      <c r="AD515" s="104">
        <f t="shared" si="190"/>
        <v>0</v>
      </c>
      <c r="AE515" s="193"/>
      <c r="AF515" s="193"/>
      <c r="AG515" s="20"/>
      <c r="AH515" s="20"/>
      <c r="AI515"/>
      <c r="AJ515"/>
      <c r="AK515"/>
      <c r="AL515"/>
    </row>
    <row r="516" spans="1:38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83"/>
        <v>69.955893495080261</v>
      </c>
      <c r="O516" s="7">
        <f t="shared" si="168"/>
        <v>4147.333333333333</v>
      </c>
      <c r="P516" s="7">
        <f t="shared" si="169"/>
        <v>4077.3774398382529</v>
      </c>
      <c r="Q516" s="7">
        <f t="shared" si="170"/>
        <v>1767.7810238226928</v>
      </c>
      <c r="R516" s="7">
        <f t="shared" si="178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1"/>
        <v>140792</v>
      </c>
      <c r="X516" s="104">
        <f t="shared" si="192"/>
        <v>151872</v>
      </c>
      <c r="Y516" s="104"/>
      <c r="Z516" s="2">
        <v>4401</v>
      </c>
      <c r="AA516" s="2"/>
      <c r="AB516" s="7">
        <v>4381</v>
      </c>
      <c r="AC516" s="78">
        <v>150897</v>
      </c>
      <c r="AD516" s="104">
        <f t="shared" si="190"/>
        <v>151872</v>
      </c>
      <c r="AE516" s="193">
        <f t="shared" si="186"/>
        <v>2.7707310284498698E-2</v>
      </c>
      <c r="AF516" s="193">
        <f t="shared" si="187"/>
        <v>1.7307996207332491E-2</v>
      </c>
      <c r="AG516" s="20">
        <f t="shared" si="188"/>
        <v>38.820250651106385</v>
      </c>
      <c r="AH516" s="20">
        <f t="shared" si="189"/>
        <v>31.135642843973873</v>
      </c>
      <c r="AI516"/>
      <c r="AJ516"/>
      <c r="AK516"/>
      <c r="AL516"/>
    </row>
    <row r="517" spans="1:38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83"/>
        <v>0</v>
      </c>
      <c r="O517" s="7">
        <f t="shared" ref="O517:O523" si="193">+B517+C517+D517+F517+I517+K517+J517</f>
        <v>0</v>
      </c>
      <c r="P517" s="7">
        <f t="shared" ref="P517:P523" si="194">+B517+C517+D517+F517+J517+Q517+R517</f>
        <v>0</v>
      </c>
      <c r="Q517" s="7">
        <f t="shared" ref="Q517:Q523" si="195">+I517-AH517</f>
        <v>0</v>
      </c>
      <c r="R517" s="7">
        <f t="shared" ref="R517:R523" si="196">+K517-AG517</f>
        <v>0</v>
      </c>
      <c r="T517" s="7"/>
      <c r="U517" s="7"/>
      <c r="V517" s="104"/>
      <c r="W517" s="7">
        <f t="shared" si="191"/>
        <v>0</v>
      </c>
      <c r="X517" s="104">
        <f t="shared" si="192"/>
        <v>0</v>
      </c>
      <c r="Y517" s="104"/>
      <c r="Z517" s="2"/>
      <c r="AA517" s="2"/>
      <c r="AC517" s="78"/>
      <c r="AD517" s="104"/>
      <c r="AE517" s="193"/>
      <c r="AF517" s="193"/>
      <c r="AG517" s="20"/>
      <c r="AH517" s="20"/>
      <c r="AI517"/>
      <c r="AJ517"/>
      <c r="AK517"/>
      <c r="AL517"/>
    </row>
    <row r="518" spans="1:38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83"/>
        <v>43.613125818885607</v>
      </c>
      <c r="O518" s="7">
        <f t="shared" si="193"/>
        <v>4264.1666666666661</v>
      </c>
      <c r="P518" s="7">
        <f t="shared" si="194"/>
        <v>4220.5535408477808</v>
      </c>
      <c r="Q518" s="7">
        <f t="shared" si="195"/>
        <v>1839.8461144715679</v>
      </c>
      <c r="R518" s="7">
        <f t="shared" si="196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1"/>
        <v>155634</v>
      </c>
      <c r="X518" s="104">
        <f t="shared" si="192"/>
        <v>166644</v>
      </c>
      <c r="Y518" s="104"/>
      <c r="Z518" s="2">
        <v>2811</v>
      </c>
      <c r="AA518" s="2"/>
      <c r="AB518" s="7">
        <v>2837</v>
      </c>
      <c r="AC518" s="78">
        <v>164134</v>
      </c>
      <c r="AD518" s="104">
        <f t="shared" ref="AD518:AD551" si="197">+X518</f>
        <v>166644</v>
      </c>
      <c r="AE518" s="193">
        <f t="shared" ref="AE518:AE523" si="198">+(Z518/AC518*0.95)</f>
        <v>1.6269937977506185E-2</v>
      </c>
      <c r="AF518" s="193">
        <f t="shared" ref="AF518:AF523" si="199">+(AB518/AD518*0.6)</f>
        <v>1.0214589184129041E-2</v>
      </c>
      <c r="AG518" s="20">
        <f t="shared" ref="AG518:AG523" si="200">+AE518*K518</f>
        <v>24.625906957120407</v>
      </c>
      <c r="AH518" s="20">
        <f t="shared" ref="AH518:AH523" si="201">+AF518*I518</f>
        <v>18.9872188617652</v>
      </c>
      <c r="AI518" s="3">
        <f>+AC518-Z518</f>
        <v>161323</v>
      </c>
      <c r="AJ518"/>
      <c r="AK518"/>
      <c r="AL518"/>
    </row>
    <row r="519" spans="1:38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83"/>
        <v>26.0202800852819</v>
      </c>
      <c r="O519" s="7">
        <f t="shared" si="193"/>
        <v>4715.333333333333</v>
      </c>
      <c r="P519" s="7">
        <f t="shared" si="194"/>
        <v>4689.3130532480518</v>
      </c>
      <c r="Q519" s="7">
        <f t="shared" si="195"/>
        <v>2187.8404925559207</v>
      </c>
      <c r="R519" s="7">
        <f t="shared" si="196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1"/>
        <v>180859</v>
      </c>
      <c r="X519" s="104">
        <f t="shared" si="192"/>
        <v>189569</v>
      </c>
      <c r="Y519" s="104"/>
      <c r="Z519" s="2">
        <v>2928</v>
      </c>
      <c r="AA519" s="2"/>
      <c r="AB519" s="7">
        <v>11</v>
      </c>
      <c r="AC519" s="78">
        <v>167059</v>
      </c>
      <c r="AD519" s="104">
        <f t="shared" si="197"/>
        <v>189569</v>
      </c>
      <c r="AE519" s="193">
        <f t="shared" si="198"/>
        <v>1.6650404946755338E-2</v>
      </c>
      <c r="AF519" s="193">
        <f t="shared" si="199"/>
        <v>3.4815819042142964E-5</v>
      </c>
      <c r="AG519" s="20">
        <f t="shared" si="200"/>
        <v>25.944105974535944</v>
      </c>
      <c r="AH519" s="20">
        <f t="shared" si="201"/>
        <v>7.6174110745955287E-2</v>
      </c>
      <c r="AI519" s="3">
        <f t="shared" ref="AI519:AI531" si="202">+AC519-Z519</f>
        <v>164131</v>
      </c>
      <c r="AJ519"/>
      <c r="AK519"/>
      <c r="AL519"/>
    </row>
    <row r="520" spans="1:38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83"/>
        <v>175.62148727655762</v>
      </c>
      <c r="O520" s="7">
        <f t="shared" si="193"/>
        <v>4665.3333333333339</v>
      </c>
      <c r="P520" s="7">
        <f t="shared" si="194"/>
        <v>4489.7118460567763</v>
      </c>
      <c r="Q520" s="7">
        <f t="shared" si="195"/>
        <v>2055.2872727465019</v>
      </c>
      <c r="R520" s="7">
        <f t="shared" si="196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1"/>
        <v>172712</v>
      </c>
      <c r="X520" s="104">
        <f t="shared" si="192"/>
        <v>189106</v>
      </c>
      <c r="Y520" s="104"/>
      <c r="Z520" s="2">
        <v>14557</v>
      </c>
      <c r="AA520" s="2"/>
      <c r="AB520" s="7">
        <v>7626</v>
      </c>
      <c r="AC520" s="78">
        <v>171729</v>
      </c>
      <c r="AD520" s="104">
        <f t="shared" si="197"/>
        <v>189106</v>
      </c>
      <c r="AE520" s="193">
        <f t="shared" si="198"/>
        <v>8.0528914743578539E-2</v>
      </c>
      <c r="AF520" s="193">
        <f t="shared" si="199"/>
        <v>2.419595359216524E-2</v>
      </c>
      <c r="AG520" s="20">
        <f t="shared" si="200"/>
        <v>124.65876002305959</v>
      </c>
      <c r="AH520" s="20">
        <f t="shared" si="201"/>
        <v>50.962727253498038</v>
      </c>
      <c r="AI520" s="3">
        <f t="shared" si="202"/>
        <v>157172</v>
      </c>
      <c r="AJ520"/>
      <c r="AK520"/>
      <c r="AL520"/>
    </row>
    <row r="521" spans="1:38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83"/>
        <v>182.47865645204459</v>
      </c>
      <c r="O521" s="7">
        <f t="shared" si="193"/>
        <v>4471.5</v>
      </c>
      <c r="P521" s="7">
        <f t="shared" si="194"/>
        <v>4289.0213435479554</v>
      </c>
      <c r="Q521" s="7">
        <f t="shared" si="195"/>
        <v>1975.2719874873494</v>
      </c>
      <c r="R521" s="7">
        <f t="shared" si="196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1"/>
        <v>164322</v>
      </c>
      <c r="X521" s="104">
        <f t="shared" si="192"/>
        <v>181150</v>
      </c>
      <c r="Y521" s="104"/>
      <c r="Z521" s="2">
        <v>13683</v>
      </c>
      <c r="AA521" s="2"/>
      <c r="AB521" s="7">
        <v>9197</v>
      </c>
      <c r="AC521" s="78">
        <v>150480</v>
      </c>
      <c r="AD521" s="104">
        <f t="shared" si="197"/>
        <v>181150</v>
      </c>
      <c r="AE521" s="193">
        <f t="shared" si="198"/>
        <v>8.6382575757575755E-2</v>
      </c>
      <c r="AF521" s="193">
        <f t="shared" si="199"/>
        <v>3.0462048026497376E-2</v>
      </c>
      <c r="AG521" s="20">
        <f t="shared" si="200"/>
        <v>120.4173106060606</v>
      </c>
      <c r="AH521" s="20">
        <f t="shared" si="201"/>
        <v>62.061345845983993</v>
      </c>
      <c r="AI521" s="3">
        <f t="shared" si="202"/>
        <v>136797</v>
      </c>
      <c r="AJ521"/>
      <c r="AK521"/>
      <c r="AL521"/>
    </row>
    <row r="522" spans="1:38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83"/>
        <v>185.16458640994244</v>
      </c>
      <c r="O522" s="7">
        <f t="shared" si="193"/>
        <v>4616.25</v>
      </c>
      <c r="P522" s="7">
        <f t="shared" si="194"/>
        <v>4431.0854135900581</v>
      </c>
      <c r="Q522" s="7">
        <f t="shared" si="195"/>
        <v>2014.5891703881209</v>
      </c>
      <c r="R522" s="7">
        <f t="shared" si="196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1"/>
        <v>162285</v>
      </c>
      <c r="X522" s="104">
        <f t="shared" si="192"/>
        <v>183620</v>
      </c>
      <c r="Y522" s="104"/>
      <c r="Z522" s="2">
        <v>10061</v>
      </c>
      <c r="AA522" s="2"/>
      <c r="AB522" s="7">
        <v>14092</v>
      </c>
      <c r="AC522" s="78">
        <v>159543</v>
      </c>
      <c r="AD522" s="104">
        <f t="shared" si="197"/>
        <v>183620</v>
      </c>
      <c r="AE522" s="193">
        <f t="shared" si="198"/>
        <v>5.990830058354174E-2</v>
      </c>
      <c r="AF522" s="193">
        <f t="shared" si="199"/>
        <v>4.6047271539048036E-2</v>
      </c>
      <c r="AG522" s="20">
        <f t="shared" si="200"/>
        <v>87.920423464729467</v>
      </c>
      <c r="AH522" s="20">
        <f t="shared" si="201"/>
        <v>97.244162945212977</v>
      </c>
      <c r="AI522" s="3">
        <f t="shared" si="202"/>
        <v>149482</v>
      </c>
      <c r="AJ522"/>
      <c r="AK522"/>
      <c r="AL522"/>
    </row>
    <row r="523" spans="1:38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83"/>
        <v>23.148358083773843</v>
      </c>
      <c r="O523" s="7">
        <f t="shared" si="193"/>
        <v>4117.916666666667</v>
      </c>
      <c r="P523" s="7">
        <f t="shared" si="194"/>
        <v>4094.768308582893</v>
      </c>
      <c r="Q523" s="7">
        <f t="shared" si="195"/>
        <v>1794.9099519322542</v>
      </c>
      <c r="R523" s="7">
        <f t="shared" si="196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1"/>
        <v>165753</v>
      </c>
      <c r="X523" s="104">
        <f t="shared" si="192"/>
        <v>172881</v>
      </c>
      <c r="Y523" s="104"/>
      <c r="Z523" s="2">
        <v>1568</v>
      </c>
      <c r="AA523" s="2"/>
      <c r="AB523" s="7">
        <v>1571</v>
      </c>
      <c r="AC523" s="78">
        <v>147244</v>
      </c>
      <c r="AD523" s="104">
        <f t="shared" si="197"/>
        <v>172881</v>
      </c>
      <c r="AE523" s="193">
        <f t="shared" si="198"/>
        <v>1.0116541251256418E-2</v>
      </c>
      <c r="AF523" s="193">
        <f t="shared" si="199"/>
        <v>5.4523053429815886E-3</v>
      </c>
      <c r="AG523" s="20">
        <f t="shared" si="200"/>
        <v>13.30831001602782</v>
      </c>
      <c r="AH523" s="20">
        <f t="shared" si="201"/>
        <v>9.8400480677460234</v>
      </c>
      <c r="AI523" s="3">
        <f t="shared" si="202"/>
        <v>145676</v>
      </c>
      <c r="AJ523"/>
      <c r="AK523"/>
      <c r="AL523"/>
    </row>
    <row r="524" spans="1:38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83"/>
        <v>0</v>
      </c>
      <c r="O524" s="7">
        <f t="shared" ref="O524:O531" si="203">+B524+C524+D524+F524+I524+K524+J524</f>
        <v>0</v>
      </c>
      <c r="P524" s="7">
        <f t="shared" ref="P524:P531" si="204">+B524+C524+D524+F524+J524+Q524+R524</f>
        <v>0</v>
      </c>
      <c r="Q524" s="7">
        <f t="shared" ref="Q524:Q531" si="205">+I524-AH524</f>
        <v>0</v>
      </c>
      <c r="R524" s="7">
        <f t="shared" ref="R524:R531" si="206">+K524-AG524</f>
        <v>0</v>
      </c>
      <c r="T524" s="7"/>
      <c r="U524" s="7"/>
      <c r="V524" s="104"/>
      <c r="W524" s="7">
        <f t="shared" si="191"/>
        <v>0</v>
      </c>
      <c r="X524" s="104">
        <f t="shared" si="192"/>
        <v>0</v>
      </c>
      <c r="Y524" s="104"/>
      <c r="Z524" s="2"/>
      <c r="AA524" s="2"/>
      <c r="AD524" s="104">
        <f t="shared" si="197"/>
        <v>0</v>
      </c>
      <c r="AE524" s="193"/>
      <c r="AF524" s="193"/>
      <c r="AG524" s="20"/>
      <c r="AH524" s="20"/>
      <c r="AI524" s="3">
        <f t="shared" si="202"/>
        <v>0</v>
      </c>
    </row>
    <row r="525" spans="1:38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83"/>
        <v>39.999473348881608</v>
      </c>
      <c r="O525" s="7">
        <f t="shared" si="203"/>
        <v>4377.9166666666661</v>
      </c>
      <c r="P525" s="7">
        <f t="shared" si="204"/>
        <v>4337.9171933177849</v>
      </c>
      <c r="Q525" s="7">
        <f t="shared" si="205"/>
        <v>1791.5281467789293</v>
      </c>
      <c r="R525" s="7">
        <f t="shared" si="206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1"/>
        <v>162502</v>
      </c>
      <c r="X525" s="104">
        <f t="shared" si="192"/>
        <v>169602</v>
      </c>
      <c r="Y525" s="104"/>
      <c r="Z525" s="2">
        <v>3988</v>
      </c>
      <c r="AA525" s="2"/>
      <c r="AB525" s="104">
        <v>35</v>
      </c>
      <c r="AC525" s="78">
        <v>136660</v>
      </c>
      <c r="AD525" s="104">
        <f t="shared" si="197"/>
        <v>169602</v>
      </c>
      <c r="AE525" s="193">
        <f t="shared" ref="AE525:AE531" si="207">+(Z525/AC525*0.95)</f>
        <v>2.7722815747109612E-2</v>
      </c>
      <c r="AF525" s="193">
        <f t="shared" ref="AF525:AF531" si="208">+(AB525/AD525*0.6)</f>
        <v>1.2381929458379028E-4</v>
      </c>
      <c r="AG525" s="20">
        <f t="shared" ref="AG525:AG531" si="209">+AE525*K525</f>
        <v>39.777620127811105</v>
      </c>
      <c r="AH525" s="20">
        <f t="shared" ref="AH525:AH531" si="210">+AF525*I525</f>
        <v>0.2218532210705062</v>
      </c>
      <c r="AI525" s="3">
        <f t="shared" si="202"/>
        <v>132672</v>
      </c>
    </row>
    <row r="526" spans="1:38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83"/>
        <v>97.66316575312581</v>
      </c>
      <c r="O526" s="7">
        <f t="shared" si="203"/>
        <v>4546.25</v>
      </c>
      <c r="P526" s="7">
        <f t="shared" si="204"/>
        <v>4448.5868342468739</v>
      </c>
      <c r="Q526" s="7">
        <f t="shared" si="205"/>
        <v>1689.7771439132341</v>
      </c>
      <c r="R526" s="7">
        <f t="shared" si="206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1"/>
        <v>150367</v>
      </c>
      <c r="X526" s="104">
        <f t="shared" si="192"/>
        <v>174047</v>
      </c>
      <c r="Y526" s="104"/>
      <c r="Z526" s="2">
        <v>1986</v>
      </c>
      <c r="AA526" s="2"/>
      <c r="AB526" s="104">
        <v>12808</v>
      </c>
      <c r="AC526" s="78">
        <v>145646</v>
      </c>
      <c r="AD526" s="104">
        <f t="shared" si="197"/>
        <v>174047</v>
      </c>
      <c r="AE526" s="193">
        <f t="shared" si="207"/>
        <v>1.2954011781991952E-2</v>
      </c>
      <c r="AF526" s="193">
        <f t="shared" si="208"/>
        <v>4.4153590696765811E-2</v>
      </c>
      <c r="AG526" s="20">
        <f t="shared" si="209"/>
        <v>19.606976333026651</v>
      </c>
      <c r="AH526" s="20">
        <f t="shared" si="210"/>
        <v>78.056189420099159</v>
      </c>
      <c r="AI526" s="3">
        <f t="shared" si="202"/>
        <v>143660</v>
      </c>
    </row>
    <row r="527" spans="1:38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83"/>
        <v>21.28260463675738</v>
      </c>
      <c r="O527" s="7">
        <f t="shared" si="203"/>
        <v>4577.666666666667</v>
      </c>
      <c r="P527" s="7">
        <f t="shared" si="204"/>
        <v>4556.3840620299097</v>
      </c>
      <c r="Q527" s="7">
        <f t="shared" si="205"/>
        <v>1985.4759809305508</v>
      </c>
      <c r="R527" s="7">
        <f t="shared" si="206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1"/>
        <v>175099</v>
      </c>
      <c r="X527" s="104">
        <f t="shared" si="192"/>
        <v>188469</v>
      </c>
      <c r="Y527" s="104"/>
      <c r="Z527" s="2">
        <v>554</v>
      </c>
      <c r="AA527" s="2"/>
      <c r="AB527" s="104">
        <v>2398</v>
      </c>
      <c r="AC527" s="78">
        <v>122241</v>
      </c>
      <c r="AD527" s="104">
        <f t="shared" si="197"/>
        <v>188469</v>
      </c>
      <c r="AE527" s="193">
        <f t="shared" si="207"/>
        <v>4.3054294385680737E-3</v>
      </c>
      <c r="AF527" s="193">
        <f t="shared" si="208"/>
        <v>7.6341467297009052E-3</v>
      </c>
      <c r="AG527" s="20">
        <f t="shared" si="209"/>
        <v>6.0085855673082946</v>
      </c>
      <c r="AH527" s="20">
        <f t="shared" si="210"/>
        <v>15.274019069449086</v>
      </c>
      <c r="AI527" s="3">
        <f t="shared" si="202"/>
        <v>121687</v>
      </c>
    </row>
    <row r="528" spans="1:38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83"/>
        <v>0.31413371541254298</v>
      </c>
      <c r="O528" s="7">
        <f t="shared" si="203"/>
        <v>4719.333333333333</v>
      </c>
      <c r="P528" s="7">
        <f t="shared" si="204"/>
        <v>4719.019199617921</v>
      </c>
      <c r="Q528" s="7">
        <f t="shared" si="205"/>
        <v>2047.2197398434128</v>
      </c>
      <c r="R528" s="7">
        <f t="shared" si="206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1"/>
        <v>186510</v>
      </c>
      <c r="X528" s="104">
        <f t="shared" si="192"/>
        <v>194652</v>
      </c>
      <c r="Y528" s="104"/>
      <c r="Z528" s="2">
        <v>18</v>
      </c>
      <c r="AA528" s="2"/>
      <c r="AB528" s="104">
        <v>18</v>
      </c>
      <c r="AC528" s="78">
        <v>130825</v>
      </c>
      <c r="AD528" s="104">
        <f t="shared" si="197"/>
        <v>194652</v>
      </c>
      <c r="AE528" s="193">
        <f t="shared" si="207"/>
        <v>1.3070896235429006E-4</v>
      </c>
      <c r="AF528" s="193">
        <f t="shared" si="208"/>
        <v>5.54836323284631E-5</v>
      </c>
      <c r="AG528" s="20">
        <f t="shared" si="209"/>
        <v>0.20054022549206951</v>
      </c>
      <c r="AH528" s="20">
        <f t="shared" si="210"/>
        <v>0.11359348992047345</v>
      </c>
      <c r="AI528" s="3">
        <f t="shared" si="202"/>
        <v>130807</v>
      </c>
    </row>
    <row r="529" spans="1:35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83"/>
        <v>84.684702897097495</v>
      </c>
      <c r="O529" s="7">
        <f t="shared" si="203"/>
        <v>5170.4916666666668</v>
      </c>
      <c r="P529" s="7">
        <f t="shared" si="204"/>
        <v>5085.8069637695689</v>
      </c>
      <c r="Q529" s="7">
        <f t="shared" si="205"/>
        <v>2066.9087354439089</v>
      </c>
      <c r="R529" s="7">
        <f t="shared" si="206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1"/>
        <v>169859</v>
      </c>
      <c r="X529" s="104">
        <f t="shared" si="192"/>
        <v>181625</v>
      </c>
      <c r="Y529" s="104"/>
      <c r="Z529" s="2">
        <v>4735</v>
      </c>
      <c r="AA529" s="2"/>
      <c r="AB529" s="104">
        <v>4390</v>
      </c>
      <c r="AC529" s="78">
        <v>149870</v>
      </c>
      <c r="AD529" s="104">
        <f t="shared" si="197"/>
        <v>181625</v>
      </c>
      <c r="AE529" s="193">
        <f t="shared" si="207"/>
        <v>3.0014345766330816E-2</v>
      </c>
      <c r="AF529" s="193">
        <f t="shared" si="208"/>
        <v>1.4502408809359945E-2</v>
      </c>
      <c r="AG529" s="20">
        <f t="shared" si="209"/>
        <v>54.26843834100665</v>
      </c>
      <c r="AH529" s="20">
        <f t="shared" si="210"/>
        <v>30.416264556090844</v>
      </c>
      <c r="AI529" s="3">
        <f t="shared" si="202"/>
        <v>145135</v>
      </c>
    </row>
    <row r="530" spans="1:35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83"/>
        <v>11.757978573439701</v>
      </c>
      <c r="O530" s="7">
        <f t="shared" si="203"/>
        <v>4566.0833333333339</v>
      </c>
      <c r="P530" s="7">
        <f t="shared" si="204"/>
        <v>4554.3253547598943</v>
      </c>
      <c r="Q530" s="7">
        <f t="shared" si="205"/>
        <v>1899.2962186176258</v>
      </c>
      <c r="R530" s="7">
        <f t="shared" si="206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1"/>
        <v>186268</v>
      </c>
      <c r="X530" s="104">
        <f t="shared" si="192"/>
        <v>193580</v>
      </c>
      <c r="Y530" s="104"/>
      <c r="Z530" s="2">
        <v>610</v>
      </c>
      <c r="AA530" s="2"/>
      <c r="AB530" s="104">
        <v>966</v>
      </c>
      <c r="AC530" s="78">
        <v>144966</v>
      </c>
      <c r="AD530" s="104">
        <f t="shared" si="197"/>
        <v>193580</v>
      </c>
      <c r="AE530" s="193">
        <f t="shared" si="207"/>
        <v>3.9974890664017763E-3</v>
      </c>
      <c r="AF530" s="193">
        <f t="shared" si="208"/>
        <v>2.9941109618762266E-3</v>
      </c>
      <c r="AG530" s="20">
        <f t="shared" si="209"/>
        <v>6.0541971910654899</v>
      </c>
      <c r="AH530" s="20">
        <f t="shared" si="210"/>
        <v>5.7037813823742116</v>
      </c>
      <c r="AI530" s="3">
        <f t="shared" si="202"/>
        <v>144356</v>
      </c>
    </row>
    <row r="531" spans="1:35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83"/>
        <v>0.22175069124857738</v>
      </c>
      <c r="O531" s="7">
        <f t="shared" si="203"/>
        <v>3474.583333333333</v>
      </c>
      <c r="P531" s="7">
        <f t="shared" si="204"/>
        <v>3474.3615826420846</v>
      </c>
      <c r="Q531" s="7">
        <f t="shared" si="205"/>
        <v>1497.8046896414241</v>
      </c>
      <c r="R531" s="7">
        <f t="shared" si="206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1"/>
        <v>156345</v>
      </c>
      <c r="X531" s="104">
        <f t="shared" si="192"/>
        <v>160524</v>
      </c>
      <c r="Y531" s="104"/>
      <c r="Z531" s="2">
        <v>12</v>
      </c>
      <c r="AA531" s="2"/>
      <c r="AB531" s="104">
        <v>20</v>
      </c>
      <c r="AC531" s="78">
        <v>119116</v>
      </c>
      <c r="AD531" s="104">
        <f t="shared" si="197"/>
        <v>160524</v>
      </c>
      <c r="AE531" s="193">
        <f t="shared" si="207"/>
        <v>9.5705027032472553E-5</v>
      </c>
      <c r="AF531" s="193">
        <f t="shared" si="208"/>
        <v>7.4755176795993113E-5</v>
      </c>
      <c r="AG531" s="20">
        <f t="shared" si="209"/>
        <v>0.10977366600624602</v>
      </c>
      <c r="AH531" s="20">
        <f t="shared" si="210"/>
        <v>0.11197702524233134</v>
      </c>
      <c r="AI531" s="3">
        <f t="shared" si="202"/>
        <v>119104</v>
      </c>
    </row>
    <row r="532" spans="1:35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83"/>
        <v>8.9725177101230624</v>
      </c>
      <c r="O532" s="7">
        <f t="shared" ref="O532:O538" si="211">+B532+C532+D532+F532+I532+K532+J532</f>
        <v>4445.583333333333</v>
      </c>
      <c r="P532" s="7">
        <f t="shared" ref="P532:P538" si="212">+B532+C532+D532+F532+J532+Q532+R532</f>
        <v>4436.6108156232094</v>
      </c>
      <c r="Q532" s="7">
        <f t="shared" ref="Q532:Q538" si="213">+I532-AH532</f>
        <v>1794.0628185033609</v>
      </c>
      <c r="R532" s="7">
        <f t="shared" ref="R532:R538" si="214">+K532-AG532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1"/>
        <v>152772</v>
      </c>
      <c r="X532" s="104">
        <f t="shared" si="192"/>
        <v>160778</v>
      </c>
      <c r="Y532" s="104"/>
      <c r="Z532" s="2">
        <v>588</v>
      </c>
      <c r="AA532" s="2"/>
      <c r="AB532" s="104">
        <v>500</v>
      </c>
      <c r="AC532" s="78">
        <v>170130</v>
      </c>
      <c r="AD532" s="104">
        <f t="shared" si="197"/>
        <v>160778</v>
      </c>
      <c r="AE532" s="193">
        <f t="shared" ref="AE532:AE537" si="215">+(Z532/AC532*0.95)</f>
        <v>3.2833715394110382E-3</v>
      </c>
      <c r="AF532" s="193">
        <f t="shared" ref="AF532:AF537" si="216">+(AB532/AD532*0.6)</f>
        <v>1.8659269303014094E-3</v>
      </c>
      <c r="AG532" s="20">
        <f t="shared" ref="AG532:AG537" si="217">+AE532*K532</f>
        <v>5.6186695468171379</v>
      </c>
      <c r="AH532" s="20">
        <f t="shared" ref="AH532:AH537" si="218">+AF532*I532</f>
        <v>3.3538481633059249</v>
      </c>
      <c r="AI532" s="3">
        <f>+AC532-Z532</f>
        <v>169542</v>
      </c>
    </row>
    <row r="533" spans="1:35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83"/>
        <v>47.30359465831912</v>
      </c>
      <c r="O533" s="7">
        <f t="shared" si="211"/>
        <v>4607.166666666667</v>
      </c>
      <c r="P533" s="7">
        <f t="shared" si="212"/>
        <v>4559.8630720083474</v>
      </c>
      <c r="Q533" s="7">
        <f t="shared" si="213"/>
        <v>1733.9736843987482</v>
      </c>
      <c r="R533" s="7">
        <f t="shared" si="214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1"/>
        <v>158729</v>
      </c>
      <c r="X533" s="104">
        <f t="shared" si="192"/>
        <v>167775</v>
      </c>
      <c r="Y533" s="104"/>
      <c r="Z533" s="2">
        <v>4662</v>
      </c>
      <c r="AA533" s="2"/>
      <c r="AB533" s="104">
        <v>447</v>
      </c>
      <c r="AC533" s="78">
        <v>164805</v>
      </c>
      <c r="AD533" s="104">
        <f t="shared" si="197"/>
        <v>167775</v>
      </c>
      <c r="AE533" s="193">
        <f t="shared" si="215"/>
        <v>2.6873577864749251E-2</v>
      </c>
      <c r="AF533" s="193">
        <f t="shared" si="216"/>
        <v>1.5985695127402771E-3</v>
      </c>
      <c r="AG533" s="20">
        <f t="shared" si="217"/>
        <v>44.527279057067446</v>
      </c>
      <c r="AH533" s="20">
        <f t="shared" si="218"/>
        <v>2.7763156012516763</v>
      </c>
      <c r="AI533" s="3">
        <f t="shared" ref="AI533:AI537" si="219">+AC533-Z533</f>
        <v>160143</v>
      </c>
    </row>
    <row r="534" spans="1:35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83"/>
        <v>44.754784281714038</v>
      </c>
      <c r="O534" s="7">
        <f t="shared" si="211"/>
        <v>4292.9166666666661</v>
      </c>
      <c r="P534" s="7">
        <f t="shared" si="212"/>
        <v>4248.1618823849522</v>
      </c>
      <c r="Q534" s="7">
        <f t="shared" si="213"/>
        <v>1665.4653899392206</v>
      </c>
      <c r="R534" s="7">
        <f t="shared" si="214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1"/>
        <v>161234</v>
      </c>
      <c r="X534" s="104">
        <f t="shared" si="192"/>
        <v>175553</v>
      </c>
      <c r="Y534" s="104"/>
      <c r="Z534" s="2">
        <v>1602</v>
      </c>
      <c r="AA534" s="2"/>
      <c r="AB534" s="104">
        <v>5183</v>
      </c>
      <c r="AC534" s="78">
        <v>149121</v>
      </c>
      <c r="AD534" s="104">
        <f t="shared" si="197"/>
        <v>175553</v>
      </c>
      <c r="AE534" s="193">
        <f t="shared" si="215"/>
        <v>1.0205806023296517E-2</v>
      </c>
      <c r="AF534" s="193">
        <f t="shared" si="216"/>
        <v>1.7714308499427522E-2</v>
      </c>
      <c r="AG534" s="20">
        <f t="shared" si="217"/>
        <v>14.720174220934675</v>
      </c>
      <c r="AH534" s="20">
        <f t="shared" si="218"/>
        <v>30.034610060779364</v>
      </c>
      <c r="AI534" s="3">
        <f t="shared" si="219"/>
        <v>147519</v>
      </c>
    </row>
    <row r="535" spans="1:35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83"/>
        <v>25.879050796412901</v>
      </c>
      <c r="O535" s="7">
        <f t="shared" si="211"/>
        <v>4036.4166666666665</v>
      </c>
      <c r="P535" s="7">
        <f t="shared" si="212"/>
        <v>4010.5376158702538</v>
      </c>
      <c r="Q535" s="7">
        <f t="shared" si="213"/>
        <v>1768.1134674655066</v>
      </c>
      <c r="R535" s="7">
        <f t="shared" si="214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1"/>
        <v>167373</v>
      </c>
      <c r="X535" s="104">
        <f t="shared" si="192"/>
        <v>173585</v>
      </c>
      <c r="Y535" s="104"/>
      <c r="Z535" s="2">
        <v>1727</v>
      </c>
      <c r="AA535" s="2"/>
      <c r="AB535" s="104">
        <v>1730</v>
      </c>
      <c r="AC535" s="78">
        <v>130554</v>
      </c>
      <c r="AD535" s="104">
        <f t="shared" si="197"/>
        <v>173585</v>
      </c>
      <c r="AE535" s="193">
        <f t="shared" si="215"/>
        <v>1.2566830583513336E-2</v>
      </c>
      <c r="AF535" s="193">
        <f t="shared" si="216"/>
        <v>5.979779358815566E-3</v>
      </c>
      <c r="AG535" s="20">
        <f t="shared" si="217"/>
        <v>15.242518261919715</v>
      </c>
      <c r="AH535" s="20">
        <f t="shared" si="218"/>
        <v>10.636532534493186</v>
      </c>
      <c r="AI535" s="3">
        <f t="shared" si="219"/>
        <v>128827</v>
      </c>
    </row>
    <row r="536" spans="1:35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83"/>
        <v>41.16455887790903</v>
      </c>
      <c r="O536" s="7">
        <f t="shared" si="211"/>
        <v>4083.1666666666665</v>
      </c>
      <c r="P536" s="7">
        <f t="shared" si="212"/>
        <v>4042.0021077887577</v>
      </c>
      <c r="Q536" s="7">
        <f t="shared" si="213"/>
        <v>1738.7004787209003</v>
      </c>
      <c r="R536" s="7">
        <f t="shared" si="214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1"/>
        <v>162521</v>
      </c>
      <c r="X536" s="104">
        <f t="shared" si="192"/>
        <v>169932</v>
      </c>
      <c r="Y536" s="104"/>
      <c r="Z536" s="2">
        <v>2705</v>
      </c>
      <c r="AA536" s="2"/>
      <c r="AB536" s="104">
        <v>2697</v>
      </c>
      <c r="AC536" s="78">
        <v>129880</v>
      </c>
      <c r="AD536" s="104">
        <f t="shared" si="197"/>
        <v>169932</v>
      </c>
      <c r="AE536" s="193">
        <f t="shared" si="215"/>
        <v>1.9785571296581459E-2</v>
      </c>
      <c r="AF536" s="193">
        <f t="shared" si="216"/>
        <v>9.5226325824447414E-3</v>
      </c>
      <c r="AG536" s="20">
        <f t="shared" si="217"/>
        <v>24.448370932142492</v>
      </c>
      <c r="AH536" s="20">
        <f t="shared" si="218"/>
        <v>16.716187945766542</v>
      </c>
      <c r="AI536" s="3">
        <f t="shared" si="219"/>
        <v>127175</v>
      </c>
    </row>
    <row r="537" spans="1:35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83"/>
        <v>16.302428744114845</v>
      </c>
      <c r="O537" s="7">
        <f t="shared" si="211"/>
        <v>3508.333333333333</v>
      </c>
      <c r="P537" s="7">
        <f t="shared" si="212"/>
        <v>3492.0309045892186</v>
      </c>
      <c r="Q537" s="7">
        <f t="shared" si="213"/>
        <v>1455.585425219941</v>
      </c>
      <c r="R537" s="7">
        <f t="shared" si="214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1"/>
        <v>149326</v>
      </c>
      <c r="X537" s="104">
        <f t="shared" si="192"/>
        <v>156860</v>
      </c>
      <c r="Y537" s="104"/>
      <c r="Z537" s="2">
        <v>1054</v>
      </c>
      <c r="AA537" s="2"/>
      <c r="AB537" s="104">
        <v>1058</v>
      </c>
      <c r="AC537" s="78">
        <v>117220</v>
      </c>
      <c r="AD537" s="104">
        <f t="shared" si="197"/>
        <v>156860</v>
      </c>
      <c r="AE537" s="193">
        <f t="shared" si="215"/>
        <v>8.5420576693397039E-3</v>
      </c>
      <c r="AF537" s="193">
        <f t="shared" si="216"/>
        <v>4.0469208211143699E-3</v>
      </c>
      <c r="AG537" s="20">
        <f t="shared" si="217"/>
        <v>10.387853964056195</v>
      </c>
      <c r="AH537" s="20">
        <f t="shared" si="218"/>
        <v>5.9145747800586506</v>
      </c>
      <c r="AI537" s="3">
        <f t="shared" si="219"/>
        <v>116166</v>
      </c>
    </row>
    <row r="538" spans="1:35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83"/>
        <v>0</v>
      </c>
      <c r="O538" s="7">
        <f t="shared" si="211"/>
        <v>0</v>
      </c>
      <c r="P538" s="7">
        <f t="shared" si="212"/>
        <v>0</v>
      </c>
      <c r="Q538" s="7">
        <f t="shared" si="213"/>
        <v>0</v>
      </c>
      <c r="R538" s="7">
        <f t="shared" si="214"/>
        <v>0</v>
      </c>
      <c r="U538" s="7"/>
      <c r="V538" s="104"/>
      <c r="W538" s="7">
        <f t="shared" si="191"/>
        <v>0</v>
      </c>
      <c r="X538" s="104">
        <f t="shared" si="192"/>
        <v>0</v>
      </c>
      <c r="Y538" s="104"/>
      <c r="AB538" s="104"/>
      <c r="AD538" s="104">
        <f t="shared" si="197"/>
        <v>0</v>
      </c>
      <c r="AE538" s="193"/>
      <c r="AF538" s="193"/>
      <c r="AG538" s="20"/>
      <c r="AH538" s="20"/>
      <c r="AI538" s="3"/>
    </row>
    <row r="539" spans="1:35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0">+AH539+AG539</f>
        <v>17.753794652578868</v>
      </c>
      <c r="O539" s="7">
        <f t="shared" ref="O539:O545" si="221">+B539+C539+D539+F539+I539+K539+J539</f>
        <v>4200.666666666667</v>
      </c>
      <c r="P539" s="7">
        <f t="shared" ref="P539:P545" si="222">+B539+C539+D539+F539+J539+Q539+R539</f>
        <v>4182.912872014088</v>
      </c>
      <c r="Q539" s="7">
        <f t="shared" ref="Q539:Q545" si="223">+I539-AH539</f>
        <v>1584.1780433551728</v>
      </c>
      <c r="R539" s="7">
        <f t="shared" ref="R539:R545" si="224">+K539-AG539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1"/>
        <v>140825</v>
      </c>
      <c r="X539" s="104">
        <f t="shared" si="192"/>
        <v>148356</v>
      </c>
      <c r="Y539" s="104"/>
      <c r="Z539" s="2">
        <v>1082</v>
      </c>
      <c r="AA539" s="2"/>
      <c r="AB539" s="104">
        <v>1086</v>
      </c>
      <c r="AC539" s="78">
        <v>143369</v>
      </c>
      <c r="AD539" s="104">
        <f t="shared" si="197"/>
        <v>148356</v>
      </c>
      <c r="AE539" s="193">
        <f t="shared" ref="AE539:AE545" si="225">+(Z539/AC539*0.95)</f>
        <v>7.1696112827738211E-3</v>
      </c>
      <c r="AF539" s="193">
        <f t="shared" ref="AF539:AF545" si="226">+(AB539/AD539*0.6)</f>
        <v>4.3921378306236349E-3</v>
      </c>
      <c r="AG539" s="20">
        <f t="shared" ref="AG539:AG545" si="227">+AE539*K539</f>
        <v>10.765171341084892</v>
      </c>
      <c r="AH539" s="20">
        <f t="shared" ref="AH539:AH545" si="228">+AF539*I539</f>
        <v>6.9886233114939742</v>
      </c>
      <c r="AI539" s="3">
        <f t="shared" ref="AI539:AI545" si="229">+AC539-Z539</f>
        <v>142287</v>
      </c>
    </row>
    <row r="540" spans="1:35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0"/>
        <v>65.260454608432383</v>
      </c>
      <c r="O540" s="7">
        <f t="shared" si="221"/>
        <v>4464</v>
      </c>
      <c r="P540" s="7">
        <f t="shared" si="222"/>
        <v>4398.7395453915678</v>
      </c>
      <c r="Q540" s="7">
        <f t="shared" si="223"/>
        <v>1786.8661016949152</v>
      </c>
      <c r="R540" s="7">
        <f t="shared" si="224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1"/>
        <v>168316</v>
      </c>
      <c r="X540" s="104">
        <f t="shared" si="192"/>
        <v>179655</v>
      </c>
      <c r="Y540" s="104"/>
      <c r="Z540" s="2">
        <v>4068</v>
      </c>
      <c r="AA540" s="2"/>
      <c r="AB540" s="104">
        <v>4031</v>
      </c>
      <c r="AC540" s="78">
        <v>160621</v>
      </c>
      <c r="AD540" s="104">
        <f t="shared" si="197"/>
        <v>179655</v>
      </c>
      <c r="AE540" s="193">
        <f t="shared" si="225"/>
        <v>2.406036570560512E-2</v>
      </c>
      <c r="AF540" s="193">
        <f t="shared" si="226"/>
        <v>1.3462469733656173E-2</v>
      </c>
      <c r="AG540" s="20">
        <f t="shared" si="227"/>
        <v>40.876556303347634</v>
      </c>
      <c r="AH540" s="20">
        <f t="shared" si="228"/>
        <v>24.383898305084745</v>
      </c>
      <c r="AI540" s="3">
        <f t="shared" si="229"/>
        <v>156553</v>
      </c>
    </row>
    <row r="541" spans="1:35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0"/>
        <v>23.721902579357142</v>
      </c>
      <c r="O541" s="7">
        <f t="shared" si="221"/>
        <v>4374.416666666667</v>
      </c>
      <c r="P541" s="7">
        <f t="shared" si="222"/>
        <v>4350.6947640873095</v>
      </c>
      <c r="Q541" s="7">
        <f t="shared" si="223"/>
        <v>1787.4649473368545</v>
      </c>
      <c r="R541" s="7">
        <f t="shared" si="224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1"/>
        <v>155411</v>
      </c>
      <c r="X541" s="104">
        <f t="shared" si="192"/>
        <v>163397</v>
      </c>
      <c r="Y541" s="104"/>
      <c r="Z541" s="2">
        <v>1439</v>
      </c>
      <c r="AA541" s="2"/>
      <c r="AB541" s="104">
        <v>1445</v>
      </c>
      <c r="AC541" s="78">
        <v>138245</v>
      </c>
      <c r="AD541" s="104">
        <f t="shared" si="197"/>
        <v>163397</v>
      </c>
      <c r="AE541" s="193">
        <f t="shared" si="225"/>
        <v>9.8886035661325897E-3</v>
      </c>
      <c r="AF541" s="193">
        <f t="shared" si="226"/>
        <v>5.3060949711439013E-3</v>
      </c>
      <c r="AG541" s="20">
        <f t="shared" si="227"/>
        <v>14.186849916211553</v>
      </c>
      <c r="AH541" s="20">
        <f t="shared" si="228"/>
        <v>9.5350526631455903</v>
      </c>
      <c r="AI541" s="3">
        <f t="shared" si="229"/>
        <v>136806</v>
      </c>
    </row>
    <row r="542" spans="1:35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0"/>
        <v>101.25985490086676</v>
      </c>
      <c r="O542" s="7">
        <f t="shared" si="221"/>
        <v>4474.5000000000009</v>
      </c>
      <c r="P542" s="7">
        <f t="shared" si="222"/>
        <v>4373.2401450991338</v>
      </c>
      <c r="Q542" s="7">
        <f t="shared" si="223"/>
        <v>1733.2583798062813</v>
      </c>
      <c r="R542" s="7">
        <f t="shared" si="224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1"/>
        <v>163660</v>
      </c>
      <c r="X542" s="104">
        <f t="shared" si="192"/>
        <v>170350</v>
      </c>
      <c r="Y542" s="104"/>
      <c r="Z542" s="2">
        <v>10207</v>
      </c>
      <c r="AA542" s="2"/>
      <c r="AB542" s="104">
        <v>285</v>
      </c>
      <c r="AC542" s="78">
        <v>166859</v>
      </c>
      <c r="AD542" s="104">
        <f t="shared" si="197"/>
        <v>170350</v>
      </c>
      <c r="AE542" s="193">
        <f t="shared" si="225"/>
        <v>5.8112837785195881E-2</v>
      </c>
      <c r="AF542" s="193">
        <f t="shared" si="226"/>
        <v>1.0038156736131493E-3</v>
      </c>
      <c r="AG542" s="20">
        <f t="shared" si="227"/>
        <v>99.51823470714794</v>
      </c>
      <c r="AH542" s="20">
        <f t="shared" si="228"/>
        <v>1.741620193718814</v>
      </c>
      <c r="AI542" s="3">
        <f t="shared" si="229"/>
        <v>156652</v>
      </c>
    </row>
    <row r="543" spans="1:35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0"/>
        <v>87.239346339079347</v>
      </c>
      <c r="O543" s="7">
        <f t="shared" si="221"/>
        <v>4376.5</v>
      </c>
      <c r="P543" s="7">
        <f t="shared" si="222"/>
        <v>4289.260653660921</v>
      </c>
      <c r="Q543" s="7">
        <f t="shared" si="223"/>
        <v>1630.6618451113015</v>
      </c>
      <c r="R543" s="7">
        <f t="shared" si="224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1"/>
        <v>149611</v>
      </c>
      <c r="X543" s="104">
        <f t="shared" si="192"/>
        <v>155389</v>
      </c>
      <c r="Y543" s="104"/>
      <c r="Z543" s="2">
        <v>8127</v>
      </c>
      <c r="AA543" s="2"/>
      <c r="AB543" s="104">
        <v>14</v>
      </c>
      <c r="AC543" s="78">
        <v>150919</v>
      </c>
      <c r="AD543" s="104">
        <f t="shared" si="197"/>
        <v>155389</v>
      </c>
      <c r="AE543" s="193">
        <f t="shared" si="225"/>
        <v>5.1157574592993589E-2</v>
      </c>
      <c r="AF543" s="193">
        <f t="shared" si="226"/>
        <v>5.4057880544954918E-5</v>
      </c>
      <c r="AG543" s="20">
        <f t="shared" si="227"/>
        <v>87.151191450380665</v>
      </c>
      <c r="AH543" s="20">
        <f t="shared" si="228"/>
        <v>8.8154888698685249E-2</v>
      </c>
      <c r="AI543" s="3">
        <f t="shared" si="229"/>
        <v>142792</v>
      </c>
    </row>
    <row r="544" spans="1:35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0"/>
        <v>65.524003552563073</v>
      </c>
      <c r="O544" s="7">
        <f t="shared" si="221"/>
        <v>4115.2499999999991</v>
      </c>
      <c r="P544" s="7">
        <f t="shared" si="222"/>
        <v>4049.7259964474365</v>
      </c>
      <c r="Q544" s="7">
        <f t="shared" si="223"/>
        <v>1516.0939109655721</v>
      </c>
      <c r="R544" s="7">
        <f t="shared" si="224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1"/>
        <v>158620</v>
      </c>
      <c r="X544" s="104">
        <f t="shared" si="192"/>
        <v>169485</v>
      </c>
      <c r="Y544" s="104"/>
      <c r="Z544" s="2">
        <v>4944</v>
      </c>
      <c r="AA544" s="2"/>
      <c r="AB544" s="104">
        <v>3570</v>
      </c>
      <c r="AC544" s="78">
        <v>171241</v>
      </c>
      <c r="AD544" s="104">
        <f t="shared" si="197"/>
        <v>169485</v>
      </c>
      <c r="AE544" s="193">
        <f t="shared" si="225"/>
        <v>2.7428010815166926E-2</v>
      </c>
      <c r="AF544" s="193">
        <f t="shared" si="226"/>
        <v>1.2638286574033099E-2</v>
      </c>
      <c r="AG544" s="20">
        <f t="shared" si="227"/>
        <v>46.117914518135244</v>
      </c>
      <c r="AH544" s="20">
        <f t="shared" si="228"/>
        <v>19.406089034427822</v>
      </c>
      <c r="AI544" s="3">
        <f t="shared" si="229"/>
        <v>166297</v>
      </c>
    </row>
    <row r="545" spans="1:35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0"/>
        <v>4.1002356222167862</v>
      </c>
      <c r="O545" s="7">
        <f t="shared" si="221"/>
        <v>3194.916666666667</v>
      </c>
      <c r="P545" s="7">
        <f t="shared" si="222"/>
        <v>3190.8164310444499</v>
      </c>
      <c r="Q545" s="7">
        <f t="shared" si="223"/>
        <v>1361.4967455843421</v>
      </c>
      <c r="R545" s="7">
        <f t="shared" si="224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1"/>
        <v>144415</v>
      </c>
      <c r="X545" s="104">
        <f t="shared" si="192"/>
        <v>150959</v>
      </c>
      <c r="Y545" s="104"/>
      <c r="Z545" s="2">
        <v>446</v>
      </c>
      <c r="AA545" s="2"/>
      <c r="AB545" s="104">
        <v>16</v>
      </c>
      <c r="AC545" s="78">
        <v>118215</v>
      </c>
      <c r="AD545" s="104">
        <f t="shared" si="197"/>
        <v>150959</v>
      </c>
      <c r="AE545" s="193">
        <f t="shared" si="225"/>
        <v>3.5841475278094994E-3</v>
      </c>
      <c r="AF545" s="193">
        <f t="shared" si="226"/>
        <v>6.3593426029584196E-5</v>
      </c>
      <c r="AG545" s="20">
        <f t="shared" si="227"/>
        <v>4.013647873225338</v>
      </c>
      <c r="AH545" s="20">
        <f t="shared" si="228"/>
        <v>8.6587748991448027E-2</v>
      </c>
      <c r="AI545" s="3">
        <f t="shared" si="229"/>
        <v>117769</v>
      </c>
    </row>
    <row r="546" spans="1:35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230">+AH546+AG546</f>
        <v>152.42771377542269</v>
      </c>
      <c r="O546" s="7">
        <f t="shared" ref="O546:O551" si="231">+B546+C546+D546+F546+I546+K546+J546</f>
        <v>4242.25</v>
      </c>
      <c r="P546" s="7">
        <f t="shared" ref="P546:P551" si="232">+B546+C546+D546+F546+J546+Q546+R546</f>
        <v>4089.8222862245775</v>
      </c>
      <c r="Q546" s="7">
        <f t="shared" ref="Q546:Q551" si="233">+I546-AH546</f>
        <v>1850.8333333333333</v>
      </c>
      <c r="R546" s="7">
        <f t="shared" ref="R546:R551" si="234">+K546-AG546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1"/>
        <v>157394</v>
      </c>
      <c r="X546" s="104">
        <f t="shared" si="192"/>
        <v>161920</v>
      </c>
      <c r="Y546" s="104"/>
      <c r="Z546" s="2">
        <v>16413</v>
      </c>
      <c r="AA546" s="2"/>
      <c r="AB546" s="104"/>
      <c r="AC546" s="78">
        <v>169091</v>
      </c>
      <c r="AD546" s="104">
        <f t="shared" si="197"/>
        <v>161920</v>
      </c>
      <c r="AE546" s="193">
        <f t="shared" ref="AE546:AE551" si="235">+(Z546/AC546*0.95)</f>
        <v>9.2212773003885473E-2</v>
      </c>
      <c r="AF546" s="193">
        <f t="shared" ref="AF546:AF551" si="236">+(AB546/AD546*0.6)</f>
        <v>0</v>
      </c>
      <c r="AG546" s="20">
        <f t="shared" ref="AG546:AG551" si="237">+AE546*K546</f>
        <v>152.42771377542269</v>
      </c>
      <c r="AH546" s="20">
        <f t="shared" ref="AH546:AH551" si="238">+AF546*I546</f>
        <v>0</v>
      </c>
      <c r="AI546" s="3">
        <f t="shared" ref="AI546:AI550" si="239">+AC546-Z546</f>
        <v>152678</v>
      </c>
    </row>
    <row r="547" spans="1:35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0"/>
        <v>266.04536512855833</v>
      </c>
      <c r="O547" s="7">
        <f t="shared" si="231"/>
        <v>4267.666666666667</v>
      </c>
      <c r="P547" s="7">
        <f t="shared" si="232"/>
        <v>4001.621301538109</v>
      </c>
      <c r="Q547" s="7">
        <f t="shared" si="233"/>
        <v>1645.2801925089595</v>
      </c>
      <c r="R547" s="7">
        <f t="shared" si="234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1"/>
        <v>154601</v>
      </c>
      <c r="X547" s="104">
        <f t="shared" si="192"/>
        <v>189186</v>
      </c>
      <c r="Y547" s="104"/>
      <c r="Z547" s="2">
        <v>10858</v>
      </c>
      <c r="AA547" s="2"/>
      <c r="AB547" s="104">
        <v>28840</v>
      </c>
      <c r="AC547" s="78">
        <v>153968</v>
      </c>
      <c r="AD547" s="104">
        <f t="shared" si="197"/>
        <v>189186</v>
      </c>
      <c r="AE547" s="193">
        <f t="shared" si="235"/>
        <v>6.6995089888808063E-2</v>
      </c>
      <c r="AF547" s="193">
        <f t="shared" si="236"/>
        <v>9.1465541847705431E-2</v>
      </c>
      <c r="AG547" s="20">
        <f t="shared" si="237"/>
        <v>100.4088909708511</v>
      </c>
      <c r="AH547" s="20">
        <f t="shared" si="238"/>
        <v>165.63647415770723</v>
      </c>
      <c r="AI547" s="3">
        <f t="shared" si="239"/>
        <v>143110</v>
      </c>
    </row>
    <row r="548" spans="1:35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0"/>
        <v>173.95356346725359</v>
      </c>
      <c r="O548" s="7">
        <f t="shared" si="231"/>
        <v>4361.6666666666661</v>
      </c>
      <c r="P548" s="7">
        <f t="shared" si="232"/>
        <v>4187.7131031994131</v>
      </c>
      <c r="Q548" s="7">
        <f t="shared" si="233"/>
        <v>1775.7937120106628</v>
      </c>
      <c r="R548" s="7">
        <f t="shared" si="234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1"/>
        <v>160310</v>
      </c>
      <c r="X548" s="104">
        <f t="shared" si="192"/>
        <v>174062</v>
      </c>
      <c r="Y548" s="104"/>
      <c r="Z548" s="2">
        <v>11836</v>
      </c>
      <c r="AA548" s="2"/>
      <c r="AB548" s="104">
        <v>9704</v>
      </c>
      <c r="AC548" s="78">
        <v>144429</v>
      </c>
      <c r="AD548" s="104">
        <f t="shared" si="197"/>
        <v>174062</v>
      </c>
      <c r="AE548" s="193">
        <f t="shared" si="235"/>
        <v>7.7852785797866073E-2</v>
      </c>
      <c r="AF548" s="193">
        <f t="shared" si="236"/>
        <v>3.3450149946570758E-2</v>
      </c>
      <c r="AG548" s="20">
        <f t="shared" si="237"/>
        <v>112.49727547791646</v>
      </c>
      <c r="AH548" s="20">
        <f t="shared" si="238"/>
        <v>61.456287989337127</v>
      </c>
      <c r="AI548" s="3">
        <f t="shared" si="239"/>
        <v>132593</v>
      </c>
    </row>
    <row r="549" spans="1:35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0"/>
        <v>128.52626392132672</v>
      </c>
      <c r="O549" s="7">
        <f t="shared" si="231"/>
        <v>4539</v>
      </c>
      <c r="P549" s="7">
        <f t="shared" si="232"/>
        <v>4410.473736078673</v>
      </c>
      <c r="Q549" s="7">
        <f t="shared" si="233"/>
        <v>1837.5</v>
      </c>
      <c r="R549" s="7">
        <f t="shared" si="234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1"/>
        <v>150825</v>
      </c>
      <c r="X549" s="104">
        <f t="shared" si="192"/>
        <v>154137</v>
      </c>
      <c r="Y549" s="104"/>
      <c r="Z549" s="2">
        <v>12112</v>
      </c>
      <c r="AA549" s="2"/>
      <c r="AB549" s="104"/>
      <c r="AC549" s="78">
        <v>144293</v>
      </c>
      <c r="AD549" s="104">
        <f t="shared" si="197"/>
        <v>154137</v>
      </c>
      <c r="AE549" s="193">
        <f t="shared" si="235"/>
        <v>7.9743300090787492E-2</v>
      </c>
      <c r="AF549" s="193">
        <f t="shared" si="236"/>
        <v>0</v>
      </c>
      <c r="AG549" s="20">
        <f t="shared" si="237"/>
        <v>128.52626392132672</v>
      </c>
      <c r="AH549" s="20">
        <f t="shared" si="238"/>
        <v>0</v>
      </c>
      <c r="AI549" s="3">
        <f t="shared" si="239"/>
        <v>132181</v>
      </c>
    </row>
    <row r="550" spans="1:35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0"/>
        <v>315.43556755733528</v>
      </c>
      <c r="O550" s="7">
        <f t="shared" si="231"/>
        <v>4403.5833333333339</v>
      </c>
      <c r="P550" s="7">
        <f t="shared" si="232"/>
        <v>4088.1477657759979</v>
      </c>
      <c r="Q550" s="7">
        <f t="shared" si="233"/>
        <v>1615.9867416051591</v>
      </c>
      <c r="R550" s="7">
        <f t="shared" si="234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1"/>
        <v>119403</v>
      </c>
      <c r="X550" s="104">
        <f t="shared" si="192"/>
        <v>138736</v>
      </c>
      <c r="Y550" s="104"/>
      <c r="Z550" s="2">
        <v>17667</v>
      </c>
      <c r="AA550" s="2"/>
      <c r="AB550" s="104">
        <v>16305</v>
      </c>
      <c r="AC550" s="78">
        <v>142403</v>
      </c>
      <c r="AD550" s="104">
        <f t="shared" si="197"/>
        <v>138736</v>
      </c>
      <c r="AE550" s="193">
        <f t="shared" si="235"/>
        <v>0.11786022766374303</v>
      </c>
      <c r="AF550" s="193">
        <f t="shared" si="236"/>
        <v>7.0515223157651935E-2</v>
      </c>
      <c r="AG550" s="20">
        <f t="shared" si="237"/>
        <v>192.83897582916089</v>
      </c>
      <c r="AH550" s="20">
        <f t="shared" si="238"/>
        <v>122.59659172817437</v>
      </c>
      <c r="AI550" s="3">
        <f t="shared" si="239"/>
        <v>124736</v>
      </c>
    </row>
    <row r="551" spans="1:35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0"/>
        <v>198.52258177934752</v>
      </c>
      <c r="O551" s="7">
        <f t="shared" si="231"/>
        <v>4091.0833333333339</v>
      </c>
      <c r="P551" s="7">
        <f t="shared" si="232"/>
        <v>3892.5607515539859</v>
      </c>
      <c r="Q551" s="7">
        <f t="shared" si="233"/>
        <v>1534.1508254269236</v>
      </c>
      <c r="R551" s="7">
        <f t="shared" si="234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1"/>
        <v>129207</v>
      </c>
      <c r="X551" s="104">
        <f t="shared" si="192"/>
        <v>146611</v>
      </c>
      <c r="Y551" s="104"/>
      <c r="Z551" s="2">
        <v>9124</v>
      </c>
      <c r="AA551" s="2"/>
      <c r="AB551" s="104">
        <v>15585</v>
      </c>
      <c r="AC551" s="78">
        <v>136631</v>
      </c>
      <c r="AD551" s="104">
        <f t="shared" si="197"/>
        <v>146611</v>
      </c>
      <c r="AE551" s="193">
        <f t="shared" si="235"/>
        <v>6.3439482987023441E-2</v>
      </c>
      <c r="AF551" s="193">
        <f t="shared" si="236"/>
        <v>6.3781025980315251E-2</v>
      </c>
      <c r="AG551" s="20">
        <f t="shared" si="237"/>
        <v>94.006740539604252</v>
      </c>
      <c r="AH551" s="20">
        <f t="shared" si="238"/>
        <v>104.51584123974327</v>
      </c>
      <c r="AI551" s="3">
        <f>+AC551-Z551</f>
        <v>127507</v>
      </c>
    </row>
    <row r="552" spans="1:35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40">+AH552+AG552</f>
        <v>0</v>
      </c>
      <c r="O552" s="7">
        <f t="shared" ref="O552:O566" si="241">+B552+C552+D552+F552+I552+K552+J552</f>
        <v>0</v>
      </c>
      <c r="P552" s="7">
        <f t="shared" ref="P552:P566" si="242">+B552+C552+D552+F552+J552+Q552+R552</f>
        <v>0</v>
      </c>
      <c r="Q552" s="7">
        <f t="shared" ref="Q552:Q566" si="243">+I552-AH552</f>
        <v>0</v>
      </c>
      <c r="R552" s="7">
        <f t="shared" ref="R552:R566" si="244">+K552-AG552</f>
        <v>0</v>
      </c>
      <c r="T552" s="7"/>
      <c r="U552" s="7">
        <v>0</v>
      </c>
      <c r="V552" s="104"/>
      <c r="W552" s="7">
        <f t="shared" si="191"/>
        <v>0</v>
      </c>
      <c r="X552" s="104">
        <f t="shared" si="192"/>
        <v>0</v>
      </c>
      <c r="Y552" s="104"/>
      <c r="Z552" s="2"/>
      <c r="AA552" s="2"/>
      <c r="AB552" s="104"/>
      <c r="AC552" s="78"/>
      <c r="AD552" s="104"/>
      <c r="AE552" s="193"/>
      <c r="AF552" s="193"/>
      <c r="AG552" s="20"/>
      <c r="AH552" s="20"/>
      <c r="AI552" s="3"/>
    </row>
    <row r="553" spans="1:35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0"/>
        <v>149.70823934256214</v>
      </c>
      <c r="O553" s="7">
        <f t="shared" si="241"/>
        <v>4140.416666666667</v>
      </c>
      <c r="P553" s="7">
        <f t="shared" si="242"/>
        <v>3990.7084273241044</v>
      </c>
      <c r="Q553" s="7">
        <f t="shared" si="243"/>
        <v>1552.2561924838856</v>
      </c>
      <c r="R553" s="7">
        <f t="shared" si="244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91"/>
        <v>124874</v>
      </c>
      <c r="X553" s="104">
        <f t="shared" si="192"/>
        <v>148002</v>
      </c>
      <c r="Y553" s="104"/>
      <c r="Z553" s="2">
        <v>1663</v>
      </c>
      <c r="AA553" s="2"/>
      <c r="AB553" s="104">
        <v>19500</v>
      </c>
      <c r="AC553" s="78">
        <v>137480</v>
      </c>
      <c r="AD553" s="104">
        <f t="shared" ref="AD553:AD565" si="245">+X553</f>
        <v>148002</v>
      </c>
      <c r="AE553" s="193">
        <f t="shared" ref="AE553:AE559" si="246">+(Z553/AC553*0.95)</f>
        <v>1.1491489671224904E-2</v>
      </c>
      <c r="AF553" s="193">
        <f t="shared" ref="AF553:AF559" si="247">+(AB553/AD553*0.6)</f>
        <v>7.9052985770462561E-2</v>
      </c>
      <c r="AG553" s="20">
        <f t="shared" ref="AG553:AG559" si="248">+AE553*K553</f>
        <v>16.46443182644748</v>
      </c>
      <c r="AH553" s="20">
        <f t="shared" ref="AH553:AH559" si="249">+AF553*I553</f>
        <v>133.24380751611466</v>
      </c>
      <c r="AI553" s="3">
        <f t="shared" ref="AI553:AI565" si="250">+AC553-Z553</f>
        <v>135817</v>
      </c>
    </row>
    <row r="554" spans="1:35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0"/>
        <v>111.10415711477526</v>
      </c>
      <c r="O554" s="7">
        <f t="shared" si="241"/>
        <v>4631.3333333333339</v>
      </c>
      <c r="P554" s="7">
        <f t="shared" si="242"/>
        <v>4520.2291762185578</v>
      </c>
      <c r="Q554" s="7">
        <f t="shared" si="243"/>
        <v>1802.0122691935389</v>
      </c>
      <c r="R554" s="7">
        <f t="shared" si="244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91"/>
        <v>157042</v>
      </c>
      <c r="X554" s="104">
        <f t="shared" si="192"/>
        <v>164947</v>
      </c>
      <c r="Y554" s="104"/>
      <c r="Z554" s="2">
        <v>8730</v>
      </c>
      <c r="AA554" s="2"/>
      <c r="AB554" s="104">
        <v>176</v>
      </c>
      <c r="AC554" s="78">
        <v>137295</v>
      </c>
      <c r="AD554" s="104">
        <f t="shared" si="245"/>
        <v>164947</v>
      </c>
      <c r="AE554" s="193">
        <f t="shared" si="246"/>
        <v>6.0406424123238274E-2</v>
      </c>
      <c r="AF554" s="193">
        <f t="shared" si="247"/>
        <v>6.4020564181221842E-4</v>
      </c>
      <c r="AG554" s="20">
        <f t="shared" si="248"/>
        <v>109.94975964164753</v>
      </c>
      <c r="AH554" s="20">
        <f t="shared" si="249"/>
        <v>1.154397473127732</v>
      </c>
      <c r="AI554" s="3">
        <f t="shared" si="250"/>
        <v>128565</v>
      </c>
    </row>
    <row r="555" spans="1:35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0"/>
        <v>440.44396208881255</v>
      </c>
      <c r="O555" s="7">
        <f t="shared" si="241"/>
        <v>4707.9166666666661</v>
      </c>
      <c r="P555" s="7">
        <f t="shared" si="242"/>
        <v>4267.4727045778536</v>
      </c>
      <c r="Q555" s="7">
        <f t="shared" si="243"/>
        <v>1680.9217164620518</v>
      </c>
      <c r="R555" s="7">
        <f t="shared" si="244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91"/>
        <v>101884</v>
      </c>
      <c r="X555" s="104">
        <f t="shared" si="192"/>
        <v>124543</v>
      </c>
      <c r="Y555" s="104"/>
      <c r="Z555" s="2">
        <v>22263</v>
      </c>
      <c r="AA555" s="2"/>
      <c r="AB555" s="104">
        <v>18545</v>
      </c>
      <c r="AC555" s="78">
        <v>142991</v>
      </c>
      <c r="AD555" s="104">
        <f t="shared" si="245"/>
        <v>124543</v>
      </c>
      <c r="AE555" s="193">
        <f t="shared" si="246"/>
        <v>0.14791035799455909</v>
      </c>
      <c r="AF555" s="193">
        <f t="shared" si="247"/>
        <v>8.9342636679700993E-2</v>
      </c>
      <c r="AG555" s="20">
        <f t="shared" si="248"/>
        <v>275.53234521753114</v>
      </c>
      <c r="AH555" s="20">
        <f t="shared" si="249"/>
        <v>164.91161687128141</v>
      </c>
      <c r="AI555" s="3">
        <f t="shared" si="250"/>
        <v>120728</v>
      </c>
    </row>
    <row r="556" spans="1:35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0"/>
        <v>388.8665016217094</v>
      </c>
      <c r="O556" s="7">
        <f t="shared" si="241"/>
        <v>4668.166666666667</v>
      </c>
      <c r="P556" s="7">
        <f t="shared" si="242"/>
        <v>4279.3001650449578</v>
      </c>
      <c r="Q556" s="7">
        <f t="shared" si="243"/>
        <v>1755.6192336039094</v>
      </c>
      <c r="R556" s="7">
        <f t="shared" si="244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91"/>
        <v>119682</v>
      </c>
      <c r="X556" s="104">
        <f t="shared" si="192"/>
        <v>132064</v>
      </c>
      <c r="Y556" s="104"/>
      <c r="Z556" s="2">
        <v>25995</v>
      </c>
      <c r="AA556" s="2"/>
      <c r="AB556" s="104">
        <v>8532</v>
      </c>
      <c r="AC556" s="78">
        <v>143125</v>
      </c>
      <c r="AD556" s="104">
        <f t="shared" si="245"/>
        <v>132064</v>
      </c>
      <c r="AE556" s="193">
        <f t="shared" si="246"/>
        <v>0.17254323144104802</v>
      </c>
      <c r="AF556" s="193">
        <f t="shared" si="247"/>
        <v>3.8763023988369269E-2</v>
      </c>
      <c r="AG556" s="20">
        <f t="shared" si="248"/>
        <v>318.06906855895198</v>
      </c>
      <c r="AH556" s="20">
        <f t="shared" si="249"/>
        <v>70.797433062757449</v>
      </c>
      <c r="AI556" s="3">
        <f t="shared" si="250"/>
        <v>117130</v>
      </c>
    </row>
    <row r="557" spans="1:35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0"/>
        <v>532.91361996524438</v>
      </c>
      <c r="O557" s="7">
        <f t="shared" si="241"/>
        <v>4529.583333333333</v>
      </c>
      <c r="P557" s="7">
        <f t="shared" si="242"/>
        <v>3996.6697133680887</v>
      </c>
      <c r="Q557" s="7">
        <f t="shared" si="243"/>
        <v>1586.1983652346598</v>
      </c>
      <c r="R557" s="7">
        <f t="shared" si="244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91"/>
        <v>136897</v>
      </c>
      <c r="X557" s="104">
        <f t="shared" si="192"/>
        <v>175907</v>
      </c>
      <c r="Y557" s="104"/>
      <c r="Z557" s="2">
        <v>27941</v>
      </c>
      <c r="AA557" s="2"/>
      <c r="AB557" s="104">
        <v>35420</v>
      </c>
      <c r="AC557" s="78">
        <v>153490</v>
      </c>
      <c r="AD557" s="104">
        <f t="shared" si="245"/>
        <v>175907</v>
      </c>
      <c r="AE557" s="193">
        <f t="shared" si="246"/>
        <v>0.17293602189067692</v>
      </c>
      <c r="AF557" s="193">
        <f t="shared" si="247"/>
        <v>0.12081383913090439</v>
      </c>
      <c r="AG557" s="20">
        <f t="shared" si="248"/>
        <v>314.94531853323775</v>
      </c>
      <c r="AH557" s="20">
        <f t="shared" si="249"/>
        <v>217.96830143200665</v>
      </c>
      <c r="AI557" s="3">
        <f t="shared" si="250"/>
        <v>125549</v>
      </c>
    </row>
    <row r="558" spans="1:35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0"/>
        <v>174.54120177421595</v>
      </c>
      <c r="O558" s="7">
        <f t="shared" si="241"/>
        <v>4054.833333333333</v>
      </c>
      <c r="P558" s="7">
        <f t="shared" si="242"/>
        <v>3880.2921315591175</v>
      </c>
      <c r="Q558" s="7">
        <f t="shared" si="243"/>
        <v>1615.5268798617112</v>
      </c>
      <c r="R558" s="7">
        <f t="shared" si="244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91"/>
        <v>139376</v>
      </c>
      <c r="X558" s="104">
        <f t="shared" si="192"/>
        <v>143468</v>
      </c>
      <c r="Y558" s="104"/>
      <c r="Z558" s="2">
        <v>14908</v>
      </c>
      <c r="AA558" s="2"/>
      <c r="AB558" s="2">
        <v>2884</v>
      </c>
      <c r="AC558" s="78">
        <v>149591</v>
      </c>
      <c r="AD558" s="104">
        <f t="shared" si="245"/>
        <v>143468</v>
      </c>
      <c r="AE558" s="193">
        <f t="shared" si="246"/>
        <v>9.467548181374548E-2</v>
      </c>
      <c r="AF558" s="193">
        <f t="shared" si="247"/>
        <v>1.2061226196782557E-2</v>
      </c>
      <c r="AG558" s="20">
        <f t="shared" si="248"/>
        <v>154.81808163592729</v>
      </c>
      <c r="AH558" s="20">
        <f t="shared" si="249"/>
        <v>19.723120138288674</v>
      </c>
      <c r="AI558" s="3">
        <f t="shared" si="250"/>
        <v>134683</v>
      </c>
    </row>
    <row r="559" spans="1:35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0"/>
        <v>0.39239130434782599</v>
      </c>
      <c r="O559" s="7">
        <f t="shared" si="241"/>
        <v>3522.9166666666661</v>
      </c>
      <c r="P559" s="7">
        <f t="shared" si="242"/>
        <v>3522.5242753623183</v>
      </c>
      <c r="Q559" s="7">
        <f t="shared" si="243"/>
        <v>1459.4999999999998</v>
      </c>
      <c r="R559" s="7">
        <f t="shared" si="244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91"/>
        <v>125132</v>
      </c>
      <c r="X559" s="104">
        <f t="shared" si="192"/>
        <v>128818</v>
      </c>
      <c r="Y559" s="104"/>
      <c r="Z559" s="2">
        <v>32</v>
      </c>
      <c r="AA559" s="2"/>
      <c r="AB559" s="2"/>
      <c r="AC559" s="78">
        <v>114816</v>
      </c>
      <c r="AD559" s="104">
        <f t="shared" si="245"/>
        <v>128818</v>
      </c>
      <c r="AE559" s="193">
        <f t="shared" si="246"/>
        <v>2.6477146042363429E-4</v>
      </c>
      <c r="AF559" s="193">
        <f t="shared" si="247"/>
        <v>0</v>
      </c>
      <c r="AG559" s="20">
        <f t="shared" si="248"/>
        <v>0.39239130434782599</v>
      </c>
      <c r="AH559" s="20">
        <f t="shared" si="249"/>
        <v>0</v>
      </c>
      <c r="AI559" s="3">
        <f t="shared" si="250"/>
        <v>114784</v>
      </c>
    </row>
    <row r="560" spans="1:35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40"/>
        <v>271.13501570107815</v>
      </c>
      <c r="O560" s="7">
        <f t="shared" si="241"/>
        <v>3992.333333333333</v>
      </c>
      <c r="P560" s="7">
        <f t="shared" si="242"/>
        <v>3721.1983176322551</v>
      </c>
      <c r="Q560" s="7">
        <f t="shared" si="243"/>
        <v>1550.2325656260557</v>
      </c>
      <c r="R560" s="7">
        <f t="shared" si="244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91"/>
        <v>122991</v>
      </c>
      <c r="X560" s="104">
        <f t="shared" si="192"/>
        <v>150969</v>
      </c>
      <c r="Y560" s="104"/>
      <c r="Z560" s="2">
        <v>11906</v>
      </c>
      <c r="AA560" s="2"/>
      <c r="AB560" s="2">
        <v>23753</v>
      </c>
      <c r="AC560" s="78">
        <v>162164</v>
      </c>
      <c r="AD560" s="104">
        <f t="shared" si="245"/>
        <v>150969</v>
      </c>
      <c r="AE560" s="193">
        <f t="shared" ref="AE560:AE565" si="251">+(Z560/AC560*0.95)</f>
        <v>6.9748526183369922E-2</v>
      </c>
      <c r="AF560" s="193">
        <f t="shared" ref="AF560:AF565" si="252">+(AB560/AD560*0.6)</f>
        <v>9.4402162033265111E-2</v>
      </c>
      <c r="AG560" s="20">
        <f t="shared" ref="AG560:AG565" si="253">+AE560*K560</f>
        <v>109.53424799380052</v>
      </c>
      <c r="AH560" s="20">
        <f t="shared" ref="AH560:AH565" si="254">+AF560*I560</f>
        <v>161.60076770727764</v>
      </c>
      <c r="AI560" s="3">
        <f t="shared" si="250"/>
        <v>150258</v>
      </c>
    </row>
    <row r="561" spans="1:35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40"/>
        <v>367.72314394684213</v>
      </c>
      <c r="O561" s="7">
        <f t="shared" si="241"/>
        <v>3854.5</v>
      </c>
      <c r="P561" s="7">
        <f t="shared" si="242"/>
        <v>3486.7768560531576</v>
      </c>
      <c r="Q561" s="7">
        <f t="shared" si="243"/>
        <v>1524.2224253117977</v>
      </c>
      <c r="R561" s="7">
        <f t="shared" si="244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si="191"/>
        <v>116526</v>
      </c>
      <c r="X561" s="104">
        <f t="shared" si="192"/>
        <v>132618</v>
      </c>
      <c r="Y561" s="104"/>
      <c r="Z561" s="2">
        <v>23026</v>
      </c>
      <c r="AA561" s="2"/>
      <c r="AB561" s="2">
        <v>14259</v>
      </c>
      <c r="AC561" s="78">
        <v>107640</v>
      </c>
      <c r="AD561" s="104">
        <f t="shared" si="245"/>
        <v>132618</v>
      </c>
      <c r="AE561" s="193">
        <f t="shared" si="251"/>
        <v>0.20322092159048682</v>
      </c>
      <c r="AF561" s="193">
        <f t="shared" si="252"/>
        <v>6.4511604759534907E-2</v>
      </c>
      <c r="AG561" s="20">
        <f t="shared" si="253"/>
        <v>262.61223592530661</v>
      </c>
      <c r="AH561" s="20">
        <f t="shared" si="254"/>
        <v>105.11090802153554</v>
      </c>
      <c r="AI561" s="3">
        <f>+AC561-Z561</f>
        <v>84614</v>
      </c>
    </row>
    <row r="562" spans="1:35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40"/>
        <v>8.587544304043977</v>
      </c>
      <c r="O562" s="7">
        <f t="shared" si="241"/>
        <v>3695.6666666666661</v>
      </c>
      <c r="P562" s="7">
        <f t="shared" si="242"/>
        <v>3687.079122362622</v>
      </c>
      <c r="Q562" s="7">
        <f t="shared" si="243"/>
        <v>1709.1666666666665</v>
      </c>
      <c r="R562" s="7">
        <f t="shared" si="244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191"/>
        <v>137733</v>
      </c>
      <c r="X562" s="104">
        <f t="shared" si="192"/>
        <v>142055</v>
      </c>
      <c r="Y562" s="104"/>
      <c r="Z562" s="2">
        <v>950</v>
      </c>
      <c r="AA562" s="2"/>
      <c r="AB562" s="2"/>
      <c r="AC562" s="78">
        <v>119816</v>
      </c>
      <c r="AD562" s="104">
        <f t="shared" si="245"/>
        <v>142055</v>
      </c>
      <c r="AE562" s="193">
        <f t="shared" si="251"/>
        <v>7.5323829872471111E-3</v>
      </c>
      <c r="AF562" s="193">
        <f t="shared" si="252"/>
        <v>0</v>
      </c>
      <c r="AG562" s="20">
        <f t="shared" si="253"/>
        <v>8.587544304043977</v>
      </c>
      <c r="AH562" s="20">
        <f t="shared" si="254"/>
        <v>0</v>
      </c>
      <c r="AI562" s="3">
        <f t="shared" si="250"/>
        <v>118866</v>
      </c>
    </row>
    <row r="563" spans="1:35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40"/>
        <v>0</v>
      </c>
      <c r="O563" s="7">
        <f t="shared" si="241"/>
        <v>3932.3333333333335</v>
      </c>
      <c r="P563" s="7">
        <f t="shared" si="242"/>
        <v>3932.3333333333335</v>
      </c>
      <c r="Q563" s="7">
        <f t="shared" si="243"/>
        <v>1655.9166666666667</v>
      </c>
      <c r="R563" s="7">
        <f t="shared" si="244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 t="shared" si="191"/>
        <v>139145</v>
      </c>
      <c r="X563" s="104">
        <f t="shared" si="192"/>
        <v>143815</v>
      </c>
      <c r="Y563" s="104"/>
      <c r="Z563" s="2"/>
      <c r="AA563" s="2"/>
      <c r="AB563" s="2"/>
      <c r="AC563" s="78">
        <v>145486</v>
      </c>
      <c r="AD563" s="104">
        <f t="shared" si="245"/>
        <v>143815</v>
      </c>
      <c r="AE563" s="193">
        <f t="shared" si="251"/>
        <v>0</v>
      </c>
      <c r="AF563" s="193">
        <f t="shared" si="252"/>
        <v>0</v>
      </c>
      <c r="AG563" s="20">
        <f t="shared" si="253"/>
        <v>0</v>
      </c>
      <c r="AH563" s="20">
        <f t="shared" si="254"/>
        <v>0</v>
      </c>
      <c r="AI563" s="3">
        <f t="shared" si="250"/>
        <v>145486</v>
      </c>
    </row>
    <row r="564" spans="1:35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40"/>
        <v>122.79144719101123</v>
      </c>
      <c r="O564" s="7">
        <f t="shared" si="241"/>
        <v>3982.3333333333335</v>
      </c>
      <c r="P564" s="7">
        <f t="shared" si="242"/>
        <v>3859.5418861423223</v>
      </c>
      <c r="Q564" s="7">
        <f t="shared" si="243"/>
        <v>1527.1252194756555</v>
      </c>
      <c r="R564" s="7">
        <f t="shared" si="244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191"/>
        <v>122538</v>
      </c>
      <c r="X564" s="104">
        <f t="shared" si="192"/>
        <v>144625</v>
      </c>
      <c r="Y564" s="104"/>
      <c r="Z564" s="2"/>
      <c r="AA564" s="2"/>
      <c r="AB564" s="2">
        <v>17939</v>
      </c>
      <c r="AC564" s="78">
        <v>143490</v>
      </c>
      <c r="AD564" s="104">
        <f t="shared" si="245"/>
        <v>144625</v>
      </c>
      <c r="AE564" s="193">
        <f t="shared" si="251"/>
        <v>0</v>
      </c>
      <c r="AF564" s="193">
        <f t="shared" si="252"/>
        <v>7.4422817631806387E-2</v>
      </c>
      <c r="AG564" s="20">
        <f t="shared" si="253"/>
        <v>0</v>
      </c>
      <c r="AH564" s="20">
        <f t="shared" si="254"/>
        <v>122.79144719101123</v>
      </c>
      <c r="AI564" s="3">
        <f t="shared" si="250"/>
        <v>143490</v>
      </c>
    </row>
    <row r="565" spans="1:35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40"/>
        <v>0</v>
      </c>
      <c r="O565" s="7">
        <f t="shared" si="241"/>
        <v>3536.833333333333</v>
      </c>
      <c r="P565" s="7">
        <f t="shared" si="242"/>
        <v>3536.833333333333</v>
      </c>
      <c r="Q565" s="7">
        <f t="shared" si="243"/>
        <v>1521.3333333333333</v>
      </c>
      <c r="R565" s="7">
        <f t="shared" si="244"/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191"/>
        <v>129604</v>
      </c>
      <c r="X565" s="104">
        <f t="shared" si="192"/>
        <v>131045</v>
      </c>
      <c r="Y565" s="104"/>
      <c r="Z565" s="2"/>
      <c r="AA565" s="2"/>
      <c r="AB565" s="2"/>
      <c r="AC565" s="78">
        <v>125126</v>
      </c>
      <c r="AD565" s="104">
        <f t="shared" si="245"/>
        <v>131045</v>
      </c>
      <c r="AE565" s="193">
        <f t="shared" si="251"/>
        <v>0</v>
      </c>
      <c r="AF565" s="193">
        <f t="shared" si="252"/>
        <v>0</v>
      </c>
      <c r="AG565" s="20">
        <f t="shared" si="253"/>
        <v>0</v>
      </c>
      <c r="AH565" s="20">
        <f t="shared" si="254"/>
        <v>0</v>
      </c>
      <c r="AI565" s="3">
        <f t="shared" si="250"/>
        <v>125126</v>
      </c>
    </row>
    <row r="566" spans="1:35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40"/>
        <v>0</v>
      </c>
      <c r="O566" s="7">
        <f t="shared" si="241"/>
        <v>0</v>
      </c>
      <c r="P566" s="7">
        <f t="shared" si="242"/>
        <v>0</v>
      </c>
      <c r="Q566" s="7">
        <f t="shared" si="243"/>
        <v>0</v>
      </c>
      <c r="R566" s="7">
        <f t="shared" si="244"/>
        <v>0</v>
      </c>
      <c r="T566" s="7"/>
      <c r="U566" s="7">
        <v>0</v>
      </c>
      <c r="V566" s="104"/>
      <c r="W566" s="7">
        <f t="shared" si="191"/>
        <v>0</v>
      </c>
      <c r="X566" s="104">
        <f t="shared" si="192"/>
        <v>0</v>
      </c>
      <c r="Y566" s="104"/>
      <c r="Z566" s="2"/>
      <c r="AA566" s="2"/>
      <c r="AB566" s="2"/>
      <c r="AD566" s="104"/>
      <c r="AE566" s="193"/>
      <c r="AF566" s="193"/>
      <c r="AG566" s="20"/>
      <c r="AH566" s="20"/>
      <c r="AI566" s="3"/>
    </row>
    <row r="567" spans="1:35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8">
        <f t="shared" ref="N567:N573" si="255">+AH567+AG567</f>
        <v>236.26944204728176</v>
      </c>
      <c r="O567" s="7">
        <f t="shared" ref="O567:O573" si="256">+B567+C567+D567+F567+I567+K567+J567</f>
        <v>4075.5</v>
      </c>
      <c r="P567" s="7">
        <f t="shared" ref="P567:P573" si="257">+B567+C567+D567+F567+J567+Q567+R567</f>
        <v>3839.2305579527183</v>
      </c>
      <c r="Q567" s="7">
        <f t="shared" ref="Q567:Q573" si="258">+I567-AH567</f>
        <v>1628.746854148975</v>
      </c>
      <c r="R567" s="7">
        <f t="shared" ref="R567:R573" si="259">+K567-AG567</f>
        <v>1166.5670371370768</v>
      </c>
      <c r="S567" s="7">
        <v>5151</v>
      </c>
      <c r="T567" s="7">
        <v>8399</v>
      </c>
      <c r="U567" s="7">
        <v>0</v>
      </c>
      <c r="V567" s="104">
        <v>118754</v>
      </c>
      <c r="W567" s="7">
        <f t="shared" si="191"/>
        <v>113603</v>
      </c>
      <c r="X567" s="104">
        <f t="shared" si="192"/>
        <v>131888</v>
      </c>
      <c r="Y567" s="104"/>
      <c r="Z567" s="2">
        <v>13539</v>
      </c>
      <c r="AA567" s="2"/>
      <c r="AB567" s="2">
        <v>13134</v>
      </c>
      <c r="AC567" s="78">
        <v>125876</v>
      </c>
      <c r="AD567" s="104">
        <f t="shared" ref="AD567:AD593" si="260">+X567</f>
        <v>131888</v>
      </c>
      <c r="AE567" s="193">
        <f t="shared" ref="AE567:AE573" si="261">+(Z567/AC567*0.95)</f>
        <v>0.10218032031523086</v>
      </c>
      <c r="AF567" s="193">
        <f t="shared" ref="AF567:AF573" si="262">+(AB567/AD567*0.6)</f>
        <v>5.9750697561567388E-2</v>
      </c>
      <c r="AG567" s="20">
        <f t="shared" ref="AG567:AG573" si="263">+AE567*K567</f>
        <v>132.76629619625663</v>
      </c>
      <c r="AH567" s="20">
        <f t="shared" ref="AH567:AH573" si="264">+AF567*I567</f>
        <v>103.50314585102511</v>
      </c>
      <c r="AI567" s="3">
        <f t="shared" ref="AI567:AI573" si="265">+AC567-Z567</f>
        <v>112337</v>
      </c>
    </row>
    <row r="568" spans="1:35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8">
        <f t="shared" si="255"/>
        <v>0</v>
      </c>
      <c r="O568" s="7">
        <f t="shared" si="256"/>
        <v>4075.583333333333</v>
      </c>
      <c r="P568" s="7">
        <f t="shared" si="257"/>
        <v>4075.5833333333335</v>
      </c>
      <c r="Q568" s="7">
        <f t="shared" si="258"/>
        <v>1680.0833333333333</v>
      </c>
      <c r="R568" s="7">
        <f t="shared" si="259"/>
        <v>1313.4166666666665</v>
      </c>
      <c r="S568" s="7">
        <v>6008</v>
      </c>
      <c r="T568" s="7">
        <v>9016</v>
      </c>
      <c r="U568" s="7">
        <v>0</v>
      </c>
      <c r="V568" s="104">
        <v>133648</v>
      </c>
      <c r="W568" s="7">
        <f t="shared" si="191"/>
        <v>127640</v>
      </c>
      <c r="X568" s="104">
        <f t="shared" si="192"/>
        <v>133648</v>
      </c>
      <c r="Y568" s="104"/>
      <c r="Z568" s="2"/>
      <c r="AA568" s="2"/>
      <c r="AB568" s="2"/>
      <c r="AC568" s="78">
        <v>115263</v>
      </c>
      <c r="AD568" s="104">
        <f t="shared" si="260"/>
        <v>133648</v>
      </c>
      <c r="AE568" s="193">
        <f t="shared" si="261"/>
        <v>0</v>
      </c>
      <c r="AF568" s="193">
        <f t="shared" si="262"/>
        <v>0</v>
      </c>
      <c r="AG568" s="20">
        <f t="shared" si="263"/>
        <v>0</v>
      </c>
      <c r="AH568" s="20">
        <f t="shared" si="264"/>
        <v>0</v>
      </c>
      <c r="AI568" s="3">
        <f t="shared" si="265"/>
        <v>115263</v>
      </c>
    </row>
    <row r="569" spans="1:35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8">
        <f t="shared" si="255"/>
        <v>93.60105523907005</v>
      </c>
      <c r="O569" s="7">
        <f t="shared" si="256"/>
        <v>4074.8333333333335</v>
      </c>
      <c r="P569" s="7">
        <f t="shared" si="257"/>
        <v>3981.2322780942632</v>
      </c>
      <c r="Q569" s="7">
        <f t="shared" si="258"/>
        <v>1722.6666666666665</v>
      </c>
      <c r="R569" s="7">
        <f t="shared" si="259"/>
        <v>1222.6489447609299</v>
      </c>
      <c r="S569" s="7">
        <v>3169</v>
      </c>
      <c r="T569" s="7">
        <v>6355</v>
      </c>
      <c r="U569" s="7">
        <v>0</v>
      </c>
      <c r="V569" s="104">
        <v>147108</v>
      </c>
      <c r="W569" s="7">
        <f t="shared" si="191"/>
        <v>143939</v>
      </c>
      <c r="X569" s="104">
        <f t="shared" si="192"/>
        <v>147108</v>
      </c>
      <c r="Y569" s="104"/>
      <c r="Z569" s="2">
        <v>8922</v>
      </c>
      <c r="AA569" s="2"/>
      <c r="AB569" s="2"/>
      <c r="AC569" s="78">
        <v>119191</v>
      </c>
      <c r="AD569" s="104">
        <f t="shared" si="260"/>
        <v>147108</v>
      </c>
      <c r="AE569" s="193">
        <f t="shared" si="261"/>
        <v>7.1111912812208966E-2</v>
      </c>
      <c r="AF569" s="193">
        <f t="shared" si="262"/>
        <v>0</v>
      </c>
      <c r="AG569" s="20">
        <f t="shared" si="263"/>
        <v>93.60105523907005</v>
      </c>
      <c r="AH569" s="20">
        <f t="shared" si="264"/>
        <v>0</v>
      </c>
      <c r="AI569" s="3">
        <f t="shared" si="265"/>
        <v>110269</v>
      </c>
    </row>
    <row r="570" spans="1:35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8">
        <f t="shared" si="255"/>
        <v>243.00165280144364</v>
      </c>
      <c r="O570" s="7">
        <f t="shared" si="256"/>
        <v>4095.4166666666665</v>
      </c>
      <c r="P570" s="7">
        <f t="shared" si="257"/>
        <v>3852.415013865223</v>
      </c>
      <c r="Q570" s="7">
        <f t="shared" si="258"/>
        <v>1600.2007169654735</v>
      </c>
      <c r="R570" s="7">
        <f t="shared" si="259"/>
        <v>1237.4642968997496</v>
      </c>
      <c r="S570" s="7">
        <v>3741</v>
      </c>
      <c r="T570" s="7">
        <v>4316</v>
      </c>
      <c r="U570" s="7">
        <v>0</v>
      </c>
      <c r="V570" s="104">
        <v>136204</v>
      </c>
      <c r="W570" s="7">
        <f t="shared" si="191"/>
        <v>132463</v>
      </c>
      <c r="X570" s="104">
        <f t="shared" si="192"/>
        <v>155842</v>
      </c>
      <c r="Y570" s="104"/>
      <c r="Z570" s="2">
        <v>12146</v>
      </c>
      <c r="AA570" s="2"/>
      <c r="AB570" s="2">
        <v>19638</v>
      </c>
      <c r="AC570" s="78">
        <v>138892</v>
      </c>
      <c r="AD570" s="104">
        <f t="shared" si="260"/>
        <v>155842</v>
      </c>
      <c r="AE570" s="193">
        <f t="shared" si="261"/>
        <v>8.3076779080148599E-2</v>
      </c>
      <c r="AF570" s="193">
        <f t="shared" si="262"/>
        <v>7.5607345901618314E-2</v>
      </c>
      <c r="AG570" s="20">
        <f t="shared" si="263"/>
        <v>112.11903643358389</v>
      </c>
      <c r="AH570" s="20">
        <f t="shared" si="264"/>
        <v>130.88261636785975</v>
      </c>
      <c r="AI570" s="3">
        <f t="shared" si="265"/>
        <v>126746</v>
      </c>
    </row>
    <row r="571" spans="1:35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8">
        <f t="shared" si="255"/>
        <v>0</v>
      </c>
      <c r="O571" s="7">
        <f t="shared" si="256"/>
        <v>4170.333333333333</v>
      </c>
      <c r="P571" s="7">
        <f t="shared" si="257"/>
        <v>4170.333333333333</v>
      </c>
      <c r="Q571" s="7">
        <f t="shared" si="258"/>
        <v>1792.4166666666667</v>
      </c>
      <c r="R571" s="7">
        <f t="shared" si="259"/>
        <v>1364.3333333333333</v>
      </c>
      <c r="S571" s="7">
        <v>2924</v>
      </c>
      <c r="T571" s="7">
        <v>4042</v>
      </c>
      <c r="U571" s="7">
        <v>0</v>
      </c>
      <c r="V571" s="104">
        <v>140157</v>
      </c>
      <c r="W571" s="7">
        <f t="shared" si="191"/>
        <v>137233</v>
      </c>
      <c r="X571" s="104">
        <f t="shared" si="192"/>
        <v>140157</v>
      </c>
      <c r="Y571" s="104"/>
      <c r="Z571" s="2"/>
      <c r="AA571" s="2"/>
      <c r="AB571" s="2"/>
      <c r="AC571" s="78">
        <v>133621</v>
      </c>
      <c r="AD571" s="104">
        <f t="shared" si="260"/>
        <v>140157</v>
      </c>
      <c r="AE571" s="193">
        <f t="shared" si="261"/>
        <v>0</v>
      </c>
      <c r="AF571" s="193">
        <f t="shared" si="262"/>
        <v>0</v>
      </c>
      <c r="AG571" s="20">
        <f t="shared" si="263"/>
        <v>0</v>
      </c>
      <c r="AH571" s="20">
        <f t="shared" si="264"/>
        <v>0</v>
      </c>
      <c r="AI571" s="3">
        <f t="shared" si="265"/>
        <v>133621</v>
      </c>
    </row>
    <row r="572" spans="1:35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8">
        <f t="shared" si="255"/>
        <v>0</v>
      </c>
      <c r="O572" s="7">
        <f t="shared" si="256"/>
        <v>3876.916666666667</v>
      </c>
      <c r="P572" s="7">
        <f t="shared" si="257"/>
        <v>3876.916666666667</v>
      </c>
      <c r="Q572" s="7">
        <f t="shared" si="258"/>
        <v>1671.5</v>
      </c>
      <c r="R572" s="7">
        <f t="shared" si="259"/>
        <v>1320.2499999999998</v>
      </c>
      <c r="S572" s="7">
        <v>2922</v>
      </c>
      <c r="T572" s="7">
        <v>4140</v>
      </c>
      <c r="U572" s="7">
        <v>0</v>
      </c>
      <c r="V572" s="104">
        <v>144687</v>
      </c>
      <c r="W572" s="7">
        <f t="shared" si="191"/>
        <v>141765</v>
      </c>
      <c r="X572" s="104">
        <f t="shared" si="192"/>
        <v>144687</v>
      </c>
      <c r="Y572" s="104"/>
      <c r="Z572" s="2"/>
      <c r="AA572" s="2"/>
      <c r="AB572" s="2"/>
      <c r="AC572" s="78">
        <v>136059</v>
      </c>
      <c r="AD572" s="104">
        <f t="shared" si="260"/>
        <v>144687</v>
      </c>
      <c r="AE572" s="193">
        <f t="shared" si="261"/>
        <v>0</v>
      </c>
      <c r="AF572" s="193">
        <f t="shared" si="262"/>
        <v>0</v>
      </c>
      <c r="AG572" s="20">
        <f t="shared" si="263"/>
        <v>0</v>
      </c>
      <c r="AH572" s="20">
        <f t="shared" si="264"/>
        <v>0</v>
      </c>
      <c r="AI572" s="3">
        <f t="shared" si="265"/>
        <v>136059</v>
      </c>
    </row>
    <row r="573" spans="1:35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8">
        <f t="shared" si="255"/>
        <v>0</v>
      </c>
      <c r="O573" s="7">
        <f t="shared" si="256"/>
        <v>3248.833333333333</v>
      </c>
      <c r="P573" s="7">
        <f t="shared" si="257"/>
        <v>3248.8333333333335</v>
      </c>
      <c r="Q573" s="7">
        <f t="shared" si="258"/>
        <v>1390.3333333333333</v>
      </c>
      <c r="R573" s="7">
        <f t="shared" si="259"/>
        <v>1087.3333333333335</v>
      </c>
      <c r="S573" s="7">
        <v>1440</v>
      </c>
      <c r="T573" s="7">
        <v>3243</v>
      </c>
      <c r="U573" s="7">
        <v>0</v>
      </c>
      <c r="V573" s="104">
        <v>118866</v>
      </c>
      <c r="W573" s="7">
        <f t="shared" si="191"/>
        <v>117426</v>
      </c>
      <c r="X573" s="104">
        <f t="shared" si="192"/>
        <v>118866</v>
      </c>
      <c r="Y573" s="104"/>
      <c r="Z573" s="2"/>
      <c r="AA573" s="2"/>
      <c r="AB573" s="2"/>
      <c r="AC573" s="78">
        <v>106235</v>
      </c>
      <c r="AD573" s="104">
        <f t="shared" si="260"/>
        <v>118866</v>
      </c>
      <c r="AE573" s="193">
        <f t="shared" si="261"/>
        <v>0</v>
      </c>
      <c r="AF573" s="193">
        <f t="shared" si="262"/>
        <v>0</v>
      </c>
      <c r="AG573" s="20">
        <f t="shared" si="263"/>
        <v>0</v>
      </c>
      <c r="AH573" s="20">
        <f t="shared" si="264"/>
        <v>0</v>
      </c>
      <c r="AI573" s="3">
        <f t="shared" si="265"/>
        <v>106235</v>
      </c>
    </row>
    <row r="574" spans="1:35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8">
        <f t="shared" ref="N574:N587" si="266">+AH574+AG574</f>
        <v>0</v>
      </c>
      <c r="O574" s="7">
        <f t="shared" ref="O574:O579" si="267">+B574+C574+D574+F574+I574+K574+J574</f>
        <v>3986.333333333333</v>
      </c>
      <c r="P574" s="7">
        <f t="shared" ref="P574:P579" si="268">+B574+C574+D574+F574+J574+Q574+R574</f>
        <v>3986.333333333333</v>
      </c>
      <c r="Q574" s="7">
        <f t="shared" ref="Q574:Q579" si="269">+I574-AH574</f>
        <v>1765.6666666666665</v>
      </c>
      <c r="R574" s="7">
        <f t="shared" ref="R574:R579" si="270">+K574-AG574</f>
        <v>1323.4166666666667</v>
      </c>
      <c r="S574" s="7">
        <v>910</v>
      </c>
      <c r="T574" s="7">
        <v>2452</v>
      </c>
      <c r="U574" s="7">
        <v>0</v>
      </c>
      <c r="V574" s="104">
        <v>136140</v>
      </c>
      <c r="W574" s="7">
        <f t="shared" si="191"/>
        <v>135230</v>
      </c>
      <c r="X574" s="104">
        <f t="shared" si="192"/>
        <v>136140</v>
      </c>
      <c r="Y574" s="104"/>
      <c r="Z574" s="2"/>
      <c r="AA574" s="2"/>
      <c r="AB574" s="2"/>
      <c r="AC574" s="78">
        <v>147358</v>
      </c>
      <c r="AD574" s="104">
        <f t="shared" si="260"/>
        <v>136140</v>
      </c>
      <c r="AE574" s="193">
        <f t="shared" ref="AE574:AE579" si="271">+(Z574/AC574*0.95)</f>
        <v>0</v>
      </c>
      <c r="AF574" s="193">
        <f t="shared" ref="AF574:AF579" si="272">+(AB574/AD574*0.6)</f>
        <v>0</v>
      </c>
      <c r="AG574" s="20">
        <f t="shared" ref="AG574:AG579" si="273">+AE574*K574</f>
        <v>0</v>
      </c>
      <c r="AH574" s="20">
        <f t="shared" ref="AH574:AH579" si="274">+AF574*I574</f>
        <v>0</v>
      </c>
      <c r="AI574" s="3">
        <f t="shared" ref="AI574:AI579" si="275">+AC574-Z574</f>
        <v>147358</v>
      </c>
    </row>
    <row r="575" spans="1:35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8">
        <f t="shared" si="266"/>
        <v>0</v>
      </c>
      <c r="O575" s="7">
        <f t="shared" si="267"/>
        <v>4195.5</v>
      </c>
      <c r="P575" s="7">
        <f t="shared" si="268"/>
        <v>4195.5</v>
      </c>
      <c r="Q575" s="7">
        <f t="shared" si="269"/>
        <v>1812.75</v>
      </c>
      <c r="R575" s="7">
        <f t="shared" si="270"/>
        <v>1350</v>
      </c>
      <c r="S575" s="7">
        <v>5924</v>
      </c>
      <c r="T575" s="7">
        <v>6098</v>
      </c>
      <c r="U575" s="7">
        <v>0</v>
      </c>
      <c r="V575" s="104">
        <v>129830</v>
      </c>
      <c r="W575" s="7">
        <f t="shared" si="191"/>
        <v>123906</v>
      </c>
      <c r="X575" s="104">
        <f t="shared" si="192"/>
        <v>129830</v>
      </c>
      <c r="Y575" s="104"/>
      <c r="Z575" s="2"/>
      <c r="AA575" s="2"/>
      <c r="AB575" s="2"/>
      <c r="AC575" s="78">
        <v>137554</v>
      </c>
      <c r="AD575" s="104">
        <f t="shared" si="260"/>
        <v>129830</v>
      </c>
      <c r="AE575" s="193">
        <f t="shared" si="271"/>
        <v>0</v>
      </c>
      <c r="AF575" s="193">
        <f t="shared" si="272"/>
        <v>0</v>
      </c>
      <c r="AG575" s="20">
        <f t="shared" si="273"/>
        <v>0</v>
      </c>
      <c r="AH575" s="20">
        <f t="shared" si="274"/>
        <v>0</v>
      </c>
      <c r="AI575" s="3">
        <f t="shared" si="275"/>
        <v>137554</v>
      </c>
    </row>
    <row r="576" spans="1:35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8">
        <f t="shared" si="266"/>
        <v>0</v>
      </c>
      <c r="O576" s="7">
        <f t="shared" si="267"/>
        <v>4133.6666666666661</v>
      </c>
      <c r="P576" s="7">
        <f t="shared" si="268"/>
        <v>4133.6666666666661</v>
      </c>
      <c r="Q576" s="7">
        <f t="shared" si="269"/>
        <v>1833.25</v>
      </c>
      <c r="R576" s="7">
        <f t="shared" si="270"/>
        <v>1293.9166666666665</v>
      </c>
      <c r="S576" s="7">
        <v>2462</v>
      </c>
      <c r="T576" s="7">
        <v>2651</v>
      </c>
      <c r="U576" s="7">
        <v>0</v>
      </c>
      <c r="V576" s="104">
        <v>146201</v>
      </c>
      <c r="W576" s="7">
        <f t="shared" si="191"/>
        <v>143739</v>
      </c>
      <c r="X576" s="104">
        <f t="shared" si="192"/>
        <v>146201</v>
      </c>
      <c r="Y576" s="104"/>
      <c r="Z576" s="2"/>
      <c r="AA576" s="2"/>
      <c r="AB576" s="2"/>
      <c r="AC576" s="78">
        <v>133519</v>
      </c>
      <c r="AD576" s="104">
        <f t="shared" si="260"/>
        <v>146201</v>
      </c>
      <c r="AE576" s="193">
        <f t="shared" si="271"/>
        <v>0</v>
      </c>
      <c r="AF576" s="193">
        <f t="shared" si="272"/>
        <v>0</v>
      </c>
      <c r="AG576" s="20">
        <f t="shared" si="273"/>
        <v>0</v>
      </c>
      <c r="AH576" s="20">
        <f t="shared" si="274"/>
        <v>0</v>
      </c>
      <c r="AI576" s="3">
        <f t="shared" si="275"/>
        <v>133519</v>
      </c>
    </row>
    <row r="577" spans="1:35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8">
        <f t="shared" si="266"/>
        <v>0</v>
      </c>
      <c r="O577" s="7">
        <f t="shared" si="267"/>
        <v>4335.833333333333</v>
      </c>
      <c r="P577" s="7">
        <f t="shared" si="268"/>
        <v>4335.8333333333339</v>
      </c>
      <c r="Q577" s="7">
        <f t="shared" si="269"/>
        <v>1874.7499999999998</v>
      </c>
      <c r="R577" s="7">
        <f t="shared" si="270"/>
        <v>1396.3333333333335</v>
      </c>
      <c r="S577" s="7">
        <v>4681</v>
      </c>
      <c r="T577" s="7">
        <v>5332</v>
      </c>
      <c r="U577" s="7">
        <v>0</v>
      </c>
      <c r="V577" s="104">
        <v>136909</v>
      </c>
      <c r="W577" s="7">
        <f t="shared" si="191"/>
        <v>132228</v>
      </c>
      <c r="X577" s="104">
        <f t="shared" si="192"/>
        <v>136909</v>
      </c>
      <c r="Y577" s="104"/>
      <c r="Z577" s="2"/>
      <c r="AA577" s="2"/>
      <c r="AB577" s="2"/>
      <c r="AC577" s="78">
        <v>139467</v>
      </c>
      <c r="AD577" s="104">
        <f t="shared" si="260"/>
        <v>136909</v>
      </c>
      <c r="AE577" s="193">
        <f t="shared" si="271"/>
        <v>0</v>
      </c>
      <c r="AF577" s="193">
        <f t="shared" si="272"/>
        <v>0</v>
      </c>
      <c r="AG577" s="20">
        <f t="shared" si="273"/>
        <v>0</v>
      </c>
      <c r="AH577" s="20">
        <f t="shared" si="274"/>
        <v>0</v>
      </c>
      <c r="AI577" s="3">
        <f t="shared" si="275"/>
        <v>139467</v>
      </c>
    </row>
    <row r="578" spans="1:35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8">
        <f t="shared" si="266"/>
        <v>0</v>
      </c>
      <c r="O578" s="7">
        <f t="shared" si="267"/>
        <v>4404</v>
      </c>
      <c r="P578" s="7">
        <f t="shared" si="268"/>
        <v>4404</v>
      </c>
      <c r="Q578" s="7">
        <f t="shared" si="269"/>
        <v>1930.0833333333333</v>
      </c>
      <c r="R578" s="7">
        <f t="shared" si="270"/>
        <v>1427.6666666666665</v>
      </c>
      <c r="S578" s="7">
        <v>4008</v>
      </c>
      <c r="T578" s="7">
        <v>4217</v>
      </c>
      <c r="U578" s="7">
        <v>0</v>
      </c>
      <c r="V578" s="104">
        <v>139121</v>
      </c>
      <c r="W578" s="7">
        <f t="shared" si="191"/>
        <v>135113</v>
      </c>
      <c r="X578" s="104">
        <f t="shared" si="192"/>
        <v>139121</v>
      </c>
      <c r="Y578" s="104"/>
      <c r="Z578" s="2"/>
      <c r="AA578" s="2"/>
      <c r="AB578" s="2"/>
      <c r="AC578" s="78">
        <v>142653</v>
      </c>
      <c r="AD578" s="104">
        <f t="shared" si="260"/>
        <v>139121</v>
      </c>
      <c r="AE578" s="193">
        <f t="shared" si="271"/>
        <v>0</v>
      </c>
      <c r="AF578" s="193">
        <f t="shared" si="272"/>
        <v>0</v>
      </c>
      <c r="AG578" s="20">
        <f t="shared" si="273"/>
        <v>0</v>
      </c>
      <c r="AH578" s="20">
        <f t="shared" si="274"/>
        <v>0</v>
      </c>
      <c r="AI578" s="3">
        <f t="shared" si="275"/>
        <v>142653</v>
      </c>
    </row>
    <row r="579" spans="1:35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8">
        <f t="shared" si="266"/>
        <v>0</v>
      </c>
      <c r="O579" s="7">
        <f t="shared" si="267"/>
        <v>4249.6666666666661</v>
      </c>
      <c r="P579" s="7">
        <f t="shared" si="268"/>
        <v>4249.6666666666661</v>
      </c>
      <c r="Q579" s="7">
        <f t="shared" si="269"/>
        <v>1810.5833333333333</v>
      </c>
      <c r="R579" s="7">
        <f t="shared" si="270"/>
        <v>1331.5</v>
      </c>
      <c r="S579" s="7">
        <v>2441</v>
      </c>
      <c r="T579" s="7">
        <v>3117</v>
      </c>
      <c r="U579" s="7">
        <v>0</v>
      </c>
      <c r="V579" s="104">
        <v>131146</v>
      </c>
      <c r="W579" s="7">
        <f t="shared" ref="W579:W593" si="276">+V579-U579-S579+AA579</f>
        <v>128705</v>
      </c>
      <c r="X579" s="104">
        <f t="shared" ref="X579:X593" si="277">+V579+AB579+AA579</f>
        <v>131146</v>
      </c>
      <c r="Y579" s="104"/>
      <c r="Z579" s="165"/>
      <c r="AA579" s="165"/>
      <c r="AB579" s="2"/>
      <c r="AC579" s="78">
        <v>96654</v>
      </c>
      <c r="AD579" s="104">
        <f t="shared" si="260"/>
        <v>131146</v>
      </c>
      <c r="AE579" s="193">
        <f t="shared" si="271"/>
        <v>0</v>
      </c>
      <c r="AF579" s="193">
        <f t="shared" si="272"/>
        <v>0</v>
      </c>
      <c r="AG579" s="20">
        <f t="shared" si="273"/>
        <v>0</v>
      </c>
      <c r="AH579" s="20">
        <f t="shared" si="274"/>
        <v>0</v>
      </c>
      <c r="AI579" s="3">
        <f t="shared" si="275"/>
        <v>96654</v>
      </c>
    </row>
    <row r="580" spans="1:35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8">
        <f t="shared" si="266"/>
        <v>0</v>
      </c>
      <c r="O580" s="7">
        <f t="shared" ref="O580:O587" si="278">+B580+C580+D580+F580+I580+K580+J580</f>
        <v>0</v>
      </c>
      <c r="P580" s="7">
        <f t="shared" ref="P580:P587" si="279">+B580+C580+D580+F580+J580+Q580+R580</f>
        <v>0</v>
      </c>
      <c r="Q580" s="7">
        <f t="shared" ref="Q580:Q587" si="280">+I580-AH580</f>
        <v>0</v>
      </c>
      <c r="R580" s="7">
        <f t="shared" ref="R580:R587" si="281">+K580-AG580</f>
        <v>0</v>
      </c>
      <c r="T580" s="7"/>
      <c r="U580" s="7">
        <v>0</v>
      </c>
      <c r="V580" s="104"/>
      <c r="W580" s="7">
        <f t="shared" si="276"/>
        <v>0</v>
      </c>
      <c r="X580" s="104">
        <f t="shared" si="277"/>
        <v>0</v>
      </c>
      <c r="Y580" s="104"/>
      <c r="Z580" s="2"/>
      <c r="AA580" s="165"/>
      <c r="AB580" s="2"/>
      <c r="AD580" s="104">
        <f t="shared" si="260"/>
        <v>0</v>
      </c>
      <c r="AE580" s="193"/>
      <c r="AF580" s="193"/>
      <c r="AG580" s="20"/>
      <c r="AH580" s="20"/>
      <c r="AI580" s="3"/>
    </row>
    <row r="581" spans="1:35">
      <c r="A581" s="28">
        <v>46237</v>
      </c>
      <c r="B581" s="2">
        <v>195</v>
      </c>
      <c r="C581" s="2">
        <v>338.58333333333331</v>
      </c>
      <c r="D581" s="2">
        <v>82.5</v>
      </c>
      <c r="E581" s="2">
        <v>421.75</v>
      </c>
      <c r="F581" s="2">
        <v>234.16666666666666</v>
      </c>
      <c r="G581" s="2">
        <v>132.58333333333331</v>
      </c>
      <c r="H581" s="2">
        <v>55.5</v>
      </c>
      <c r="I581" s="2">
        <v>1863.5833333333333</v>
      </c>
      <c r="J581" s="2">
        <v>117</v>
      </c>
      <c r="K581" s="2">
        <v>1332.3333333333335</v>
      </c>
      <c r="L581" s="2">
        <v>89.666666666666671</v>
      </c>
      <c r="M581" s="2">
        <v>319.99999999999994</v>
      </c>
      <c r="N581" s="108">
        <f t="shared" si="266"/>
        <v>0</v>
      </c>
      <c r="O581" s="7">
        <f t="shared" si="278"/>
        <v>4163.1666666666661</v>
      </c>
      <c r="P581" s="7">
        <f t="shared" si="279"/>
        <v>4163.1666666666661</v>
      </c>
      <c r="Q581" s="7">
        <f t="shared" si="280"/>
        <v>1863.5833333333333</v>
      </c>
      <c r="R581" s="7">
        <f t="shared" si="281"/>
        <v>1332.3333333333335</v>
      </c>
      <c r="S581" s="7">
        <v>1129</v>
      </c>
      <c r="T581" s="7">
        <v>1799</v>
      </c>
      <c r="U581" s="7">
        <v>0</v>
      </c>
      <c r="V581" s="104">
        <v>133649</v>
      </c>
      <c r="W581" s="7">
        <f t="shared" si="276"/>
        <v>133177</v>
      </c>
      <c r="X581" s="104">
        <f t="shared" si="277"/>
        <v>134306</v>
      </c>
      <c r="Y581" s="104">
        <f>+X581-AB581</f>
        <v>134306</v>
      </c>
      <c r="Z581" s="2"/>
      <c r="AA581" s="104">
        <v>657</v>
      </c>
      <c r="AB581" s="2"/>
      <c r="AC581" s="78">
        <v>130500</v>
      </c>
      <c r="AD581" s="104">
        <f t="shared" si="260"/>
        <v>134306</v>
      </c>
      <c r="AE581" s="193">
        <f t="shared" ref="AE581:AE587" si="282">+(Z581/AC581*0.95)</f>
        <v>0</v>
      </c>
      <c r="AF581" s="193">
        <f t="shared" ref="AF581:AF587" si="283">+(AB581/AD581*0.6)</f>
        <v>0</v>
      </c>
      <c r="AG581" s="20">
        <f t="shared" ref="AG581:AG587" si="284">+AE581*K581</f>
        <v>0</v>
      </c>
      <c r="AH581" s="20">
        <f t="shared" ref="AH581:AH587" si="285">+AF581*I581</f>
        <v>0</v>
      </c>
      <c r="AI581" s="3">
        <f>+AC581-Z581</f>
        <v>130500</v>
      </c>
    </row>
    <row r="582" spans="1:35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8">
        <f t="shared" si="266"/>
        <v>0</v>
      </c>
      <c r="O582" s="7">
        <f t="shared" si="278"/>
        <v>4161.583333333333</v>
      </c>
      <c r="P582" s="7">
        <f t="shared" si="279"/>
        <v>4161.583333333333</v>
      </c>
      <c r="Q582" s="7">
        <f t="shared" si="280"/>
        <v>1843.5833333333333</v>
      </c>
      <c r="R582" s="7">
        <f t="shared" si="281"/>
        <v>1308.6666666666665</v>
      </c>
      <c r="S582" s="7">
        <v>2415</v>
      </c>
      <c r="T582" s="7">
        <v>3802</v>
      </c>
      <c r="U582" s="7">
        <v>0</v>
      </c>
      <c r="V582" s="104">
        <v>117862</v>
      </c>
      <c r="W582" s="7">
        <f t="shared" si="276"/>
        <v>121636</v>
      </c>
      <c r="X582" s="104">
        <f t="shared" si="277"/>
        <v>124051</v>
      </c>
      <c r="Y582" s="104">
        <f t="shared" ref="Y582:Y593" si="286">+X582-AB582</f>
        <v>124051</v>
      </c>
      <c r="Z582" s="2"/>
      <c r="AA582" s="104">
        <v>6189</v>
      </c>
      <c r="AB582" s="2"/>
      <c r="AC582" s="78">
        <v>120146</v>
      </c>
      <c r="AD582" s="104">
        <f t="shared" si="260"/>
        <v>124051</v>
      </c>
      <c r="AE582" s="193">
        <f t="shared" si="282"/>
        <v>0</v>
      </c>
      <c r="AF582" s="193">
        <f t="shared" si="283"/>
        <v>0</v>
      </c>
      <c r="AG582" s="20">
        <f t="shared" si="284"/>
        <v>0</v>
      </c>
      <c r="AH582" s="20">
        <f t="shared" si="285"/>
        <v>0</v>
      </c>
      <c r="AI582" s="3">
        <f t="shared" ref="AI582:AI587" si="287">+AC582-Z582</f>
        <v>120146</v>
      </c>
    </row>
    <row r="583" spans="1:35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8">
        <f t="shared" si="266"/>
        <v>81.084006116722293</v>
      </c>
      <c r="O583" s="7">
        <f t="shared" si="278"/>
        <v>4247.083333333333</v>
      </c>
      <c r="P583" s="7">
        <f t="shared" si="279"/>
        <v>4165.9993272166112</v>
      </c>
      <c r="Q583" s="7">
        <f t="shared" si="280"/>
        <v>1943.4166666666667</v>
      </c>
      <c r="R583" s="7">
        <f t="shared" si="281"/>
        <v>1217.2493272166109</v>
      </c>
      <c r="S583" s="7">
        <v>2581</v>
      </c>
      <c r="T583" s="7">
        <v>3251</v>
      </c>
      <c r="U583" s="7">
        <v>0</v>
      </c>
      <c r="V583" s="104">
        <v>148488</v>
      </c>
      <c r="W583" s="7">
        <f t="shared" si="276"/>
        <v>147041</v>
      </c>
      <c r="X583" s="104">
        <f t="shared" si="277"/>
        <v>149622</v>
      </c>
      <c r="Y583" s="104">
        <f t="shared" si="286"/>
        <v>149622</v>
      </c>
      <c r="Z583" s="2">
        <v>7817</v>
      </c>
      <c r="AA583" s="104">
        <v>1134</v>
      </c>
      <c r="AB583" s="2"/>
      <c r="AC583" s="78">
        <v>118909</v>
      </c>
      <c r="AD583" s="104">
        <f t="shared" si="260"/>
        <v>149622</v>
      </c>
      <c r="AE583" s="193">
        <f t="shared" si="282"/>
        <v>6.2452379550748886E-2</v>
      </c>
      <c r="AF583" s="193">
        <f t="shared" si="283"/>
        <v>0</v>
      </c>
      <c r="AG583" s="20">
        <f t="shared" si="284"/>
        <v>81.084006116722293</v>
      </c>
      <c r="AH583" s="20">
        <f t="shared" si="285"/>
        <v>0</v>
      </c>
      <c r="AI583" s="3">
        <f t="shared" si="287"/>
        <v>111092</v>
      </c>
    </row>
    <row r="584" spans="1:35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8">
        <f t="shared" si="266"/>
        <v>200.45807119083551</v>
      </c>
      <c r="O584" s="7">
        <f t="shared" si="278"/>
        <v>4324.583333333333</v>
      </c>
      <c r="P584" s="7">
        <f t="shared" si="279"/>
        <v>4124.1252621424974</v>
      </c>
      <c r="Q584" s="7">
        <f t="shared" si="280"/>
        <v>1859.9596101637262</v>
      </c>
      <c r="R584" s="7">
        <f t="shared" si="281"/>
        <v>1212.5823186454384</v>
      </c>
      <c r="S584" s="7">
        <v>1451</v>
      </c>
      <c r="T584" s="7">
        <v>1583</v>
      </c>
      <c r="U584" s="7">
        <v>0</v>
      </c>
      <c r="V584" s="104">
        <v>148575</v>
      </c>
      <c r="W584" s="7">
        <f t="shared" si="276"/>
        <v>147125</v>
      </c>
      <c r="X584" s="104">
        <f t="shared" si="277"/>
        <v>155809</v>
      </c>
      <c r="Y584" s="104">
        <f t="shared" si="286"/>
        <v>148576</v>
      </c>
      <c r="Z584" s="2">
        <v>14934</v>
      </c>
      <c r="AA584" s="104">
        <v>1</v>
      </c>
      <c r="AB584" s="2">
        <v>7233</v>
      </c>
      <c r="AC584" s="78">
        <v>131083</v>
      </c>
      <c r="AD584" s="104">
        <f t="shared" si="260"/>
        <v>155809</v>
      </c>
      <c r="AE584" s="193">
        <f t="shared" si="282"/>
        <v>0.10823142589046635</v>
      </c>
      <c r="AF584" s="193">
        <f t="shared" si="283"/>
        <v>2.7853333247758471E-2</v>
      </c>
      <c r="AG584" s="20">
        <f t="shared" si="284"/>
        <v>147.16768135456161</v>
      </c>
      <c r="AH584" s="20">
        <f t="shared" si="285"/>
        <v>53.290389836273896</v>
      </c>
      <c r="AI584" s="3">
        <f t="shared" si="287"/>
        <v>116149</v>
      </c>
    </row>
    <row r="585" spans="1:35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8">
        <f t="shared" si="266"/>
        <v>134.57560771350535</v>
      </c>
      <c r="O585" s="7">
        <f t="shared" si="278"/>
        <v>4201.583333333333</v>
      </c>
      <c r="P585" s="7">
        <f t="shared" si="279"/>
        <v>4067.0077256198283</v>
      </c>
      <c r="Q585" s="7">
        <f t="shared" si="280"/>
        <v>1688.2988088881586</v>
      </c>
      <c r="R585" s="7">
        <f t="shared" si="281"/>
        <v>1261.5422500650027</v>
      </c>
      <c r="S585" s="7">
        <v>6868</v>
      </c>
      <c r="T585" s="7">
        <v>8217</v>
      </c>
      <c r="U585" s="7">
        <v>0</v>
      </c>
      <c r="V585" s="104">
        <v>127315</v>
      </c>
      <c r="W585" s="7">
        <f t="shared" si="276"/>
        <v>124338</v>
      </c>
      <c r="X585" s="104">
        <f t="shared" si="277"/>
        <v>146082</v>
      </c>
      <c r="Y585" s="104">
        <f t="shared" si="286"/>
        <v>131206</v>
      </c>
      <c r="Z585" s="2">
        <v>2333</v>
      </c>
      <c r="AA585" s="104">
        <v>3891</v>
      </c>
      <c r="AB585" s="2">
        <v>14876</v>
      </c>
      <c r="AC585" s="78">
        <v>115380</v>
      </c>
      <c r="AD585" s="104">
        <f t="shared" si="260"/>
        <v>146082</v>
      </c>
      <c r="AE585" s="193">
        <f t="shared" si="282"/>
        <v>1.9209135032067948E-2</v>
      </c>
      <c r="AF585" s="193">
        <f t="shared" si="283"/>
        <v>6.1099930176202404E-2</v>
      </c>
      <c r="AG585" s="20">
        <f t="shared" si="284"/>
        <v>24.707749934997398</v>
      </c>
      <c r="AH585" s="20">
        <f t="shared" si="285"/>
        <v>109.86785777850794</v>
      </c>
      <c r="AI585" s="3">
        <f t="shared" si="287"/>
        <v>113047</v>
      </c>
    </row>
    <row r="586" spans="1:35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8">
        <f t="shared" si="266"/>
        <v>0</v>
      </c>
      <c r="O586" s="7">
        <f t="shared" si="278"/>
        <v>4041</v>
      </c>
      <c r="P586" s="7">
        <f t="shared" si="279"/>
        <v>4041</v>
      </c>
      <c r="Q586" s="7">
        <f t="shared" si="280"/>
        <v>1835.4166666666667</v>
      </c>
      <c r="R586" s="7">
        <f t="shared" si="281"/>
        <v>1268.2499999999998</v>
      </c>
      <c r="S586" s="7">
        <v>2254</v>
      </c>
      <c r="T586" s="7">
        <v>3319</v>
      </c>
      <c r="U586" s="7">
        <v>0</v>
      </c>
      <c r="V586" s="104">
        <v>145319</v>
      </c>
      <c r="W586" s="7">
        <f t="shared" si="276"/>
        <v>147369</v>
      </c>
      <c r="X586" s="104">
        <f t="shared" si="277"/>
        <v>149623</v>
      </c>
      <c r="Y586" s="104">
        <f t="shared" si="286"/>
        <v>149623</v>
      </c>
      <c r="Z586" s="2"/>
      <c r="AA586" s="104">
        <v>4304</v>
      </c>
      <c r="AB586" s="2"/>
      <c r="AC586" s="78">
        <v>117434</v>
      </c>
      <c r="AD586" s="104">
        <f t="shared" si="260"/>
        <v>149623</v>
      </c>
      <c r="AE586" s="193">
        <f t="shared" si="282"/>
        <v>0</v>
      </c>
      <c r="AF586" s="193">
        <f t="shared" si="283"/>
        <v>0</v>
      </c>
      <c r="AG586" s="20">
        <f t="shared" si="284"/>
        <v>0</v>
      </c>
      <c r="AH586" s="20">
        <f t="shared" si="285"/>
        <v>0</v>
      </c>
      <c r="AI586" s="3">
        <f t="shared" si="287"/>
        <v>117434</v>
      </c>
    </row>
    <row r="587" spans="1:35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8">
        <f t="shared" si="266"/>
        <v>0</v>
      </c>
      <c r="O587" s="7">
        <f t="shared" si="278"/>
        <v>3121.5</v>
      </c>
      <c r="P587" s="7">
        <f t="shared" si="279"/>
        <v>3121.5</v>
      </c>
      <c r="Q587" s="7">
        <f t="shared" si="280"/>
        <v>1418.2500000000002</v>
      </c>
      <c r="R587" s="7">
        <f t="shared" si="281"/>
        <v>1059.25</v>
      </c>
      <c r="S587" s="7">
        <v>725</v>
      </c>
      <c r="T587" s="7">
        <v>1141</v>
      </c>
      <c r="U587" s="7">
        <v>0</v>
      </c>
      <c r="V587" s="104">
        <v>120912</v>
      </c>
      <c r="W587" s="7">
        <f t="shared" si="276"/>
        <v>120187</v>
      </c>
      <c r="X587" s="104">
        <f t="shared" si="277"/>
        <v>120912</v>
      </c>
      <c r="Y587" s="104">
        <f t="shared" si="286"/>
        <v>120912</v>
      </c>
      <c r="Z587" s="2"/>
      <c r="AA587" s="104"/>
      <c r="AB587" s="2"/>
      <c r="AC587" s="78">
        <v>102790</v>
      </c>
      <c r="AD587" s="104">
        <f t="shared" si="260"/>
        <v>120912</v>
      </c>
      <c r="AE587" s="193">
        <f t="shared" si="282"/>
        <v>0</v>
      </c>
      <c r="AF587" s="193">
        <f t="shared" si="283"/>
        <v>0</v>
      </c>
      <c r="AG587" s="20">
        <f t="shared" si="284"/>
        <v>0</v>
      </c>
      <c r="AH587" s="20">
        <f t="shared" si="285"/>
        <v>0</v>
      </c>
      <c r="AI587" s="3">
        <f t="shared" si="287"/>
        <v>102790</v>
      </c>
    </row>
    <row r="588" spans="1:35">
      <c r="A588" s="28">
        <v>46244</v>
      </c>
      <c r="B588" s="2">
        <v>225</v>
      </c>
      <c r="C588" s="2">
        <v>189</v>
      </c>
      <c r="D588" s="2">
        <v>67.5</v>
      </c>
      <c r="E588" s="2">
        <v>385.66666666666669</v>
      </c>
      <c r="F588" s="2">
        <v>278.25</v>
      </c>
      <c r="G588" s="2">
        <v>67.75</v>
      </c>
      <c r="H588" s="2">
        <v>44.416666666666664</v>
      </c>
      <c r="I588" s="2">
        <v>1921.1666666666667</v>
      </c>
      <c r="J588" s="2">
        <v>110.25</v>
      </c>
      <c r="K588" s="2">
        <v>1550.8333333333335</v>
      </c>
      <c r="L588" s="2">
        <v>70.5</v>
      </c>
      <c r="M588" s="2">
        <v>294.25</v>
      </c>
      <c r="N588" s="108">
        <f t="shared" ref="N588:N593" si="288">+AH588+AG588</f>
        <v>200.16744849407132</v>
      </c>
      <c r="O588" s="7">
        <f>+B588+C588+D588+F588+I588+K588+J588</f>
        <v>4342</v>
      </c>
      <c r="P588" s="7">
        <f t="shared" ref="P588:P593" si="289">+B588+C588+D588+F588+J588+Q588+R588</f>
        <v>4141.8325515059296</v>
      </c>
      <c r="Q588" s="7">
        <f t="shared" ref="Q588:Q593" si="290">+I588-AH588</f>
        <v>1921.1666666666667</v>
      </c>
      <c r="R588" s="7">
        <f t="shared" ref="R588:R593" si="291">+K588-AG588</f>
        <v>1350.6658848392622</v>
      </c>
      <c r="S588" s="7">
        <v>5623</v>
      </c>
      <c r="T588" s="7">
        <v>5650</v>
      </c>
      <c r="U588" s="7">
        <v>0</v>
      </c>
      <c r="V588" s="104">
        <v>126148</v>
      </c>
      <c r="W588" s="7">
        <f t="shared" si="276"/>
        <v>128815</v>
      </c>
      <c r="X588" s="104">
        <f>+V588+AB588+AA588</f>
        <v>134438</v>
      </c>
      <c r="Y588" s="104">
        <f>+X588-AB588</f>
        <v>134438</v>
      </c>
      <c r="Z588" s="2">
        <v>19731</v>
      </c>
      <c r="AA588" s="104">
        <v>8290</v>
      </c>
      <c r="AB588" s="104"/>
      <c r="AC588" s="78">
        <v>145226</v>
      </c>
      <c r="AD588" s="104">
        <f t="shared" si="260"/>
        <v>134438</v>
      </c>
      <c r="AE588" s="193">
        <f t="shared" ref="AE588:AE593" si="292">+(Z588/AC588*0.95)</f>
        <v>0.12907089639596214</v>
      </c>
      <c r="AF588" s="193">
        <f t="shared" ref="AF588:AF593" si="293">+(AB588/AD588*0.6)</f>
        <v>0</v>
      </c>
      <c r="AG588" s="20">
        <f t="shared" ref="AG588:AG593" si="294">+AE588*K588</f>
        <v>200.16744849407132</v>
      </c>
      <c r="AH588" s="20">
        <f t="shared" ref="AH588:AH593" si="295">+AF588*I588</f>
        <v>0</v>
      </c>
      <c r="AI588" s="3">
        <f t="shared" ref="AI588:AI593" si="296">+AC588-Z588</f>
        <v>125495</v>
      </c>
    </row>
    <row r="589" spans="1:35">
      <c r="A589" s="28">
        <v>46245</v>
      </c>
      <c r="B589" s="2">
        <v>223.75000000000003</v>
      </c>
      <c r="C589" s="2">
        <v>368.16666666666663</v>
      </c>
      <c r="D589" s="2">
        <v>67.5</v>
      </c>
      <c r="E589" s="2">
        <v>437.08333333333331</v>
      </c>
      <c r="F589" s="2">
        <v>233.66666666666669</v>
      </c>
      <c r="G589" s="2">
        <v>63.249999999999993</v>
      </c>
      <c r="H589" s="2">
        <v>44.583333333333336</v>
      </c>
      <c r="I589" s="2">
        <v>2092.833333333333</v>
      </c>
      <c r="J589" s="2">
        <v>110.5</v>
      </c>
      <c r="K589" s="2">
        <v>1520.5</v>
      </c>
      <c r="L589" s="2">
        <v>54.5</v>
      </c>
      <c r="M589" s="2">
        <v>298.08333333333337</v>
      </c>
      <c r="N589" s="108">
        <f t="shared" si="288"/>
        <v>181.96897459368998</v>
      </c>
      <c r="O589" s="7">
        <f t="shared" ref="O589:O593" si="297">+B589+C589+D589+F589+I589+K589+J589</f>
        <v>4616.9166666666661</v>
      </c>
      <c r="P589" s="7">
        <f>+B589+C589+D589+F589+J589+Q589+R589</f>
        <v>4434.9476920729758</v>
      </c>
      <c r="Q589" s="7">
        <f t="shared" si="290"/>
        <v>2012.9409644643229</v>
      </c>
      <c r="R589" s="7">
        <f t="shared" si="291"/>
        <v>1418.4233942753203</v>
      </c>
      <c r="S589" s="7">
        <v>48</v>
      </c>
      <c r="T589" s="7">
        <v>1123</v>
      </c>
      <c r="U589" s="7">
        <v>0</v>
      </c>
      <c r="V589" s="104">
        <v>129469</v>
      </c>
      <c r="W589" s="7">
        <f>+V589-U589-S589+AA589</f>
        <v>135823</v>
      </c>
      <c r="X589" s="104">
        <f>+V589+AB589+AA589</f>
        <v>145103</v>
      </c>
      <c r="Y589" s="104">
        <f t="shared" si="286"/>
        <v>135871</v>
      </c>
      <c r="Z589" s="2">
        <v>9868</v>
      </c>
      <c r="AA589" s="104">
        <v>6402</v>
      </c>
      <c r="AB589" s="104">
        <v>9232</v>
      </c>
      <c r="AC589" s="78">
        <v>139641</v>
      </c>
      <c r="AD589" s="104">
        <f t="shared" si="260"/>
        <v>145103</v>
      </c>
      <c r="AE589" s="193">
        <f t="shared" si="292"/>
        <v>6.7133578247076428E-2</v>
      </c>
      <c r="AF589" s="193">
        <f t="shared" si="293"/>
        <v>3.8174262420487513E-2</v>
      </c>
      <c r="AG589" s="20">
        <f t="shared" si="294"/>
        <v>102.07660572467971</v>
      </c>
      <c r="AH589" s="20">
        <f t="shared" si="295"/>
        <v>79.892368869010269</v>
      </c>
      <c r="AI589" s="3">
        <f t="shared" si="296"/>
        <v>129773</v>
      </c>
    </row>
    <row r="590" spans="1:35">
      <c r="A590" s="28">
        <v>46246</v>
      </c>
      <c r="B590" s="2">
        <v>202.5</v>
      </c>
      <c r="C590" s="2">
        <v>508.58333333333326</v>
      </c>
      <c r="D590" s="2">
        <v>67.5</v>
      </c>
      <c r="E590" s="2">
        <v>444.66666666666663</v>
      </c>
      <c r="F590" s="2">
        <v>241.5</v>
      </c>
      <c r="G590" s="2">
        <v>68</v>
      </c>
      <c r="H590" s="2">
        <v>48</v>
      </c>
      <c r="I590" s="2">
        <v>2138.25</v>
      </c>
      <c r="J590" s="2">
        <v>88</v>
      </c>
      <c r="K590" s="2">
        <v>1708.3333333333333</v>
      </c>
      <c r="L590" s="2">
        <v>48</v>
      </c>
      <c r="M590" s="2">
        <v>274</v>
      </c>
      <c r="N590" s="108">
        <f t="shared" si="288"/>
        <v>288.74234763586946</v>
      </c>
      <c r="O590" s="7">
        <f t="shared" si="297"/>
        <v>4954.6666666666661</v>
      </c>
      <c r="P590" s="7">
        <f t="shared" si="289"/>
        <v>4665.9243190307971</v>
      </c>
      <c r="Q590" s="7">
        <f>+I590-AH590</f>
        <v>2061.1855667731375</v>
      </c>
      <c r="R590" s="7">
        <f t="shared" si="291"/>
        <v>1496.6554189243263</v>
      </c>
      <c r="S590" s="7">
        <v>1255</v>
      </c>
      <c r="T590" s="7">
        <v>1336</v>
      </c>
      <c r="U590" s="7">
        <v>0</v>
      </c>
      <c r="V590" s="104">
        <v>134757</v>
      </c>
      <c r="W590" s="7">
        <f>+V590-U590-S590+AA590</f>
        <v>139700</v>
      </c>
      <c r="X590" s="104">
        <f t="shared" si="277"/>
        <v>149963</v>
      </c>
      <c r="Y590" s="104">
        <f t="shared" si="286"/>
        <v>140955</v>
      </c>
      <c r="Z590" s="2">
        <v>20100</v>
      </c>
      <c r="AA590" s="104">
        <v>6198</v>
      </c>
      <c r="AB590" s="104">
        <v>9008</v>
      </c>
      <c r="AC590" s="78">
        <v>154105</v>
      </c>
      <c r="AD590" s="104">
        <f t="shared" si="260"/>
        <v>149963</v>
      </c>
      <c r="AE590" s="193">
        <f t="shared" si="292"/>
        <v>0.12390902306868692</v>
      </c>
      <c r="AF590" s="193">
        <f t="shared" si="293"/>
        <v>3.6040890086221265E-2</v>
      </c>
      <c r="AG590" s="20">
        <f t="shared" si="294"/>
        <v>211.67791440900683</v>
      </c>
      <c r="AH590" s="20">
        <f t="shared" si="295"/>
        <v>77.064433226862619</v>
      </c>
      <c r="AI590" s="3">
        <f t="shared" si="296"/>
        <v>134005</v>
      </c>
    </row>
    <row r="591" spans="1:35">
      <c r="A591" s="28">
        <v>46247</v>
      </c>
      <c r="B591" s="2">
        <v>202.5</v>
      </c>
      <c r="C591" s="2">
        <v>469.66666666666669</v>
      </c>
      <c r="D591" s="2">
        <v>67.5</v>
      </c>
      <c r="E591" s="2">
        <v>427.00000000000006</v>
      </c>
      <c r="F591" s="2">
        <v>363.83333333333337</v>
      </c>
      <c r="G591" s="2">
        <v>68</v>
      </c>
      <c r="H591" s="2">
        <v>48</v>
      </c>
      <c r="I591" s="2">
        <v>2150.8333333333335</v>
      </c>
      <c r="J591" s="2">
        <v>95.5</v>
      </c>
      <c r="K591" s="2">
        <v>1820.1666666666667</v>
      </c>
      <c r="L591" s="2">
        <v>61</v>
      </c>
      <c r="M591" s="2">
        <v>274.5</v>
      </c>
      <c r="N591" s="108">
        <f t="shared" si="288"/>
        <v>27.531357150668715</v>
      </c>
      <c r="O591" s="7">
        <f t="shared" si="297"/>
        <v>5170</v>
      </c>
      <c r="P591" s="7">
        <f t="shared" si="289"/>
        <v>5142.4686428493314</v>
      </c>
      <c r="Q591" s="7">
        <f t="shared" si="290"/>
        <v>2150.8333333333335</v>
      </c>
      <c r="R591" s="7">
        <f t="shared" si="291"/>
        <v>1792.635309515998</v>
      </c>
      <c r="S591" s="7">
        <v>8276</v>
      </c>
      <c r="T591" s="7">
        <v>8589</v>
      </c>
      <c r="U591" s="7">
        <v>0</v>
      </c>
      <c r="V591" s="104">
        <v>175906</v>
      </c>
      <c r="W591" s="7">
        <f t="shared" si="276"/>
        <v>170366</v>
      </c>
      <c r="X591" s="104">
        <f>+V591+AB591+AA591</f>
        <v>178642</v>
      </c>
      <c r="Y591" s="104">
        <f>+X591-AB591</f>
        <v>178642</v>
      </c>
      <c r="Z591" s="2">
        <v>2475</v>
      </c>
      <c r="AA591" s="104">
        <v>2736</v>
      </c>
      <c r="AB591" s="104"/>
      <c r="AC591" s="78">
        <v>155447</v>
      </c>
      <c r="AD591" s="104">
        <f t="shared" si="260"/>
        <v>178642</v>
      </c>
      <c r="AE591" s="193">
        <f t="shared" si="292"/>
        <v>1.51257341730622E-2</v>
      </c>
      <c r="AF591" s="193">
        <f>+(AB591/AD591*0.6)</f>
        <v>0</v>
      </c>
      <c r="AG591" s="20">
        <f t="shared" si="294"/>
        <v>27.531357150668715</v>
      </c>
      <c r="AH591" s="20">
        <f t="shared" si="295"/>
        <v>0</v>
      </c>
      <c r="AI591" s="3">
        <f t="shared" si="296"/>
        <v>152972</v>
      </c>
    </row>
    <row r="592" spans="1:35">
      <c r="A592" s="28">
        <v>46248</v>
      </c>
      <c r="B592" s="2">
        <v>217.5</v>
      </c>
      <c r="C592" s="2">
        <v>365.75</v>
      </c>
      <c r="D592" s="2">
        <v>67.5</v>
      </c>
      <c r="E592" s="2">
        <v>439.16666666666663</v>
      </c>
      <c r="F592" s="2">
        <v>394.75</v>
      </c>
      <c r="G592" s="2">
        <v>55.666666666666664</v>
      </c>
      <c r="H592" s="2">
        <v>48</v>
      </c>
      <c r="I592" s="2">
        <v>2119</v>
      </c>
      <c r="J592" s="2">
        <v>100</v>
      </c>
      <c r="K592" s="2">
        <v>2207.75</v>
      </c>
      <c r="L592" s="2">
        <v>47</v>
      </c>
      <c r="M592" s="2">
        <v>252.24999999999997</v>
      </c>
      <c r="N592" s="108">
        <f t="shared" si="288"/>
        <v>73.555272842601624</v>
      </c>
      <c r="O592" s="7">
        <f t="shared" si="297"/>
        <v>5472.25</v>
      </c>
      <c r="P592" s="7">
        <f t="shared" si="289"/>
        <v>5398.6947271573981</v>
      </c>
      <c r="Q592" s="7">
        <f t="shared" si="290"/>
        <v>2045.4447271573983</v>
      </c>
      <c r="R592" s="7">
        <f t="shared" si="291"/>
        <v>2207.75</v>
      </c>
      <c r="S592" s="7">
        <v>6948</v>
      </c>
      <c r="T592" s="7">
        <v>7291</v>
      </c>
      <c r="U592" s="7">
        <v>0</v>
      </c>
      <c r="V592" s="104">
        <v>150848</v>
      </c>
      <c r="W592" s="7">
        <f t="shared" si="276"/>
        <v>150495</v>
      </c>
      <c r="X592" s="104">
        <f>+V592+AB592+AA592</f>
        <v>167111</v>
      </c>
      <c r="Y592" s="104">
        <f>+X592-AB592</f>
        <v>157443</v>
      </c>
      <c r="Z592" s="2"/>
      <c r="AA592" s="104">
        <v>6595</v>
      </c>
      <c r="AB592" s="104">
        <v>9668</v>
      </c>
      <c r="AC592" s="78">
        <v>175241</v>
      </c>
      <c r="AD592" s="104">
        <f t="shared" si="260"/>
        <v>167111</v>
      </c>
      <c r="AE592" s="193">
        <f t="shared" si="292"/>
        <v>0</v>
      </c>
      <c r="AF592" s="193">
        <f>+(AB592/AD592*0.6)</f>
        <v>3.4712257122511386E-2</v>
      </c>
      <c r="AG592" s="20">
        <f t="shared" si="294"/>
        <v>0</v>
      </c>
      <c r="AH592" s="20">
        <f t="shared" si="295"/>
        <v>73.555272842601624</v>
      </c>
      <c r="AI592" s="3">
        <f>+AC592-Z592</f>
        <v>175241</v>
      </c>
    </row>
    <row r="593" spans="1:35">
      <c r="A593" s="28">
        <v>46249</v>
      </c>
      <c r="B593" s="2">
        <v>210</v>
      </c>
      <c r="C593" s="2">
        <v>416.75</v>
      </c>
      <c r="D593" s="2">
        <v>60</v>
      </c>
      <c r="E593" s="2">
        <v>343.41666666666669</v>
      </c>
      <c r="F593" s="2">
        <v>433.75</v>
      </c>
      <c r="G593" s="2">
        <v>0</v>
      </c>
      <c r="H593" s="2">
        <v>22.5</v>
      </c>
      <c r="I593" s="2">
        <v>1891.5</v>
      </c>
      <c r="J593" s="2">
        <v>82.5</v>
      </c>
      <c r="K593" s="2">
        <v>1966.6666666666667</v>
      </c>
      <c r="L593" s="2">
        <v>7.5</v>
      </c>
      <c r="M593" s="2">
        <v>214.41666666666666</v>
      </c>
      <c r="N593" s="108">
        <f t="shared" si="288"/>
        <v>0</v>
      </c>
      <c r="O593" s="7">
        <f t="shared" si="297"/>
        <v>5061.166666666667</v>
      </c>
      <c r="P593" s="7">
        <f t="shared" si="289"/>
        <v>5061.166666666667</v>
      </c>
      <c r="Q593" s="7">
        <f t="shared" si="290"/>
        <v>1891.5</v>
      </c>
      <c r="R593" s="7">
        <f t="shared" si="291"/>
        <v>1966.6666666666667</v>
      </c>
      <c r="S593" s="7">
        <v>7174</v>
      </c>
      <c r="T593" s="7">
        <v>7896</v>
      </c>
      <c r="U593" s="7">
        <v>0</v>
      </c>
      <c r="V593" s="104">
        <v>150983</v>
      </c>
      <c r="W593" s="7">
        <f t="shared" si="276"/>
        <v>152560</v>
      </c>
      <c r="X593" s="104">
        <f t="shared" si="277"/>
        <v>159734</v>
      </c>
      <c r="Y593" s="104">
        <f t="shared" si="286"/>
        <v>159734</v>
      </c>
      <c r="Z593" s="2"/>
      <c r="AA593" s="104">
        <v>8751</v>
      </c>
      <c r="AB593" s="104"/>
      <c r="AC593" s="78">
        <v>165762</v>
      </c>
      <c r="AD593" s="104">
        <f t="shared" si="260"/>
        <v>159734</v>
      </c>
      <c r="AE593" s="193">
        <f t="shared" si="292"/>
        <v>0</v>
      </c>
      <c r="AF593" s="193">
        <f t="shared" si="293"/>
        <v>0</v>
      </c>
      <c r="AG593" s="20">
        <f t="shared" si="294"/>
        <v>0</v>
      </c>
      <c r="AH593" s="20">
        <f t="shared" si="295"/>
        <v>0</v>
      </c>
      <c r="AI593" s="3">
        <f t="shared" si="296"/>
        <v>165762</v>
      </c>
    </row>
    <row r="594" spans="1:35" ht="16.8">
      <c r="A594" s="28">
        <v>46250</v>
      </c>
      <c r="B594"/>
      <c r="C594"/>
      <c r="D594"/>
      <c r="E594"/>
      <c r="F594"/>
      <c r="G594"/>
      <c r="H594"/>
      <c r="I594"/>
      <c r="J594"/>
      <c r="K594"/>
      <c r="L594"/>
      <c r="M594"/>
      <c r="N594"/>
      <c r="Q594" s="166"/>
      <c r="R594" s="219"/>
      <c r="S594" s="74"/>
      <c r="T594" s="74"/>
      <c r="U594" s="74"/>
      <c r="V594" s="104"/>
      <c r="Z594" s="2"/>
      <c r="AA594" s="104"/>
      <c r="AB594" s="104"/>
    </row>
    <row r="595" spans="1:35" ht="16.8">
      <c r="A595" s="28"/>
      <c r="B595"/>
      <c r="C595"/>
      <c r="D595"/>
      <c r="E595"/>
      <c r="F595"/>
      <c r="G595"/>
      <c r="H595"/>
      <c r="I595"/>
      <c r="J595"/>
      <c r="K595"/>
      <c r="L595"/>
      <c r="M595"/>
      <c r="N595"/>
      <c r="Q595" s="166"/>
      <c r="R595" s="219"/>
      <c r="S595" s="74"/>
      <c r="T595" s="74"/>
      <c r="U595" s="74"/>
      <c r="V595" s="191"/>
      <c r="AB595" s="104"/>
    </row>
    <row r="596" spans="1:35" ht="16.8">
      <c r="A596"/>
      <c r="B596" s="3"/>
      <c r="C596" s="3"/>
      <c r="D596" s="3"/>
      <c r="E596" s="3"/>
      <c r="F596" s="3"/>
      <c r="G596" s="3"/>
      <c r="H596"/>
      <c r="I596"/>
      <c r="J596"/>
      <c r="K596"/>
      <c r="L596"/>
      <c r="M596"/>
      <c r="N596"/>
      <c r="Q596" s="166"/>
      <c r="R596" s="219"/>
      <c r="S596" s="74"/>
      <c r="T596" s="74"/>
      <c r="U596" s="74"/>
      <c r="V596" s="191"/>
      <c r="AB596" s="78"/>
    </row>
    <row r="597" spans="1:35" ht="16.8">
      <c r="A597"/>
      <c r="B597" s="3"/>
      <c r="C597" s="3"/>
      <c r="D597" s="3"/>
      <c r="E597" s="3"/>
      <c r="F597" s="3"/>
      <c r="G597" s="3"/>
      <c r="H597"/>
      <c r="I597"/>
      <c r="J597"/>
      <c r="K597"/>
      <c r="L597"/>
      <c r="M597"/>
      <c r="N597"/>
      <c r="Q597" s="166"/>
      <c r="R597" s="219"/>
      <c r="S597" s="74"/>
      <c r="T597" s="74"/>
      <c r="U597" s="74"/>
      <c r="V597" s="191"/>
      <c r="AB597" s="78"/>
    </row>
    <row r="598" spans="1:35" ht="16.8">
      <c r="A598" t="s">
        <v>1459</v>
      </c>
      <c r="B598" t="s">
        <v>2680</v>
      </c>
      <c r="C598" t="s">
        <v>2681</v>
      </c>
      <c r="D598" t="s">
        <v>2682</v>
      </c>
      <c r="E598" t="s">
        <v>2683</v>
      </c>
      <c r="F598" t="s">
        <v>2684</v>
      </c>
      <c r="G598" t="s">
        <v>2685</v>
      </c>
      <c r="H598" t="s">
        <v>2686</v>
      </c>
      <c r="I598"/>
      <c r="J598"/>
      <c r="K598"/>
      <c r="L598"/>
      <c r="M598"/>
      <c r="N598"/>
      <c r="Q598" s="165"/>
      <c r="R598" s="219"/>
      <c r="S598" s="74"/>
      <c r="T598" s="74"/>
      <c r="U598" s="74"/>
      <c r="V598" s="191"/>
      <c r="AB598" s="78"/>
    </row>
    <row r="599" spans="1:35">
      <c r="A599" t="s">
        <v>58</v>
      </c>
      <c r="B599" s="2">
        <v>225</v>
      </c>
      <c r="C599" s="2">
        <v>223.75000000000003</v>
      </c>
      <c r="D599" s="2">
        <v>202.5</v>
      </c>
      <c r="E599" s="2">
        <v>202.5</v>
      </c>
      <c r="F599" s="2">
        <v>217.5</v>
      </c>
      <c r="G599" s="2">
        <v>210</v>
      </c>
      <c r="H599" s="2">
        <v>0</v>
      </c>
      <c r="I599"/>
      <c r="J599"/>
      <c r="K599"/>
      <c r="L599"/>
      <c r="M599"/>
      <c r="N599"/>
      <c r="Q599"/>
      <c r="R599" s="74"/>
      <c r="S599" s="74"/>
      <c r="T599" s="74"/>
      <c r="U599" s="74"/>
      <c r="V599"/>
      <c r="AB599" s="78"/>
    </row>
    <row r="600" spans="1:35">
      <c r="A600" t="s">
        <v>59</v>
      </c>
      <c r="B600" s="2">
        <v>189</v>
      </c>
      <c r="C600" s="2">
        <v>368.16666666666663</v>
      </c>
      <c r="D600" s="2">
        <v>508.58333333333326</v>
      </c>
      <c r="E600" s="2">
        <v>469.66666666666669</v>
      </c>
      <c r="F600" s="2">
        <v>365.75</v>
      </c>
      <c r="G600" s="2">
        <v>416.75</v>
      </c>
      <c r="H600" s="2">
        <v>0</v>
      </c>
      <c r="I600"/>
      <c r="J600"/>
      <c r="K600"/>
      <c r="L600"/>
      <c r="M600"/>
      <c r="N600"/>
      <c r="Q600" s="164"/>
      <c r="R600"/>
      <c r="S600" s="164"/>
      <c r="T600"/>
      <c r="U600"/>
      <c r="V600"/>
      <c r="W600"/>
      <c r="AB600" s="78"/>
    </row>
    <row r="601" spans="1:35">
      <c r="A601" t="s">
        <v>60</v>
      </c>
      <c r="B601" s="2">
        <v>67.5</v>
      </c>
      <c r="C601" s="2">
        <v>67.5</v>
      </c>
      <c r="D601" s="2">
        <v>67.5</v>
      </c>
      <c r="E601" s="2">
        <v>67.5</v>
      </c>
      <c r="F601" s="2">
        <v>67.5</v>
      </c>
      <c r="G601" s="2">
        <v>60</v>
      </c>
      <c r="H601" s="2">
        <v>0</v>
      </c>
      <c r="I601"/>
      <c r="J601"/>
      <c r="K601"/>
      <c r="L601"/>
      <c r="M601"/>
      <c r="N601"/>
      <c r="Q601" s="163"/>
      <c r="R601"/>
      <c r="S601"/>
      <c r="T601"/>
      <c r="U601"/>
      <c r="V601"/>
      <c r="W601"/>
      <c r="AB601" s="78"/>
    </row>
    <row r="602" spans="1:35" ht="16.8">
      <c r="A602" t="s">
        <v>61</v>
      </c>
      <c r="B602" s="2">
        <v>385.66666666666669</v>
      </c>
      <c r="C602" s="2">
        <v>437.08333333333331</v>
      </c>
      <c r="D602" s="2">
        <v>444.66666666666663</v>
      </c>
      <c r="E602" s="2">
        <v>427.00000000000006</v>
      </c>
      <c r="F602" s="2">
        <v>439.16666666666663</v>
      </c>
      <c r="G602" s="2">
        <v>343.41666666666669</v>
      </c>
      <c r="H602" s="2">
        <v>0</v>
      </c>
      <c r="I602"/>
      <c r="J602"/>
      <c r="K602"/>
      <c r="L602"/>
      <c r="M602"/>
      <c r="N602"/>
      <c r="Q602" s="163"/>
      <c r="R602"/>
      <c r="S602" s="165"/>
      <c r="T602" s="165"/>
      <c r="U602" s="165"/>
      <c r="V602" s="165"/>
      <c r="W602" s="165"/>
      <c r="AB602"/>
    </row>
    <row r="603" spans="1:35" ht="16.8">
      <c r="A603" t="s">
        <v>62</v>
      </c>
      <c r="B603" s="2">
        <v>278.25</v>
      </c>
      <c r="C603" s="2">
        <v>233.66666666666669</v>
      </c>
      <c r="D603" s="2">
        <v>241.5</v>
      </c>
      <c r="E603" s="2">
        <v>363.83333333333337</v>
      </c>
      <c r="F603" s="2">
        <v>394.75</v>
      </c>
      <c r="G603" s="2">
        <v>433.75</v>
      </c>
      <c r="H603" s="2">
        <v>0</v>
      </c>
      <c r="I603"/>
      <c r="J603"/>
      <c r="K603"/>
      <c r="L603"/>
      <c r="M603"/>
      <c r="N603"/>
      <c r="S603" s="166"/>
      <c r="T603" s="165"/>
      <c r="U603" s="165"/>
      <c r="V603" s="165"/>
      <c r="W603" s="81"/>
      <c r="AB603"/>
    </row>
    <row r="604" spans="1:35" ht="16.8">
      <c r="A604" t="s">
        <v>63</v>
      </c>
      <c r="B604" s="2">
        <v>67.75</v>
      </c>
      <c r="C604" s="2">
        <v>63.249999999999993</v>
      </c>
      <c r="D604" s="2">
        <v>68</v>
      </c>
      <c r="E604" s="2">
        <v>68</v>
      </c>
      <c r="F604" s="2">
        <v>55.666666666666664</v>
      </c>
      <c r="G604" s="2">
        <v>0</v>
      </c>
      <c r="H604" s="2">
        <v>0</v>
      </c>
      <c r="I604"/>
      <c r="J604"/>
      <c r="K604"/>
      <c r="L604"/>
      <c r="M604"/>
      <c r="N604"/>
      <c r="S604" s="166"/>
      <c r="T604" s="165"/>
      <c r="U604" s="165"/>
      <c r="V604" s="165"/>
      <c r="W604" s="81"/>
    </row>
    <row r="605" spans="1:35" ht="16.8">
      <c r="A605" t="s">
        <v>64</v>
      </c>
      <c r="B605" s="2">
        <v>44.416666666666664</v>
      </c>
      <c r="C605" s="2">
        <v>44.583333333333336</v>
      </c>
      <c r="D605" s="2">
        <v>48</v>
      </c>
      <c r="E605" s="2">
        <v>48</v>
      </c>
      <c r="F605" s="2">
        <v>48</v>
      </c>
      <c r="G605" s="2">
        <v>22.5</v>
      </c>
      <c r="H605" s="2">
        <v>0</v>
      </c>
      <c r="I605"/>
      <c r="J605"/>
      <c r="K605"/>
      <c r="L605"/>
      <c r="M605"/>
      <c r="N605"/>
      <c r="S605" s="166"/>
      <c r="T605" s="165"/>
      <c r="U605" s="165"/>
      <c r="V605" s="165"/>
      <c r="W605" s="81"/>
    </row>
    <row r="606" spans="1:35" ht="16.8">
      <c r="A606" t="s">
        <v>65</v>
      </c>
      <c r="B606" s="2">
        <v>1921.1666666666667</v>
      </c>
      <c r="C606" s="2">
        <v>2092.833333333333</v>
      </c>
      <c r="D606" s="2">
        <v>2138.25</v>
      </c>
      <c r="E606" s="2">
        <v>2150.8333333333335</v>
      </c>
      <c r="F606" s="2">
        <v>2119</v>
      </c>
      <c r="G606" s="2">
        <v>1891.5</v>
      </c>
      <c r="H606" s="2">
        <v>0</v>
      </c>
      <c r="I606"/>
      <c r="J606"/>
      <c r="K606"/>
      <c r="L606"/>
      <c r="M606"/>
      <c r="N606"/>
      <c r="S606" s="166"/>
      <c r="T606" s="165"/>
      <c r="U606" s="165"/>
      <c r="V606" s="165"/>
      <c r="W606" s="81"/>
    </row>
    <row r="607" spans="1:35" ht="16.8">
      <c r="A607" t="s">
        <v>66</v>
      </c>
      <c r="B607" s="2">
        <v>110.25</v>
      </c>
      <c r="C607" s="2">
        <v>110.5</v>
      </c>
      <c r="D607" s="2">
        <v>88</v>
      </c>
      <c r="E607" s="2">
        <v>95.5</v>
      </c>
      <c r="F607" s="2">
        <v>100</v>
      </c>
      <c r="G607" s="2">
        <v>82.5</v>
      </c>
      <c r="H607" s="2">
        <v>0</v>
      </c>
      <c r="I607"/>
      <c r="J607"/>
      <c r="K607"/>
      <c r="L607"/>
      <c r="M607"/>
      <c r="N607"/>
      <c r="S607" s="166"/>
      <c r="T607" s="165"/>
      <c r="U607" s="165"/>
      <c r="V607" s="165"/>
      <c r="W607" s="81"/>
    </row>
    <row r="608" spans="1:35" ht="16.8">
      <c r="A608" t="s">
        <v>67</v>
      </c>
      <c r="B608" s="2">
        <v>1550.8333333333335</v>
      </c>
      <c r="C608" s="2">
        <v>1520.5</v>
      </c>
      <c r="D608" s="2">
        <v>1708.3333333333333</v>
      </c>
      <c r="E608" s="2">
        <v>1820.1666666666667</v>
      </c>
      <c r="F608" s="2">
        <v>2207.75</v>
      </c>
      <c r="G608" s="2">
        <v>1966.6666666666667</v>
      </c>
      <c r="H608" s="2">
        <v>0</v>
      </c>
      <c r="I608"/>
      <c r="J608"/>
      <c r="K608"/>
      <c r="L608"/>
      <c r="M608"/>
      <c r="N608"/>
      <c r="S608" s="166"/>
      <c r="T608" s="165"/>
      <c r="U608" s="165"/>
      <c r="V608" s="165"/>
      <c r="W608" s="81"/>
    </row>
    <row r="609" spans="1:23" ht="16.8">
      <c r="A609" t="s">
        <v>68</v>
      </c>
      <c r="B609" s="2">
        <v>70.5</v>
      </c>
      <c r="C609" s="2">
        <v>54.5</v>
      </c>
      <c r="D609" s="2">
        <v>48</v>
      </c>
      <c r="E609" s="2">
        <v>61</v>
      </c>
      <c r="F609" s="2">
        <v>47</v>
      </c>
      <c r="G609" s="2">
        <v>7.5</v>
      </c>
      <c r="H609" s="2">
        <v>0</v>
      </c>
      <c r="I609"/>
      <c r="J609"/>
      <c r="K609"/>
      <c r="L609"/>
      <c r="M609"/>
      <c r="N609"/>
      <c r="S609" s="166"/>
      <c r="T609" s="81"/>
      <c r="U609" s="165"/>
      <c r="V609" s="165"/>
      <c r="W609" s="81"/>
    </row>
    <row r="610" spans="1:23" ht="16.8">
      <c r="A610" t="s">
        <v>1891</v>
      </c>
      <c r="B610" s="2">
        <v>294.25</v>
      </c>
      <c r="C610" s="2">
        <v>298.08333333333337</v>
      </c>
      <c r="D610" s="2">
        <v>274</v>
      </c>
      <c r="E610" s="2">
        <v>274.5</v>
      </c>
      <c r="F610" s="2">
        <v>252.24999999999997</v>
      </c>
      <c r="G610" s="2">
        <v>214.41666666666666</v>
      </c>
      <c r="H610" s="2">
        <v>0</v>
      </c>
      <c r="I610"/>
      <c r="J610"/>
      <c r="K610"/>
      <c r="L610"/>
      <c r="M610"/>
      <c r="N610"/>
      <c r="S610" s="165"/>
      <c r="T610" s="165"/>
      <c r="U610" s="165"/>
      <c r="V610" s="165"/>
      <c r="W610" s="81"/>
    </row>
    <row r="611" spans="1:23">
      <c r="I611"/>
      <c r="J611"/>
      <c r="K611"/>
      <c r="L611"/>
      <c r="M611"/>
      <c r="N611"/>
      <c r="S611"/>
      <c r="T611"/>
      <c r="U611"/>
      <c r="V611"/>
      <c r="W611"/>
    </row>
    <row r="612" spans="1:23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S612" s="164"/>
      <c r="T612"/>
      <c r="U612"/>
      <c r="V612"/>
      <c r="W612"/>
    </row>
    <row r="613" spans="1:23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S613" s="163"/>
      <c r="T613"/>
      <c r="U613"/>
      <c r="V613"/>
      <c r="W613"/>
    </row>
    <row r="614" spans="1:23">
      <c r="A614" s="226" t="s">
        <v>2487</v>
      </c>
      <c r="B614" s="231">
        <v>46244</v>
      </c>
      <c r="C614" s="231">
        <v>46245</v>
      </c>
      <c r="D614" s="231">
        <v>46246</v>
      </c>
      <c r="E614" s="231">
        <v>46247</v>
      </c>
      <c r="F614" s="231">
        <v>46248</v>
      </c>
      <c r="G614" s="231">
        <v>46249</v>
      </c>
      <c r="H614"/>
      <c r="I614"/>
      <c r="J614"/>
      <c r="K614"/>
      <c r="L614"/>
      <c r="M614"/>
      <c r="N614"/>
      <c r="S614" s="163"/>
      <c r="T614"/>
      <c r="U614"/>
      <c r="V614"/>
      <c r="W614"/>
    </row>
    <row r="615" spans="1:23">
      <c r="A615" s="48" t="s">
        <v>58</v>
      </c>
      <c r="B615" s="3">
        <v>6</v>
      </c>
      <c r="C615" s="3">
        <v>9</v>
      </c>
      <c r="D615" s="3">
        <v>12</v>
      </c>
      <c r="E615" s="3"/>
      <c r="F615" s="3"/>
      <c r="G615" s="3"/>
      <c r="H615"/>
      <c r="I615"/>
      <c r="J615"/>
      <c r="K615"/>
      <c r="L615"/>
      <c r="M615"/>
      <c r="N615"/>
    </row>
    <row r="616" spans="1:23">
      <c r="A616" s="48" t="s">
        <v>59</v>
      </c>
      <c r="B616" s="3">
        <v>271.5</v>
      </c>
      <c r="C616" s="3">
        <v>108</v>
      </c>
      <c r="D616" s="3">
        <v>15</v>
      </c>
      <c r="E616" s="3">
        <v>7.5</v>
      </c>
      <c r="F616" s="3">
        <v>105</v>
      </c>
      <c r="G616" s="3">
        <v>37.75</v>
      </c>
      <c r="H616" s="3"/>
      <c r="I616"/>
      <c r="J616"/>
      <c r="K616"/>
      <c r="L616"/>
      <c r="M616"/>
      <c r="N616"/>
    </row>
    <row r="617" spans="1:23">
      <c r="A617" s="48" t="s">
        <v>2688</v>
      </c>
      <c r="B617" s="3">
        <v>66.5</v>
      </c>
      <c r="C617" s="3">
        <v>309.5</v>
      </c>
      <c r="D617" s="3">
        <v>549.5</v>
      </c>
      <c r="E617" s="3">
        <v>849.5</v>
      </c>
      <c r="F617" s="3">
        <v>1157</v>
      </c>
      <c r="G617" s="3">
        <v>1095</v>
      </c>
      <c r="H617"/>
      <c r="I617"/>
    </row>
    <row r="618" spans="1:23">
      <c r="A618" s="48" t="s">
        <v>61</v>
      </c>
      <c r="B618" s="3"/>
      <c r="C618" s="3"/>
      <c r="D618" s="3"/>
      <c r="E618" s="3">
        <v>7.5</v>
      </c>
      <c r="F618" s="3">
        <v>7.5</v>
      </c>
      <c r="G618" s="3">
        <v>37.5</v>
      </c>
      <c r="H618"/>
      <c r="I618"/>
    </row>
    <row r="619" spans="1:23">
      <c r="A619" s="48" t="s">
        <v>62</v>
      </c>
      <c r="B619" s="3">
        <v>7.5</v>
      </c>
      <c r="C619" s="3">
        <v>7.5</v>
      </c>
      <c r="D619" s="3">
        <v>7.5</v>
      </c>
      <c r="E619" s="3"/>
      <c r="F619" s="3">
        <v>7.5</v>
      </c>
      <c r="G619" s="3">
        <v>7.5</v>
      </c>
      <c r="H619"/>
      <c r="I619"/>
    </row>
    <row r="620" spans="1:23">
      <c r="A620" s="48" t="s">
        <v>65</v>
      </c>
      <c r="B620" s="3">
        <v>28.5</v>
      </c>
      <c r="C620" s="3"/>
      <c r="D620" s="3"/>
      <c r="E620" s="3"/>
      <c r="F620" s="3"/>
      <c r="G620" s="3"/>
      <c r="H620"/>
      <c r="I620"/>
    </row>
    <row r="621" spans="1:23">
      <c r="A621" s="48" t="s">
        <v>68</v>
      </c>
      <c r="B621" s="3">
        <v>22.5</v>
      </c>
      <c r="C621" s="3">
        <v>22.5</v>
      </c>
      <c r="D621" s="3">
        <v>37.5</v>
      </c>
      <c r="E621" s="3">
        <v>22.5</v>
      </c>
      <c r="F621" s="3">
        <v>52.5</v>
      </c>
      <c r="G621" s="3">
        <v>67.5</v>
      </c>
      <c r="H621"/>
    </row>
    <row r="622" spans="1:23">
      <c r="A622" s="232" t="s">
        <v>1460</v>
      </c>
      <c r="B622" s="233">
        <v>402.5</v>
      </c>
      <c r="C622" s="233">
        <v>456.5</v>
      </c>
      <c r="D622" s="233">
        <v>621.5</v>
      </c>
      <c r="E622" s="233">
        <v>887</v>
      </c>
      <c r="F622" s="233">
        <v>1329.5</v>
      </c>
      <c r="G622" s="233">
        <v>1245.25</v>
      </c>
      <c r="H622"/>
    </row>
    <row r="623" spans="1:23">
      <c r="A623"/>
      <c r="B623"/>
      <c r="C623"/>
      <c r="D623"/>
      <c r="E623"/>
      <c r="F623"/>
      <c r="G623"/>
      <c r="H623"/>
    </row>
    <row r="624" spans="1:23">
      <c r="A624" s="226" t="s">
        <v>2687</v>
      </c>
      <c r="B624" s="231">
        <v>46244</v>
      </c>
      <c r="C624" s="231">
        <v>46245</v>
      </c>
      <c r="D624" s="231">
        <v>46246</v>
      </c>
      <c r="E624" s="231">
        <v>46247</v>
      </c>
      <c r="F624" s="231">
        <v>46248</v>
      </c>
      <c r="G624" s="231">
        <v>46249</v>
      </c>
      <c r="H624"/>
    </row>
    <row r="625" spans="1:8">
      <c r="A625" s="48" t="s">
        <v>2488</v>
      </c>
      <c r="B625" s="3">
        <v>22.5</v>
      </c>
      <c r="C625" s="3">
        <v>22.5</v>
      </c>
      <c r="D625" s="3">
        <v>22.5</v>
      </c>
      <c r="E625" s="3">
        <v>7.5</v>
      </c>
      <c r="F625" s="3">
        <v>7.5</v>
      </c>
      <c r="G625" s="3">
        <v>7.5</v>
      </c>
      <c r="H625"/>
    </row>
    <row r="626" spans="1:8">
      <c r="A626" s="48" t="s">
        <v>2481</v>
      </c>
      <c r="B626" s="3">
        <v>55.5</v>
      </c>
      <c r="C626" s="3">
        <v>7.5</v>
      </c>
      <c r="D626" s="3">
        <v>15</v>
      </c>
      <c r="E626" s="3">
        <v>120</v>
      </c>
      <c r="F626" s="3">
        <v>165</v>
      </c>
      <c r="G626" s="3">
        <v>217.5</v>
      </c>
      <c r="H626"/>
    </row>
    <row r="627" spans="1:8">
      <c r="A627" s="48" t="s">
        <v>2482</v>
      </c>
      <c r="B627" s="3">
        <v>21</v>
      </c>
      <c r="C627" s="3">
        <v>39</v>
      </c>
      <c r="D627" s="3">
        <v>57</v>
      </c>
      <c r="E627" s="3">
        <v>37.5</v>
      </c>
      <c r="F627" s="3">
        <v>67.5</v>
      </c>
      <c r="G627" s="3">
        <v>112.5</v>
      </c>
      <c r="H627"/>
    </row>
    <row r="628" spans="1:8">
      <c r="A628" s="48" t="s">
        <v>2483</v>
      </c>
      <c r="B628" s="3">
        <v>92</v>
      </c>
      <c r="C628" s="3">
        <v>207.5</v>
      </c>
      <c r="D628" s="3">
        <v>242</v>
      </c>
      <c r="E628" s="3">
        <v>302</v>
      </c>
      <c r="F628" s="3">
        <v>302</v>
      </c>
      <c r="G628" s="3">
        <v>270</v>
      </c>
      <c r="H628"/>
    </row>
    <row r="629" spans="1:8">
      <c r="A629" s="48" t="s">
        <v>2484</v>
      </c>
      <c r="B629" s="3">
        <v>204</v>
      </c>
      <c r="C629" s="3">
        <v>172.5</v>
      </c>
      <c r="D629" s="3">
        <v>277.5</v>
      </c>
      <c r="E629" s="3">
        <v>420</v>
      </c>
      <c r="F629" s="3">
        <v>780</v>
      </c>
      <c r="G629" s="3">
        <v>630.25</v>
      </c>
      <c r="H629"/>
    </row>
    <row r="630" spans="1:8">
      <c r="A630" s="48"/>
      <c r="B630" s="3"/>
      <c r="C630" s="3"/>
      <c r="D630" s="3"/>
      <c r="E630" s="3"/>
      <c r="F630" s="3"/>
      <c r="G630" s="3"/>
      <c r="H630"/>
    </row>
    <row r="631" spans="1:8">
      <c r="A631"/>
      <c r="B631"/>
      <c r="C631"/>
      <c r="D631"/>
      <c r="E631"/>
      <c r="F631"/>
      <c r="G631"/>
      <c r="H631"/>
    </row>
    <row r="632" spans="1:8">
      <c r="A632"/>
      <c r="B632"/>
      <c r="C632"/>
      <c r="D632"/>
      <c r="E632"/>
      <c r="F632"/>
      <c r="G632"/>
      <c r="H632"/>
    </row>
    <row r="633" spans="1:8">
      <c r="A633"/>
      <c r="B633"/>
      <c r="C633"/>
      <c r="D633"/>
      <c r="E633"/>
      <c r="F633"/>
      <c r="G633"/>
      <c r="H633"/>
    </row>
    <row r="634" spans="1:8">
      <c r="A634"/>
      <c r="B634"/>
      <c r="C634"/>
      <c r="D634"/>
      <c r="E634"/>
      <c r="F634"/>
      <c r="G634"/>
      <c r="H634"/>
    </row>
    <row r="635" spans="1:8">
      <c r="A635"/>
      <c r="B635"/>
      <c r="C635"/>
      <c r="D635"/>
      <c r="E635"/>
      <c r="F635"/>
      <c r="G635"/>
      <c r="H635"/>
    </row>
    <row r="636" spans="1:8">
      <c r="A636"/>
      <c r="B636"/>
      <c r="C636"/>
      <c r="D636"/>
      <c r="E636"/>
      <c r="F636"/>
      <c r="G636"/>
      <c r="H636"/>
    </row>
    <row r="637" spans="1:8">
      <c r="A637"/>
      <c r="B637"/>
      <c r="C637"/>
      <c r="D637"/>
      <c r="E637"/>
      <c r="F637"/>
      <c r="G637"/>
      <c r="H637"/>
    </row>
    <row r="638" spans="1:8">
      <c r="A638"/>
      <c r="B638"/>
      <c r="C638"/>
      <c r="D638"/>
      <c r="E638"/>
      <c r="F638"/>
      <c r="G638"/>
      <c r="H638"/>
    </row>
    <row r="639" spans="1:8">
      <c r="A639"/>
      <c r="B639"/>
      <c r="C639"/>
      <c r="D639"/>
      <c r="E639"/>
      <c r="F639"/>
      <c r="G639"/>
      <c r="H639"/>
    </row>
    <row r="640" spans="1:8">
      <c r="A640"/>
      <c r="B640"/>
      <c r="C640"/>
      <c r="D640"/>
      <c r="E640"/>
      <c r="F640"/>
      <c r="G640"/>
      <c r="H640"/>
    </row>
    <row r="641" spans="1:8">
      <c r="A641"/>
      <c r="B641"/>
      <c r="C641"/>
      <c r="D641"/>
      <c r="E641"/>
      <c r="F641"/>
      <c r="G641"/>
      <c r="H641"/>
    </row>
    <row r="642" spans="1:8">
      <c r="A642"/>
      <c r="B642"/>
      <c r="C642"/>
      <c r="D642"/>
      <c r="E642"/>
      <c r="F642"/>
      <c r="G642"/>
      <c r="H642"/>
    </row>
    <row r="643" spans="1:8">
      <c r="A643"/>
      <c r="B643"/>
      <c r="C643"/>
      <c r="D643"/>
      <c r="E643"/>
      <c r="F643"/>
      <c r="G643"/>
      <c r="H643"/>
    </row>
    <row r="644" spans="1:8">
      <c r="A644"/>
      <c r="B644"/>
      <c r="C644"/>
      <c r="D644"/>
      <c r="E644"/>
      <c r="F644"/>
      <c r="G644"/>
      <c r="H644"/>
    </row>
    <row r="645" spans="1:8">
      <c r="A645"/>
      <c r="B645"/>
      <c r="C645"/>
      <c r="D645"/>
      <c r="E645"/>
      <c r="F645"/>
      <c r="G645"/>
      <c r="H645"/>
    </row>
    <row r="646" spans="1:8">
      <c r="A646"/>
      <c r="B646"/>
      <c r="C646"/>
      <c r="D646"/>
      <c r="E646"/>
      <c r="F646"/>
      <c r="G646"/>
      <c r="H646"/>
    </row>
    <row r="647" spans="1:8">
      <c r="A647"/>
      <c r="B647"/>
      <c r="C647"/>
      <c r="D647"/>
      <c r="E647"/>
      <c r="F647"/>
      <c r="G647"/>
      <c r="H647"/>
    </row>
    <row r="648" spans="1:8">
      <c r="A648"/>
      <c r="B648"/>
      <c r="C648"/>
      <c r="D648"/>
      <c r="E648"/>
      <c r="F648"/>
      <c r="G648"/>
      <c r="H648"/>
    </row>
    <row r="649" spans="1:8">
      <c r="A649"/>
      <c r="B649"/>
      <c r="C649"/>
      <c r="D649"/>
      <c r="E649"/>
      <c r="F649"/>
      <c r="G649"/>
      <c r="H649"/>
    </row>
    <row r="650" spans="1:8">
      <c r="A650"/>
      <c r="B650"/>
      <c r="C650"/>
      <c r="D650"/>
      <c r="E650"/>
      <c r="F650"/>
      <c r="G650"/>
      <c r="H650"/>
    </row>
    <row r="651" spans="1:8">
      <c r="A651"/>
      <c r="B651"/>
      <c r="C651"/>
      <c r="D651"/>
      <c r="E651"/>
      <c r="F651"/>
      <c r="G651"/>
      <c r="H651"/>
    </row>
    <row r="652" spans="1:8">
      <c r="A652"/>
      <c r="B652"/>
      <c r="C652"/>
      <c r="D652"/>
      <c r="E652"/>
      <c r="F652"/>
      <c r="G652"/>
      <c r="H652"/>
    </row>
    <row r="653" spans="1:8">
      <c r="A653"/>
      <c r="B653"/>
      <c r="C653"/>
      <c r="D653"/>
      <c r="E653"/>
      <c r="F653"/>
      <c r="G653"/>
      <c r="H653"/>
    </row>
    <row r="654" spans="1:8">
      <c r="A654"/>
      <c r="B654"/>
      <c r="C654"/>
      <c r="D654"/>
      <c r="E654"/>
      <c r="F654"/>
      <c r="G654"/>
      <c r="H654"/>
    </row>
    <row r="655" spans="1:8">
      <c r="A655"/>
      <c r="B655"/>
      <c r="C655"/>
      <c r="D655"/>
      <c r="E655"/>
      <c r="F655"/>
      <c r="G655"/>
      <c r="H655"/>
    </row>
    <row r="656" spans="1:8">
      <c r="A656"/>
      <c r="B656"/>
      <c r="C656"/>
      <c r="D656"/>
      <c r="E656"/>
      <c r="F656"/>
      <c r="G656"/>
      <c r="H656"/>
    </row>
    <row r="657" spans="1:8">
      <c r="A657"/>
      <c r="B657"/>
      <c r="C657"/>
      <c r="D657"/>
      <c r="E657"/>
      <c r="F657"/>
      <c r="G657"/>
      <c r="H657"/>
    </row>
    <row r="658" spans="1:8">
      <c r="A658"/>
      <c r="B658"/>
      <c r="C658"/>
      <c r="D658"/>
      <c r="E658"/>
      <c r="F658"/>
      <c r="G658"/>
      <c r="H658"/>
    </row>
    <row r="659" spans="1:8">
      <c r="A659"/>
      <c r="B659"/>
      <c r="C659"/>
      <c r="D659"/>
      <c r="E659"/>
      <c r="F659"/>
      <c r="G659"/>
      <c r="H659"/>
    </row>
    <row r="660" spans="1:8">
      <c r="A660"/>
      <c r="B660"/>
      <c r="C660"/>
      <c r="D660"/>
      <c r="E660"/>
      <c r="F660"/>
      <c r="G660"/>
      <c r="H660"/>
    </row>
    <row r="661" spans="1:8">
      <c r="A661"/>
      <c r="B661"/>
      <c r="C661"/>
      <c r="D661"/>
      <c r="E661"/>
      <c r="F661"/>
      <c r="G661"/>
      <c r="H661"/>
    </row>
    <row r="662" spans="1:8">
      <c r="A662"/>
      <c r="B662"/>
      <c r="C662"/>
      <c r="D662"/>
      <c r="E662"/>
      <c r="F662"/>
      <c r="G662"/>
      <c r="H662"/>
    </row>
    <row r="663" spans="1:8">
      <c r="A663"/>
      <c r="B663"/>
      <c r="C663"/>
      <c r="D663"/>
      <c r="E663"/>
      <c r="F663"/>
      <c r="G663"/>
      <c r="H663"/>
    </row>
    <row r="664" spans="1:8">
      <c r="A664"/>
      <c r="B664"/>
      <c r="C664"/>
      <c r="D664"/>
      <c r="E664"/>
      <c r="F664"/>
      <c r="G664"/>
      <c r="H664"/>
    </row>
    <row r="665" spans="1:8">
      <c r="A665"/>
      <c r="B665"/>
      <c r="C665"/>
      <c r="D665"/>
      <c r="E665"/>
      <c r="F665"/>
      <c r="G665"/>
      <c r="H665"/>
    </row>
    <row r="666" spans="1:8">
      <c r="A666"/>
      <c r="B666"/>
      <c r="C666"/>
      <c r="D666"/>
      <c r="E666"/>
      <c r="F666"/>
      <c r="G666"/>
      <c r="H666"/>
    </row>
    <row r="667" spans="1:8">
      <c r="A667"/>
      <c r="B667"/>
      <c r="C667"/>
      <c r="D667"/>
      <c r="E667"/>
      <c r="F667"/>
      <c r="G667"/>
      <c r="H667"/>
    </row>
    <row r="668" spans="1:8">
      <c r="A668"/>
      <c r="B668"/>
      <c r="C668"/>
      <c r="D668"/>
      <c r="E668"/>
      <c r="F668"/>
      <c r="G668"/>
      <c r="H668"/>
    </row>
    <row r="669" spans="1:8">
      <c r="A669"/>
      <c r="B669"/>
      <c r="C669"/>
      <c r="D669"/>
      <c r="E669"/>
      <c r="F669"/>
      <c r="G669"/>
      <c r="H669"/>
    </row>
    <row r="670" spans="1:8">
      <c r="A670"/>
      <c r="B670"/>
      <c r="C670"/>
      <c r="D670"/>
      <c r="E670"/>
      <c r="F670"/>
      <c r="G670"/>
      <c r="H670"/>
    </row>
    <row r="671" spans="1:8">
      <c r="A671"/>
      <c r="B671"/>
      <c r="C671"/>
      <c r="D671"/>
      <c r="E671"/>
      <c r="F671"/>
      <c r="G671"/>
      <c r="H67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J24" sqref="J24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2293</v>
      </c>
      <c r="B1" s="153">
        <v>38</v>
      </c>
      <c r="C1" s="151">
        <v>0.1</v>
      </c>
      <c r="F1" s="144" t="s">
        <v>2293</v>
      </c>
      <c r="G1" s="153">
        <v>38</v>
      </c>
      <c r="J1" s="144" t="s">
        <v>2293</v>
      </c>
      <c r="K1" s="153">
        <v>345</v>
      </c>
      <c r="L1" s="140"/>
      <c r="M1"/>
      <c r="N1" s="145" t="s">
        <v>2293</v>
      </c>
      <c r="O1" s="161">
        <v>113</v>
      </c>
      <c r="P1" s="140"/>
      <c r="Q1"/>
      <c r="R1" s="145" t="s">
        <v>2293</v>
      </c>
      <c r="S1" s="161">
        <v>79</v>
      </c>
      <c r="T1" s="140"/>
      <c r="U1"/>
      <c r="V1" s="145" t="s">
        <v>2293</v>
      </c>
      <c r="W1" s="161">
        <v>72</v>
      </c>
      <c r="X1" s="140"/>
      <c r="Y1"/>
      <c r="Z1" s="145" t="s">
        <v>2293</v>
      </c>
      <c r="AA1" s="161">
        <v>134</v>
      </c>
      <c r="AB1" s="140"/>
      <c r="AC1"/>
      <c r="AD1" s="145" t="s">
        <v>2293</v>
      </c>
      <c r="AE1" s="161">
        <v>677</v>
      </c>
      <c r="AG1"/>
      <c r="AH1" s="145" t="s">
        <v>2293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2295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2292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2289</v>
      </c>
      <c r="B3" s="153" t="s">
        <v>2291</v>
      </c>
      <c r="C3" s="153" t="s">
        <v>2290</v>
      </c>
      <c r="D3" s="153" t="s">
        <v>2294</v>
      </c>
      <c r="E3" s="141"/>
      <c r="F3" s="153" t="s">
        <v>2291</v>
      </c>
      <c r="G3" s="153" t="s">
        <v>2290</v>
      </c>
      <c r="H3" s="153" t="s">
        <v>2294</v>
      </c>
      <c r="J3" s="153" t="s">
        <v>2291</v>
      </c>
      <c r="K3" s="146" t="s">
        <v>2290</v>
      </c>
      <c r="L3" s="153" t="s">
        <v>2294</v>
      </c>
      <c r="N3" s="153" t="s">
        <v>2291</v>
      </c>
      <c r="O3" s="153" t="s">
        <v>2290</v>
      </c>
      <c r="P3" s="153" t="s">
        <v>2294</v>
      </c>
      <c r="R3" s="153" t="s">
        <v>2291</v>
      </c>
      <c r="S3" s="153" t="s">
        <v>2290</v>
      </c>
      <c r="T3" s="153" t="s">
        <v>2294</v>
      </c>
      <c r="V3" s="153" t="s">
        <v>2291</v>
      </c>
      <c r="W3" s="153" t="s">
        <v>2290</v>
      </c>
      <c r="X3" s="153" t="s">
        <v>2294</v>
      </c>
      <c r="Z3" s="153" t="s">
        <v>2291</v>
      </c>
      <c r="AA3" s="153" t="s">
        <v>2290</v>
      </c>
      <c r="AB3" s="153" t="s">
        <v>2294</v>
      </c>
      <c r="AD3" s="153" t="s">
        <v>2291</v>
      </c>
      <c r="AE3" s="153" t="s">
        <v>2290</v>
      </c>
      <c r="AF3" s="153" t="s">
        <v>2294</v>
      </c>
      <c r="AH3" s="153" t="s">
        <v>2291</v>
      </c>
      <c r="AI3" s="153" t="s">
        <v>2290</v>
      </c>
      <c r="AJ3" s="153" t="s">
        <v>2294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>(F10*(1+D10))</f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>+F11*1.1</f>
        <v>42.077703435490086</v>
      </c>
      <c r="H11" s="206">
        <f>(F11*(1+D11))</f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1459</v>
      </c>
      <c r="AE18" s="139" t="s">
        <v>1923</v>
      </c>
      <c r="AF18" t="s">
        <v>1944</v>
      </c>
      <c r="AI18" s="184"/>
    </row>
    <row r="19" spans="3:35">
      <c r="C19" s="65"/>
      <c r="D19" s="67"/>
      <c r="J19"/>
      <c r="K19"/>
      <c r="AD19" s="139" t="s">
        <v>1924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1925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1926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1927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1928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A24" s="139">
        <f>43-27</f>
        <v>16</v>
      </c>
      <c r="AD24" s="139" t="s">
        <v>1929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1930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1931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1932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1933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1934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1935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1460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14" activePane="bottomLeft" state="frozen"/>
      <selection pane="bottomLeft" activeCell="AA36" sqref="AA36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2299</v>
      </c>
      <c r="B1" s="216"/>
      <c r="C1" s="216"/>
      <c r="D1" s="216" t="s">
        <v>1569</v>
      </c>
      <c r="E1" s="216"/>
      <c r="F1" s="216"/>
      <c r="G1" s="216" t="s">
        <v>2300</v>
      </c>
      <c r="H1" s="216"/>
      <c r="I1" s="216"/>
      <c r="J1" s="216" t="s">
        <v>2301</v>
      </c>
      <c r="K1" s="216"/>
      <c r="L1" s="216"/>
      <c r="M1" s="216" t="s">
        <v>2302</v>
      </c>
      <c r="N1" s="216"/>
      <c r="O1" s="216"/>
      <c r="P1" s="216" t="s">
        <v>2303</v>
      </c>
      <c r="Q1" s="216"/>
      <c r="R1" s="216"/>
      <c r="S1" s="216" t="s">
        <v>2304</v>
      </c>
      <c r="T1" s="216"/>
      <c r="U1" s="216"/>
      <c r="V1" s="216" t="s">
        <v>2305</v>
      </c>
      <c r="W1" s="216"/>
      <c r="X1" s="216"/>
      <c r="Y1" s="216" t="s">
        <v>2306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>
        <v>437.55713830126501</v>
      </c>
      <c r="D32" s="210" t="s">
        <v>31</v>
      </c>
      <c r="E32" s="7">
        <v>110.57793348825888</v>
      </c>
      <c r="F32" s="222">
        <v>96.47941766638192</v>
      </c>
      <c r="G32" s="210" t="s">
        <v>31</v>
      </c>
      <c r="H32" s="7">
        <v>93.28373069504201</v>
      </c>
      <c r="I32" s="222">
        <v>79.581505517120391</v>
      </c>
      <c r="J32" s="210" t="s">
        <v>31</v>
      </c>
      <c r="K32" s="7">
        <v>87.789247311827964</v>
      </c>
      <c r="L32" s="222">
        <v>51.682145192936559</v>
      </c>
      <c r="M32" s="210" t="s">
        <v>31</v>
      </c>
      <c r="N32" s="7">
        <v>119.08009538504699</v>
      </c>
      <c r="O32" s="211">
        <v>115.30762687836688</v>
      </c>
      <c r="P32" s="210" t="s">
        <v>31</v>
      </c>
      <c r="Q32" s="7">
        <v>840.97790655559584</v>
      </c>
      <c r="R32" s="211">
        <v>558.81739566361694</v>
      </c>
      <c r="S32" s="210" t="s">
        <v>31</v>
      </c>
      <c r="T32" s="7">
        <v>16.637306894166475</v>
      </c>
      <c r="U32" s="222">
        <v>25.377364037236649</v>
      </c>
      <c r="V32" s="210" t="s">
        <v>31</v>
      </c>
      <c r="W32" s="7">
        <v>38.675318555037975</v>
      </c>
      <c r="X32" s="222">
        <v>35.202278755254085</v>
      </c>
      <c r="Y32" s="210" t="s">
        <v>31</v>
      </c>
      <c r="Z32" s="7">
        <v>37.835577855996853</v>
      </c>
      <c r="AA32" s="222">
        <v>34.736173849188454</v>
      </c>
    </row>
    <row r="33" spans="1:27">
      <c r="A33" s="210" t="s">
        <v>32</v>
      </c>
      <c r="B33" s="7">
        <v>506.06184556977536</v>
      </c>
      <c r="C33" s="211">
        <v>432.77864880273665</v>
      </c>
      <c r="D33" s="210" t="s">
        <v>32</v>
      </c>
      <c r="E33" s="7">
        <v>114.03877495418321</v>
      </c>
      <c r="F33" s="211">
        <v>100.90138171078999</v>
      </c>
      <c r="G33" s="210" t="s">
        <v>32</v>
      </c>
      <c r="H33" s="7">
        <v>90.630432672845629</v>
      </c>
      <c r="I33" s="222">
        <v>72.450799168713388</v>
      </c>
      <c r="J33" s="210" t="s">
        <v>32</v>
      </c>
      <c r="K33" s="7">
        <v>54.457452041318241</v>
      </c>
      <c r="L33" s="222">
        <v>33.770074283692963</v>
      </c>
      <c r="M33" s="210" t="s">
        <v>32</v>
      </c>
      <c r="N33" s="7">
        <v>128.33128745757818</v>
      </c>
      <c r="O33" s="211">
        <v>123.49198988195614</v>
      </c>
      <c r="P33" s="210" t="s">
        <v>32</v>
      </c>
      <c r="Q33" s="7">
        <v>810.08236208236212</v>
      </c>
      <c r="R33" s="211">
        <v>622.72162333544713</v>
      </c>
      <c r="S33" s="210" t="s">
        <v>32</v>
      </c>
      <c r="T33" s="7">
        <v>22.41268743788082</v>
      </c>
      <c r="U33" s="211">
        <v>27.006839211479143</v>
      </c>
      <c r="V33" s="210" t="s">
        <v>32</v>
      </c>
      <c r="W33" s="7">
        <v>38.3251422219316</v>
      </c>
      <c r="X33" s="222">
        <v>32.378857933214782</v>
      </c>
      <c r="Y33" s="210" t="s">
        <v>32</v>
      </c>
      <c r="Z33" s="7">
        <v>37.747422403862004</v>
      </c>
      <c r="AA33" s="222">
        <v>32.378857933214782</v>
      </c>
    </row>
    <row r="34" spans="1:27">
      <c r="A34" s="210" t="s">
        <v>33</v>
      </c>
      <c r="B34" s="7">
        <v>448.19576719576719</v>
      </c>
      <c r="C34" s="211">
        <v>434.62338963641571</v>
      </c>
      <c r="D34" s="210" t="s">
        <v>33</v>
      </c>
      <c r="E34" s="7">
        <v>120.66995493693757</v>
      </c>
      <c r="F34" s="222">
        <v>93.668569513640051</v>
      </c>
      <c r="G34" s="210" t="s">
        <v>33</v>
      </c>
      <c r="H34" s="7">
        <v>85.496925339697682</v>
      </c>
      <c r="I34" s="222">
        <v>75.556905350933036</v>
      </c>
      <c r="J34" s="210" t="s">
        <v>33</v>
      </c>
      <c r="K34" s="7">
        <v>54.783333333333331</v>
      </c>
      <c r="L34" s="222">
        <v>31.732723112128149</v>
      </c>
      <c r="M34" s="210" t="s">
        <v>33</v>
      </c>
      <c r="N34" s="7">
        <v>124.38624543972681</v>
      </c>
      <c r="O34" s="211">
        <v>121.01768419023756</v>
      </c>
      <c r="P34" s="210" t="s">
        <v>33</v>
      </c>
      <c r="Q34" s="7">
        <v>763.68158640226625</v>
      </c>
      <c r="R34" s="211">
        <v>632.19877983770664</v>
      </c>
      <c r="S34" s="210" t="s">
        <v>33</v>
      </c>
      <c r="T34" s="7">
        <v>20.453011634396599</v>
      </c>
      <c r="U34" s="222">
        <v>28.822292946488044</v>
      </c>
      <c r="V34" s="210" t="s">
        <v>33</v>
      </c>
      <c r="W34" s="7">
        <v>38.505019231682418</v>
      </c>
      <c r="X34" s="222">
        <v>34.691707506944326</v>
      </c>
      <c r="Y34" s="210" t="s">
        <v>33</v>
      </c>
      <c r="Z34" s="7">
        <v>36.708317542450757</v>
      </c>
      <c r="AA34" s="222">
        <v>34.416134255004927</v>
      </c>
    </row>
    <row r="35" spans="1:27">
      <c r="A35" s="210" t="s">
        <v>34</v>
      </c>
      <c r="B35" s="7">
        <v>411.9782011357392</v>
      </c>
      <c r="C35" s="211">
        <v>315</v>
      </c>
      <c r="D35" s="210" t="s">
        <v>34</v>
      </c>
      <c r="E35" s="7">
        <v>117.24004973304739</v>
      </c>
      <c r="F35" s="222">
        <v>86</v>
      </c>
      <c r="G35" s="210" t="s">
        <v>34</v>
      </c>
      <c r="H35" s="7">
        <v>90.880133356490958</v>
      </c>
      <c r="I35" s="222">
        <v>72.643699704259063</v>
      </c>
      <c r="J35" s="210" t="s">
        <v>34</v>
      </c>
      <c r="K35" s="7">
        <v>75.421754385964917</v>
      </c>
      <c r="L35" s="222">
        <v>54.341712824882826</v>
      </c>
      <c r="M35" s="210" t="s">
        <v>34</v>
      </c>
      <c r="N35" s="7">
        <v>131.03180161509326</v>
      </c>
      <c r="O35" s="211">
        <v>104.84800205576256</v>
      </c>
      <c r="P35" s="210" t="s">
        <v>34</v>
      </c>
      <c r="Q35" s="7">
        <v>585.7883597883598</v>
      </c>
      <c r="R35" s="211">
        <v>596.56507317073169</v>
      </c>
      <c r="S35" s="210" t="s">
        <v>34</v>
      </c>
      <c r="T35" s="7">
        <v>22.984310018903589</v>
      </c>
      <c r="U35" s="222">
        <v>26.504642712959228</v>
      </c>
      <c r="V35" s="210" t="s">
        <v>34</v>
      </c>
      <c r="W35" s="7">
        <v>39.850123002698901</v>
      </c>
      <c r="X35" s="222">
        <v>31.569402707904246</v>
      </c>
      <c r="Y35" s="210" t="s">
        <v>34</v>
      </c>
      <c r="Z35" s="7">
        <v>38.831031310537995</v>
      </c>
      <c r="AA35" s="222">
        <v>31.458365595953399</v>
      </c>
    </row>
    <row r="36" spans="1:27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Z33" sqref="Z33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27" t="s">
        <v>59</v>
      </c>
      <c r="C1" s="227"/>
      <c r="D1" s="227"/>
      <c r="F1" s="227" t="s">
        <v>67</v>
      </c>
      <c r="G1" s="227"/>
      <c r="H1" s="227"/>
      <c r="J1" s="227" t="s">
        <v>65</v>
      </c>
      <c r="K1" s="227"/>
      <c r="L1" s="227"/>
      <c r="N1" s="227" t="s">
        <v>454</v>
      </c>
      <c r="O1" s="227"/>
      <c r="P1" s="227"/>
      <c r="R1" s="227" t="s">
        <v>62</v>
      </c>
      <c r="S1" s="227"/>
      <c r="T1" s="227"/>
      <c r="V1" s="227" t="s">
        <v>58</v>
      </c>
      <c r="W1" s="227"/>
      <c r="X1" s="227"/>
      <c r="Z1" s="227" t="s">
        <v>2307</v>
      </c>
      <c r="AA1" s="227"/>
      <c r="AB1" s="227"/>
      <c r="AD1" s="227" t="s">
        <v>428</v>
      </c>
      <c r="AE1" s="227"/>
      <c r="AF1" s="227"/>
      <c r="AH1" s="227" t="s">
        <v>2308</v>
      </c>
      <c r="AI1" s="227"/>
      <c r="AJ1" s="227"/>
    </row>
    <row r="2" spans="1:36">
      <c r="A2" t="s">
        <v>34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30. Hafta</v>
      </c>
      <c r="C3" s="2">
        <f>+VLOOKUP(B3,'Haftalık Genel'!A:AA,2,0)</f>
        <v>435.05695871799338</v>
      </c>
      <c r="D3" s="2">
        <f>+VLOOKUP(B3,'Haftalık Genel'!A:C,3,0)</f>
        <v>437.55713830126501</v>
      </c>
      <c r="F3" t="str">
        <f t="shared" ref="F3:F4" si="1">+LEFT(F4,2)-1&amp;". Hafta"</f>
        <v>30. Hafta</v>
      </c>
      <c r="G3" s="2">
        <f>+VLOOKUP(F3,'Haftalık Genel'!D:F,2,0)</f>
        <v>110.57793348825888</v>
      </c>
      <c r="H3" s="2">
        <f>+VLOOKUP(F3,'Haftalık Genel'!D:F,3,0)</f>
        <v>96.47941766638192</v>
      </c>
      <c r="J3" t="str">
        <f t="shared" ref="J3:J4" si="2">+LEFT(J4,2)-1&amp;". Hafta"</f>
        <v>30. Hafta</v>
      </c>
      <c r="K3" s="2">
        <f>+VLOOKUP(J3,'Haftalık Genel'!G:I,2,0)</f>
        <v>93.28373069504201</v>
      </c>
      <c r="L3" s="2">
        <f>+VLOOKUP(J3,'Haftalık Genel'!G:I,3,0)</f>
        <v>79.581505517120391</v>
      </c>
      <c r="N3" t="str">
        <f t="shared" ref="N3:N4" si="3">+LEFT(N4,2)-1&amp;". Hafta"</f>
        <v>30. Hafta</v>
      </c>
      <c r="O3" s="2">
        <f>+VLOOKUP(N3,'Haftalık Genel'!J:L,2,0)</f>
        <v>87.789247311827964</v>
      </c>
      <c r="P3" s="2">
        <f>+VLOOKUP(N3,'Haftalık Genel'!J:L,3,0)</f>
        <v>51.682145192936559</v>
      </c>
      <c r="R3" t="str">
        <f t="shared" ref="R3:R4" si="4">+LEFT(R4,2)-1&amp;". Hafta"</f>
        <v>30. Hafta</v>
      </c>
      <c r="S3" s="2">
        <f>+VLOOKUP(R3,'Haftalık Genel'!M:O,2,0)</f>
        <v>119.08009538504699</v>
      </c>
      <c r="T3" s="2">
        <f>+VLOOKUP(R3,'Haftalık Genel'!M:O,3,0)</f>
        <v>115.30762687836688</v>
      </c>
      <c r="V3" t="str">
        <f t="shared" ref="V3:V4" si="5">+LEFT(V4,2)-1&amp;". Hafta"</f>
        <v>30. Hafta</v>
      </c>
      <c r="W3" s="2">
        <f>+VLOOKUP(V3,'Haftalık Genel'!P:R,2,0)</f>
        <v>840.97790655559584</v>
      </c>
      <c r="X3" s="2">
        <f>+VLOOKUP(V3,'Haftalık Genel'!P:R,3,0)</f>
        <v>558.81739566361694</v>
      </c>
      <c r="Z3" t="str">
        <f t="shared" ref="Z3:Z4" si="6">+LEFT(Z4,2)-1&amp;". Hafta"</f>
        <v>30. Hafta</v>
      </c>
      <c r="AA3" s="2">
        <f>+VLOOKUP(Z3,'Haftalık Genel'!S:U,2,0)</f>
        <v>16.637306894166475</v>
      </c>
      <c r="AB3" s="2">
        <f>+VLOOKUP(Z3,'Haftalık Genel'!S:U,3,0)</f>
        <v>25.377364037236649</v>
      </c>
      <c r="AD3" t="str">
        <f t="shared" ref="AD3:AD4" si="7">+LEFT(AD4,2)-1&amp;". Hafta"</f>
        <v>30. Hafta</v>
      </c>
      <c r="AE3" s="2">
        <f>+VLOOKUP(AD3,'Haftalık Genel'!V:X,2,0)</f>
        <v>38.675318555037975</v>
      </c>
      <c r="AF3" s="2">
        <f>+VLOOKUP(AD3,'Haftalık Genel'!V:X,3,0)</f>
        <v>35.202278755254085</v>
      </c>
      <c r="AH3" t="str">
        <f t="shared" ref="AH3:AH4" si="8">+LEFT(AH4,2)-1&amp;". Hafta"</f>
        <v>30. Hafta</v>
      </c>
      <c r="AI3" s="2">
        <f>+VLOOKUP(AH3,'Haftalık Genel'!Y:AA,2,0)</f>
        <v>37.835577855996853</v>
      </c>
      <c r="AJ3" s="2">
        <f>+VLOOKUP(AH3,'Haftalık Genel'!Y:AA,3,0)</f>
        <v>34.736173849188454</v>
      </c>
    </row>
    <row r="4" spans="1:36">
      <c r="B4" t="str">
        <f t="shared" si="0"/>
        <v>31. Hafta</v>
      </c>
      <c r="C4" s="2">
        <f>+VLOOKUP(B4,'Haftalık Genel'!A:AA,2,0)</f>
        <v>506.06184556977536</v>
      </c>
      <c r="D4" s="2">
        <f>+VLOOKUP(B4,'Haftalık Genel'!A:C,3,0)</f>
        <v>432.77864880273665</v>
      </c>
      <c r="F4" t="str">
        <f t="shared" si="1"/>
        <v>31. Hafta</v>
      </c>
      <c r="G4" s="2">
        <f>+VLOOKUP(F4,'Haftalık Genel'!D:F,2,0)</f>
        <v>114.03877495418321</v>
      </c>
      <c r="H4" s="2">
        <f>+VLOOKUP(F4,'Haftalık Genel'!D:F,3,0)</f>
        <v>100.90138171078999</v>
      </c>
      <c r="J4" t="str">
        <f t="shared" si="2"/>
        <v>31. Hafta</v>
      </c>
      <c r="K4" s="2">
        <f>+VLOOKUP(J4,'Haftalık Genel'!G:I,2,0)</f>
        <v>90.630432672845629</v>
      </c>
      <c r="L4" s="2">
        <f>+VLOOKUP(J4,'Haftalık Genel'!G:I,3,0)</f>
        <v>72.450799168713388</v>
      </c>
      <c r="N4" t="str">
        <f t="shared" si="3"/>
        <v>31. Hafta</v>
      </c>
      <c r="O4" s="2">
        <f>+VLOOKUP(N4,'Haftalık Genel'!J:L,2,0)</f>
        <v>54.457452041318241</v>
      </c>
      <c r="P4" s="2">
        <f>+VLOOKUP(N4,'Haftalık Genel'!J:L,3,0)</f>
        <v>33.770074283692963</v>
      </c>
      <c r="R4" t="str">
        <f t="shared" si="4"/>
        <v>31. Hafta</v>
      </c>
      <c r="S4" s="2">
        <f>+VLOOKUP(R4,'Haftalık Genel'!M:O,2,0)</f>
        <v>128.33128745757818</v>
      </c>
      <c r="T4" s="2">
        <f>+VLOOKUP(R4,'Haftalık Genel'!M:O,3,0)</f>
        <v>123.49198988195614</v>
      </c>
      <c r="V4" t="str">
        <f t="shared" si="5"/>
        <v>31. Hafta</v>
      </c>
      <c r="W4" s="2">
        <f>+VLOOKUP(V4,'Haftalık Genel'!P:R,2,0)</f>
        <v>810.08236208236212</v>
      </c>
      <c r="X4" s="2">
        <f>+VLOOKUP(V4,'Haftalık Genel'!P:R,3,0)</f>
        <v>622.72162333544713</v>
      </c>
      <c r="Z4" t="str">
        <f t="shared" si="6"/>
        <v>31. Hafta</v>
      </c>
      <c r="AA4" s="2">
        <f>+VLOOKUP(Z4,'Haftalık Genel'!S:U,2,0)</f>
        <v>22.41268743788082</v>
      </c>
      <c r="AB4" s="2">
        <f>+VLOOKUP(Z4,'Haftalık Genel'!S:U,3,0)</f>
        <v>27.006839211479143</v>
      </c>
      <c r="AD4" t="str">
        <f t="shared" si="7"/>
        <v>31. Hafta</v>
      </c>
      <c r="AE4" s="2">
        <f>+VLOOKUP(AD4,'Haftalık Genel'!V:X,2,0)</f>
        <v>38.3251422219316</v>
      </c>
      <c r="AF4" s="2">
        <f>+VLOOKUP(AD4,'Haftalık Genel'!V:X,3,0)</f>
        <v>32.378857933214782</v>
      </c>
      <c r="AH4" t="str">
        <f t="shared" si="8"/>
        <v>31. Hafta</v>
      </c>
      <c r="AI4" s="2">
        <f>+VLOOKUP(AH4,'Haftalık Genel'!Y:AA,2,0)</f>
        <v>37.747422403862004</v>
      </c>
      <c r="AJ4" s="2">
        <f>+VLOOKUP(AH4,'Haftalık Genel'!Y:AA,3,0)</f>
        <v>32.378857933214782</v>
      </c>
    </row>
    <row r="5" spans="1:36">
      <c r="B5" t="str">
        <f>+LEFT(B6,2)-1&amp;". Hafta"</f>
        <v>32. Hafta</v>
      </c>
      <c r="C5" s="2">
        <f>+VLOOKUP(B5,'Haftalık Genel'!A:AA,2,0)</f>
        <v>448.19576719576719</v>
      </c>
      <c r="D5" s="2">
        <f>+VLOOKUP(B5,'Haftalık Genel'!A:C,3,0)</f>
        <v>434.62338963641571</v>
      </c>
      <c r="F5" t="str">
        <f>+LEFT(F6,2)-1&amp;". Hafta"</f>
        <v>32. Hafta</v>
      </c>
      <c r="G5" s="2">
        <f>+VLOOKUP(F5,'Haftalık Genel'!D:F,2,0)</f>
        <v>120.66995493693757</v>
      </c>
      <c r="H5" s="2">
        <f>+VLOOKUP(F5,'Haftalık Genel'!D:F,3,0)</f>
        <v>93.668569513640051</v>
      </c>
      <c r="J5" t="str">
        <f>+LEFT(J6,2)-1&amp;". Hafta"</f>
        <v>32. Hafta</v>
      </c>
      <c r="K5" s="2">
        <f>+VLOOKUP(J5,'Haftalık Genel'!G:I,2,0)</f>
        <v>85.496925339697682</v>
      </c>
      <c r="L5" s="2">
        <f>+VLOOKUP(J5,'Haftalık Genel'!G:I,3,0)</f>
        <v>75.556905350933036</v>
      </c>
      <c r="N5" t="str">
        <f>+LEFT(N6,2)-1&amp;". Hafta"</f>
        <v>32. Hafta</v>
      </c>
      <c r="O5" s="2">
        <f>+VLOOKUP(N5,'Haftalık Genel'!J:L,2,0)</f>
        <v>54.783333333333331</v>
      </c>
      <c r="P5" s="2">
        <f>+VLOOKUP(N5,'Haftalık Genel'!J:L,3,0)</f>
        <v>31.732723112128149</v>
      </c>
      <c r="R5" t="str">
        <f>+LEFT(R6,2)-1&amp;". Hafta"</f>
        <v>32. Hafta</v>
      </c>
      <c r="S5" s="2">
        <f>+VLOOKUP(R5,'Haftalık Genel'!M:O,2,0)</f>
        <v>124.38624543972681</v>
      </c>
      <c r="T5" s="2">
        <f>+VLOOKUP(R5,'Haftalık Genel'!M:O,3,0)</f>
        <v>121.01768419023756</v>
      </c>
      <c r="V5" t="str">
        <f>+LEFT(V6,2)-1&amp;". Hafta"</f>
        <v>32. Hafta</v>
      </c>
      <c r="W5" s="2">
        <f>+VLOOKUP(V5,'Haftalık Genel'!P:R,2,0)</f>
        <v>763.68158640226625</v>
      </c>
      <c r="X5" s="2">
        <f>+VLOOKUP(V5,'Haftalık Genel'!P:R,3,0)</f>
        <v>632.19877983770664</v>
      </c>
      <c r="Z5" t="str">
        <f>+LEFT(Z6,2)-1&amp;". Hafta"</f>
        <v>32. Hafta</v>
      </c>
      <c r="AA5" s="2">
        <f>+VLOOKUP(Z5,'Haftalık Genel'!S:U,2,0)</f>
        <v>20.453011634396599</v>
      </c>
      <c r="AB5" s="2">
        <f>+VLOOKUP(Z5,'Haftalık Genel'!S:U,3,0)</f>
        <v>28.822292946488044</v>
      </c>
      <c r="AD5" t="str">
        <f>+LEFT(AD6,2)-1&amp;". Hafta"</f>
        <v>32. Hafta</v>
      </c>
      <c r="AE5" s="2">
        <f>+VLOOKUP(AD5,'Haftalık Genel'!V:X,2,0)</f>
        <v>38.505019231682418</v>
      </c>
      <c r="AF5" s="2">
        <f>+VLOOKUP(AD5,'Haftalık Genel'!V:X,3,0)</f>
        <v>34.691707506944326</v>
      </c>
      <c r="AH5" t="str">
        <f>+LEFT(AH6,2)-1&amp;". Hafta"</f>
        <v>32. Hafta</v>
      </c>
      <c r="AI5" s="2">
        <f>+VLOOKUP(AH5,'Haftalık Genel'!Y:AA,2,0)</f>
        <v>36.708317542450757</v>
      </c>
      <c r="AJ5" s="2">
        <f>+VLOOKUP(AH5,'Haftalık Genel'!Y:AA,3,0)</f>
        <v>34.416134255004927</v>
      </c>
    </row>
    <row r="6" spans="1:36">
      <c r="B6" t="str">
        <f>+$A$2</f>
        <v>33. Hafta</v>
      </c>
      <c r="C6" s="2">
        <f>+VLOOKUP(B6,'Haftalık Genel'!A:AA,2,0)</f>
        <v>411.9782011357392</v>
      </c>
      <c r="D6" s="2">
        <f>+VLOOKUP(B6,'Haftalık Genel'!A:C,3,0)</f>
        <v>315</v>
      </c>
      <c r="F6" t="str">
        <f>+$A$2</f>
        <v>33. Hafta</v>
      </c>
      <c r="G6" s="2">
        <f>+VLOOKUP(F6,'Haftalık Genel'!D:F,2,0)</f>
        <v>117.24004973304739</v>
      </c>
      <c r="H6" s="2">
        <f>+VLOOKUP(F6,'Haftalık Genel'!D:F,3,0)</f>
        <v>86</v>
      </c>
      <c r="J6" t="str">
        <f>+$A$2</f>
        <v>33. Hafta</v>
      </c>
      <c r="K6" s="2">
        <f>+VLOOKUP(J6,'Haftalık Genel'!G:I,2,0)</f>
        <v>90.880133356490958</v>
      </c>
      <c r="L6" s="2">
        <f>+VLOOKUP(J6,'Haftalık Genel'!G:I,3,0)</f>
        <v>72.643699704259063</v>
      </c>
      <c r="N6" t="str">
        <f>+$A$2</f>
        <v>33. Hafta</v>
      </c>
      <c r="O6" s="2">
        <f>+VLOOKUP(N6,'Haftalık Genel'!J:L,2,0)</f>
        <v>75.421754385964917</v>
      </c>
      <c r="P6" s="2">
        <f>+VLOOKUP(N6,'Haftalık Genel'!J:L,3,0)</f>
        <v>54.341712824882826</v>
      </c>
      <c r="R6" t="str">
        <f>+$A$2</f>
        <v>33. Hafta</v>
      </c>
      <c r="S6" s="2">
        <f>+VLOOKUP(R6,'Haftalık Genel'!M:O,2,0)</f>
        <v>131.03180161509326</v>
      </c>
      <c r="T6" s="2">
        <f>+VLOOKUP(R6,'Haftalık Genel'!M:O,3,0)</f>
        <v>104.84800205576256</v>
      </c>
      <c r="V6" t="str">
        <f>+$A$2</f>
        <v>33. Hafta</v>
      </c>
      <c r="W6" s="2">
        <f>+VLOOKUP(V6,'Haftalık Genel'!P:R,2,0)</f>
        <v>585.7883597883598</v>
      </c>
      <c r="X6" s="2">
        <f>+VLOOKUP(V6,'Haftalık Genel'!P:R,3,0)</f>
        <v>596.56507317073169</v>
      </c>
      <c r="Z6" t="str">
        <f>+$A$2</f>
        <v>33. Hafta</v>
      </c>
      <c r="AA6" s="2">
        <f>+VLOOKUP(Z6,'Haftalık Genel'!S:U,2,0)</f>
        <v>22.984310018903589</v>
      </c>
      <c r="AB6" s="2">
        <f>+VLOOKUP(Z6,'Haftalık Genel'!S:U,3,0)</f>
        <v>26.504642712959228</v>
      </c>
      <c r="AD6" t="str">
        <f>+$A$2</f>
        <v>33. Hafta</v>
      </c>
      <c r="AE6" s="2">
        <f>+VLOOKUP(AD6,'Haftalık Genel'!V:X,2,0)</f>
        <v>39.850123002698901</v>
      </c>
      <c r="AF6" s="2">
        <f>+VLOOKUP(AD6,'Haftalık Genel'!V:X,3,0)</f>
        <v>31.569402707904246</v>
      </c>
      <c r="AH6" t="str">
        <f>+$A$2</f>
        <v>33. Hafta</v>
      </c>
      <c r="AI6" s="2">
        <f>+VLOOKUP(AH6,'Haftalık Genel'!Y:AA,2,0)</f>
        <v>38.831031310537995</v>
      </c>
      <c r="AJ6" s="2">
        <f>+VLOOKUP(AH6,'Haftalık Genel'!Y:AA,3,0)</f>
        <v>31.458365595953399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2309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1897</v>
      </c>
      <c r="E16" s="8" t="s">
        <v>1898</v>
      </c>
      <c r="F16" s="8" t="s">
        <v>1899</v>
      </c>
      <c r="G16" s="8" t="s">
        <v>1900</v>
      </c>
      <c r="H16" s="8" t="s">
        <v>1901</v>
      </c>
      <c r="I16" s="8" t="s">
        <v>1902</v>
      </c>
      <c r="J16" s="8" t="s">
        <v>1903</v>
      </c>
      <c r="K16" s="8" t="s">
        <v>1904</v>
      </c>
      <c r="L16" s="8" t="s">
        <v>1905</v>
      </c>
      <c r="M16" s="8" t="s">
        <v>1906</v>
      </c>
      <c r="N16" s="8" t="s">
        <v>1907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HJ1" workbookViewId="0">
      <selection activeCell="HP12" sqref="HP12:HP17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86588.291666666715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P9" s="2">
        <v>189</v>
      </c>
      <c r="HQ9" s="2">
        <v>368.16666666666663</v>
      </c>
      <c r="HR9" s="2">
        <v>508.58333333333326</v>
      </c>
      <c r="HS9" s="2">
        <v>469.66666666666669</v>
      </c>
      <c r="HT9" s="2">
        <v>365.75</v>
      </c>
      <c r="HU9" s="2">
        <v>416.75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30632814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HP10" s="78">
        <v>72592</v>
      </c>
      <c r="HQ10" s="78">
        <v>127895</v>
      </c>
      <c r="HR10" s="78">
        <v>156524</v>
      </c>
      <c r="HS10" s="78">
        <v>138210</v>
      </c>
      <c r="HT10" s="78">
        <v>104198</v>
      </c>
      <c r="HU10" s="78">
        <v>130105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353.77547484046852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HV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>
        <f t="shared" si="18"/>
        <v>384.0846560846561</v>
      </c>
      <c r="HQ11" s="2">
        <f t="shared" si="18"/>
        <v>347.38343141693076</v>
      </c>
      <c r="HR11" s="2">
        <f t="shared" si="18"/>
        <v>307.76470588235298</v>
      </c>
      <c r="HS11" s="2">
        <f t="shared" si="18"/>
        <v>294.27253371185236</v>
      </c>
      <c r="HT11" s="2">
        <f t="shared" si="18"/>
        <v>284.88858509911142</v>
      </c>
      <c r="HU11" s="2">
        <f t="shared" si="18"/>
        <v>312.18956208758249</v>
      </c>
      <c r="HV11" s="2" t="str">
        <f t="shared" si="18"/>
        <v/>
      </c>
      <c r="HW11" s="2" t="str">
        <f t="shared" ref="HW11:IZ11" si="19">+IFERROR(HW10/HW9,"")</f>
        <v/>
      </c>
      <c r="HX11" s="2" t="str">
        <f t="shared" si="19"/>
        <v/>
      </c>
      <c r="HY11" s="2" t="str">
        <f t="shared" si="19"/>
        <v/>
      </c>
      <c r="HZ11" s="2" t="str">
        <f t="shared" si="19"/>
        <v/>
      </c>
      <c r="IA11" s="2" t="str">
        <f t="shared" si="19"/>
        <v/>
      </c>
      <c r="IB11" s="2" t="str">
        <f t="shared" si="19"/>
        <v/>
      </c>
      <c r="IC11" s="2" t="str">
        <f t="shared" si="19"/>
        <v/>
      </c>
      <c r="ID11" s="2" t="str">
        <f t="shared" si="19"/>
        <v/>
      </c>
      <c r="IE11" s="2" t="str">
        <f t="shared" si="19"/>
        <v/>
      </c>
      <c r="IF11" s="2" t="str">
        <f t="shared" si="19"/>
        <v/>
      </c>
      <c r="IG11" s="2" t="str">
        <f t="shared" si="19"/>
        <v/>
      </c>
      <c r="IH11" s="2" t="str">
        <f t="shared" si="19"/>
        <v/>
      </c>
      <c r="II11" s="2" t="str">
        <f t="shared" si="19"/>
        <v/>
      </c>
      <c r="IJ11" s="2" t="str">
        <f t="shared" si="19"/>
        <v/>
      </c>
      <c r="IK11" s="2" t="str">
        <f t="shared" si="19"/>
        <v/>
      </c>
      <c r="IL11" s="2" t="str">
        <f t="shared" si="19"/>
        <v/>
      </c>
      <c r="IM11" s="2" t="str">
        <f t="shared" si="19"/>
        <v/>
      </c>
      <c r="IN11" s="2" t="str">
        <f t="shared" si="19"/>
        <v/>
      </c>
      <c r="IO11" s="2" t="str">
        <f t="shared" si="19"/>
        <v/>
      </c>
      <c r="IP11" s="2" t="str">
        <f t="shared" si="19"/>
        <v/>
      </c>
      <c r="IQ11" s="2" t="str">
        <f t="shared" si="19"/>
        <v/>
      </c>
      <c r="IR11" s="2" t="str">
        <f t="shared" si="19"/>
        <v/>
      </c>
      <c r="IS11" s="2" t="str">
        <f t="shared" si="19"/>
        <v/>
      </c>
      <c r="IT11" s="2" t="str">
        <f t="shared" si="19"/>
        <v/>
      </c>
      <c r="IU11" s="2" t="str">
        <f t="shared" si="19"/>
        <v/>
      </c>
      <c r="IV11" s="2" t="str">
        <f t="shared" si="19"/>
        <v/>
      </c>
      <c r="IW11" s="2" t="str">
        <f t="shared" si="19"/>
        <v/>
      </c>
      <c r="IX11" s="2" t="str">
        <f t="shared" si="19"/>
        <v/>
      </c>
      <c r="IY11" s="2" t="str">
        <f t="shared" si="19"/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HP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GU14" s="20"/>
      <c r="HB14" s="20"/>
      <c r="HI14" s="20"/>
      <c r="HP14" s="20"/>
      <c r="JF14" s="71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21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  <c r="HA17"/>
      <c r="HB17"/>
      <c r="HC17"/>
      <c r="HD17"/>
      <c r="HE17"/>
    </row>
    <row r="18" spans="17:21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  <c r="HA18"/>
      <c r="HB18"/>
      <c r="HC18"/>
      <c r="HD18"/>
      <c r="HE18"/>
    </row>
    <row r="19" spans="17:21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1"/>
      <c r="HC19" s="191"/>
      <c r="HD19" s="191"/>
      <c r="HE19" s="78"/>
    </row>
    <row r="20" spans="17:21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1"/>
      <c r="HC20" s="191"/>
      <c r="HD20" s="191"/>
      <c r="HE20" s="78"/>
    </row>
    <row r="21" spans="17:21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1"/>
      <c r="HC21" s="191"/>
      <c r="HD21" s="191"/>
      <c r="HE21" s="78"/>
    </row>
    <row r="22" spans="17:213">
      <c r="Q22" s="2"/>
      <c r="R22" s="2"/>
      <c r="AF22" s="2"/>
      <c r="BE22"/>
      <c r="BF22"/>
      <c r="BG22"/>
      <c r="BH22"/>
      <c r="BI22"/>
      <c r="BJ22"/>
      <c r="HA22" s="77"/>
      <c r="HB22" s="191"/>
      <c r="HC22" s="191"/>
      <c r="HD22" s="191"/>
      <c r="HE22" s="78"/>
    </row>
    <row r="23" spans="17:213">
      <c r="Q23" s="2"/>
      <c r="R23" s="2"/>
      <c r="AF23" s="2"/>
      <c r="BE23"/>
      <c r="BF23"/>
      <c r="BG23"/>
      <c r="BH23"/>
      <c r="BI23"/>
      <c r="BJ23"/>
      <c r="HA23" s="77"/>
      <c r="HB23" s="191"/>
      <c r="HC23" s="191"/>
      <c r="HD23" s="191"/>
      <c r="HE23" s="78"/>
    </row>
    <row r="24" spans="17:213">
      <c r="AF24" s="2"/>
      <c r="BE24"/>
      <c r="BF24"/>
      <c r="BG24"/>
      <c r="BH24"/>
      <c r="BI24"/>
      <c r="BJ24"/>
      <c r="HA24" s="77"/>
      <c r="HB24" s="191"/>
      <c r="HC24" s="191"/>
      <c r="HD24" s="191"/>
      <c r="HE24" s="78"/>
    </row>
    <row r="25" spans="17:213">
      <c r="AF25" s="2"/>
      <c r="BE25"/>
      <c r="BF25"/>
      <c r="BG25"/>
      <c r="BH25"/>
      <c r="BI25"/>
      <c r="BJ25"/>
    </row>
    <row r="26" spans="17:213">
      <c r="BE26"/>
      <c r="BF26"/>
      <c r="BG26"/>
      <c r="BH26"/>
      <c r="BI26"/>
      <c r="BJ26"/>
    </row>
    <row r="27" spans="17:21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1945</v>
      </c>
      <c r="B1" s="122" t="s">
        <v>1946</v>
      </c>
      <c r="C1" s="123" t="s">
        <v>1947</v>
      </c>
      <c r="D1" s="123" t="s">
        <v>1948</v>
      </c>
      <c r="E1" s="124" t="s">
        <v>1949</v>
      </c>
      <c r="F1" s="124" t="s">
        <v>1950</v>
      </c>
      <c r="G1" s="123" t="s">
        <v>1951</v>
      </c>
      <c r="H1" s="123" t="s">
        <v>1952</v>
      </c>
      <c r="I1" s="123" t="s">
        <v>1953</v>
      </c>
      <c r="J1" s="123" t="s">
        <v>1954</v>
      </c>
      <c r="K1" s="123" t="s">
        <v>1955</v>
      </c>
      <c r="L1" s="124" t="s">
        <v>1956</v>
      </c>
      <c r="M1" s="124" t="s">
        <v>1957</v>
      </c>
      <c r="N1" s="123" t="s">
        <v>1958</v>
      </c>
      <c r="O1" s="123" t="s">
        <v>1959</v>
      </c>
      <c r="P1" s="123" t="s">
        <v>1960</v>
      </c>
      <c r="Q1" s="123" t="s">
        <v>1961</v>
      </c>
      <c r="R1" s="123" t="s">
        <v>1962</v>
      </c>
      <c r="S1" s="124" t="s">
        <v>1963</v>
      </c>
      <c r="T1" s="124" t="s">
        <v>1964</v>
      </c>
      <c r="U1" s="123" t="s">
        <v>1965</v>
      </c>
      <c r="V1" s="123" t="s">
        <v>1966</v>
      </c>
      <c r="W1" s="123" t="s">
        <v>1967</v>
      </c>
      <c r="X1" s="123" t="s">
        <v>1968</v>
      </c>
      <c r="Y1" s="123" t="s">
        <v>1969</v>
      </c>
      <c r="Z1" s="124" t="s">
        <v>1970</v>
      </c>
      <c r="AA1" s="124" t="s">
        <v>1971</v>
      </c>
      <c r="AB1" s="123" t="s">
        <v>1972</v>
      </c>
      <c r="AC1" s="123" t="s">
        <v>1973</v>
      </c>
      <c r="AD1" s="123" t="s">
        <v>1974</v>
      </c>
      <c r="AE1" s="123" t="s">
        <v>1975</v>
      </c>
      <c r="AF1" s="123" t="s">
        <v>1976</v>
      </c>
      <c r="AG1" s="125" t="s">
        <v>1977</v>
      </c>
      <c r="AH1" s="125" t="s">
        <v>1978</v>
      </c>
      <c r="AI1" s="123" t="s">
        <v>1979</v>
      </c>
      <c r="AJ1" s="123" t="s">
        <v>1980</v>
      </c>
      <c r="AK1" s="123" t="s">
        <v>1981</v>
      </c>
      <c r="AL1" s="123" t="s">
        <v>1982</v>
      </c>
      <c r="AM1" s="123" t="s">
        <v>1983</v>
      </c>
      <c r="AN1" s="125" t="s">
        <v>1984</v>
      </c>
      <c r="AO1" s="125" t="s">
        <v>1985</v>
      </c>
      <c r="AP1" s="123" t="s">
        <v>1986</v>
      </c>
      <c r="AQ1" s="123" t="s">
        <v>1987</v>
      </c>
      <c r="AR1" s="123" t="s">
        <v>1988</v>
      </c>
      <c r="AS1" s="123" t="s">
        <v>1989</v>
      </c>
      <c r="AT1" s="123" t="s">
        <v>1990</v>
      </c>
      <c r="AU1" s="125" t="s">
        <v>1991</v>
      </c>
      <c r="AV1" s="125" t="s">
        <v>1992</v>
      </c>
      <c r="AW1" s="123" t="s">
        <v>1993</v>
      </c>
      <c r="AX1" s="123" t="s">
        <v>1994</v>
      </c>
      <c r="AY1" s="123" t="s">
        <v>1995</v>
      </c>
      <c r="AZ1" s="123" t="s">
        <v>1996</v>
      </c>
      <c r="BA1" s="123" t="s">
        <v>1997</v>
      </c>
      <c r="BB1" s="125" t="s">
        <v>1998</v>
      </c>
      <c r="BC1" s="125" t="s">
        <v>1999</v>
      </c>
      <c r="BD1" s="123" t="s">
        <v>2000</v>
      </c>
      <c r="BE1" s="123" t="s">
        <v>2001</v>
      </c>
      <c r="BF1" s="123" t="s">
        <v>2002</v>
      </c>
      <c r="BG1" s="123" t="s">
        <v>2003</v>
      </c>
      <c r="BH1" s="123" t="s">
        <v>2004</v>
      </c>
      <c r="BI1" s="126" t="s">
        <v>2005</v>
      </c>
      <c r="BJ1" s="126" t="s">
        <v>2006</v>
      </c>
      <c r="BK1" s="126" t="s">
        <v>2007</v>
      </c>
      <c r="BL1" s="126" t="s">
        <v>2008</v>
      </c>
      <c r="BM1" s="126" t="s">
        <v>2009</v>
      </c>
      <c r="BN1" s="126" t="s">
        <v>2010</v>
      </c>
      <c r="BO1" s="126" t="s">
        <v>2011</v>
      </c>
      <c r="BP1" s="126" t="s">
        <v>2012</v>
      </c>
      <c r="BQ1" s="126" t="s">
        <v>2013</v>
      </c>
      <c r="BR1" s="126" t="s">
        <v>2014</v>
      </c>
      <c r="BS1" s="126" t="s">
        <v>2015</v>
      </c>
      <c r="BT1" s="126" t="s">
        <v>2016</v>
      </c>
      <c r="BU1" s="126" t="s">
        <v>2017</v>
      </c>
      <c r="BV1" s="126" t="s">
        <v>2018</v>
      </c>
      <c r="BW1" s="126" t="s">
        <v>2019</v>
      </c>
      <c r="BX1" s="126" t="s">
        <v>2020</v>
      </c>
      <c r="BY1" s="126" t="s">
        <v>2021</v>
      </c>
      <c r="BZ1" s="126" t="s">
        <v>2022</v>
      </c>
      <c r="CA1" s="126" t="s">
        <v>2023</v>
      </c>
      <c r="CB1" s="126" t="s">
        <v>2024</v>
      </c>
      <c r="CC1" s="126" t="s">
        <v>2025</v>
      </c>
      <c r="CD1" s="126" t="s">
        <v>2026</v>
      </c>
      <c r="CE1" s="126" t="s">
        <v>2027</v>
      </c>
      <c r="CF1" s="126" t="s">
        <v>2028</v>
      </c>
      <c r="CG1" s="126" t="s">
        <v>2029</v>
      </c>
      <c r="CH1" s="126" t="s">
        <v>2030</v>
      </c>
      <c r="CI1" s="126" t="s">
        <v>2031</v>
      </c>
      <c r="CJ1" s="126" t="s">
        <v>2032</v>
      </c>
      <c r="CK1" s="126" t="s">
        <v>2033</v>
      </c>
      <c r="CL1" s="126" t="s">
        <v>2034</v>
      </c>
      <c r="CM1" s="126" t="s">
        <v>2035</v>
      </c>
      <c r="CN1" s="123" t="s">
        <v>2036</v>
      </c>
      <c r="CO1" s="123" t="s">
        <v>2037</v>
      </c>
      <c r="CP1" s="123" t="s">
        <v>2038</v>
      </c>
      <c r="CQ1" s="123" t="s">
        <v>2039</v>
      </c>
      <c r="CR1" s="127" t="s">
        <v>2040</v>
      </c>
      <c r="CS1" s="127" t="s">
        <v>2041</v>
      </c>
      <c r="CT1" s="123" t="s">
        <v>2042</v>
      </c>
      <c r="CU1" s="123" t="s">
        <v>2043</v>
      </c>
      <c r="CV1" s="123" t="s">
        <v>2044</v>
      </c>
      <c r="CW1" s="123" t="s">
        <v>2045</v>
      </c>
      <c r="CX1" s="123" t="s">
        <v>2046</v>
      </c>
      <c r="CY1" s="127" t="s">
        <v>2047</v>
      </c>
      <c r="CZ1" s="127" t="s">
        <v>2048</v>
      </c>
      <c r="DA1" s="123" t="s">
        <v>2049</v>
      </c>
      <c r="DB1" s="123" t="s">
        <v>2050</v>
      </c>
      <c r="DC1" s="123" t="s">
        <v>2051</v>
      </c>
      <c r="DD1" s="123" t="s">
        <v>2052</v>
      </c>
      <c r="DE1" s="123" t="s">
        <v>2053</v>
      </c>
      <c r="DF1" s="127" t="s">
        <v>2054</v>
      </c>
      <c r="DG1" s="127" t="s">
        <v>2055</v>
      </c>
      <c r="DH1" s="123" t="s">
        <v>2056</v>
      </c>
      <c r="DI1" s="123" t="s">
        <v>2057</v>
      </c>
      <c r="DJ1" s="123" t="s">
        <v>2058</v>
      </c>
      <c r="DK1" s="123" t="s">
        <v>2059</v>
      </c>
      <c r="DL1" s="123" t="s">
        <v>2060</v>
      </c>
      <c r="DM1" s="127" t="s">
        <v>2061</v>
      </c>
      <c r="DN1" s="127" t="s">
        <v>2062</v>
      </c>
      <c r="DO1" s="123" t="s">
        <v>2063</v>
      </c>
      <c r="DP1" s="123" t="s">
        <v>2064</v>
      </c>
      <c r="DQ1" s="123" t="s">
        <v>2065</v>
      </c>
      <c r="DR1" s="128" t="s">
        <v>2066</v>
      </c>
      <c r="DS1" s="126" t="s">
        <v>2067</v>
      </c>
      <c r="DT1" s="129" t="s">
        <v>2068</v>
      </c>
      <c r="DU1" s="129" t="s">
        <v>2069</v>
      </c>
      <c r="DV1" s="126" t="s">
        <v>2070</v>
      </c>
      <c r="DW1" s="126" t="s">
        <v>2071</v>
      </c>
      <c r="DX1" s="126" t="s">
        <v>2072</v>
      </c>
      <c r="DY1" s="126" t="s">
        <v>2073</v>
      </c>
      <c r="DZ1" s="126" t="s">
        <v>2074</v>
      </c>
      <c r="EA1" s="129" t="s">
        <v>2075</v>
      </c>
      <c r="EB1" s="129" t="s">
        <v>2076</v>
      </c>
      <c r="EC1" s="126" t="s">
        <v>2077</v>
      </c>
      <c r="ED1" s="126" t="s">
        <v>2078</v>
      </c>
      <c r="EE1" s="126" t="s">
        <v>2079</v>
      </c>
      <c r="EF1" s="126" t="s">
        <v>2080</v>
      </c>
      <c r="EG1" s="126" t="s">
        <v>2081</v>
      </c>
      <c r="EH1" s="129" t="s">
        <v>2082</v>
      </c>
      <c r="EI1" s="129" t="s">
        <v>2083</v>
      </c>
      <c r="EJ1" s="128" t="s">
        <v>2084</v>
      </c>
      <c r="EK1" s="126" t="s">
        <v>2085</v>
      </c>
      <c r="EL1" s="126" t="s">
        <v>2086</v>
      </c>
      <c r="EM1" s="126" t="s">
        <v>2087</v>
      </c>
      <c r="EN1" s="126" t="s">
        <v>2088</v>
      </c>
      <c r="EO1" s="129" t="s">
        <v>2089</v>
      </c>
      <c r="EP1" s="129" t="s">
        <v>2090</v>
      </c>
      <c r="EQ1" s="126" t="s">
        <v>2091</v>
      </c>
      <c r="ER1" s="126" t="s">
        <v>2092</v>
      </c>
      <c r="ES1" s="126" t="s">
        <v>2093</v>
      </c>
      <c r="ET1" s="126" t="s">
        <v>2094</v>
      </c>
      <c r="EU1" s="126" t="s">
        <v>2095</v>
      </c>
      <c r="EV1" s="129" t="s">
        <v>2096</v>
      </c>
      <c r="EW1" t="s">
        <v>2097</v>
      </c>
      <c r="EX1" t="s">
        <v>2098</v>
      </c>
      <c r="EY1" t="s">
        <v>2099</v>
      </c>
      <c r="EZ1" t="s">
        <v>2100</v>
      </c>
      <c r="FA1" t="s">
        <v>2101</v>
      </c>
      <c r="FB1" t="s">
        <v>2102</v>
      </c>
      <c r="FC1" t="s">
        <v>2103</v>
      </c>
      <c r="FD1" t="s">
        <v>2104</v>
      </c>
      <c r="FE1" t="s">
        <v>2105</v>
      </c>
      <c r="FF1" t="s">
        <v>2106</v>
      </c>
      <c r="FG1" t="s">
        <v>2107</v>
      </c>
      <c r="FH1" t="s">
        <v>2108</v>
      </c>
      <c r="FI1" t="s">
        <v>2109</v>
      </c>
      <c r="FJ1" t="s">
        <v>2110</v>
      </c>
      <c r="FK1" t="s">
        <v>2111</v>
      </c>
      <c r="FL1" t="s">
        <v>2112</v>
      </c>
      <c r="FM1" t="s">
        <v>2113</v>
      </c>
      <c r="FN1" t="s">
        <v>2114</v>
      </c>
      <c r="FO1" t="s">
        <v>2115</v>
      </c>
      <c r="FP1" t="s">
        <v>2116</v>
      </c>
      <c r="FQ1" t="s">
        <v>2117</v>
      </c>
      <c r="FR1" t="s">
        <v>2118</v>
      </c>
      <c r="FS1" t="s">
        <v>2119</v>
      </c>
      <c r="FT1" t="s">
        <v>2120</v>
      </c>
      <c r="FU1" t="s">
        <v>2121</v>
      </c>
      <c r="FV1" t="s">
        <v>2122</v>
      </c>
      <c r="FW1" t="s">
        <v>2123</v>
      </c>
      <c r="FX1" t="s">
        <v>2124</v>
      </c>
      <c r="FY1" t="s">
        <v>2125</v>
      </c>
      <c r="FZ1" t="s">
        <v>2126</v>
      </c>
      <c r="GA1" t="s">
        <v>2127</v>
      </c>
      <c r="GB1" t="s">
        <v>2128</v>
      </c>
      <c r="GC1" t="s">
        <v>2129</v>
      </c>
      <c r="GD1" t="s">
        <v>2130</v>
      </c>
      <c r="GE1" t="s">
        <v>2131</v>
      </c>
      <c r="GF1" t="s">
        <v>2132</v>
      </c>
      <c r="GG1" t="s">
        <v>2133</v>
      </c>
      <c r="GH1" t="s">
        <v>2134</v>
      </c>
      <c r="GI1" t="s">
        <v>2135</v>
      </c>
      <c r="GJ1" t="s">
        <v>2136</v>
      </c>
      <c r="GK1" t="s">
        <v>2137</v>
      </c>
      <c r="GL1" t="s">
        <v>2138</v>
      </c>
      <c r="GM1" t="s">
        <v>2139</v>
      </c>
      <c r="GN1" t="s">
        <v>2140</v>
      </c>
      <c r="GO1" t="s">
        <v>2141</v>
      </c>
      <c r="GP1" t="s">
        <v>2142</v>
      </c>
      <c r="GQ1" t="s">
        <v>2143</v>
      </c>
      <c r="GR1" t="s">
        <v>2144</v>
      </c>
      <c r="GS1" t="s">
        <v>2145</v>
      </c>
      <c r="GT1" t="s">
        <v>2146</v>
      </c>
      <c r="GU1" t="s">
        <v>2147</v>
      </c>
      <c r="GV1" t="s">
        <v>2148</v>
      </c>
      <c r="GW1" t="s">
        <v>2149</v>
      </c>
      <c r="GX1" t="s">
        <v>2150</v>
      </c>
      <c r="GY1" t="s">
        <v>2151</v>
      </c>
      <c r="GZ1" t="s">
        <v>2152</v>
      </c>
      <c r="HA1" t="s">
        <v>2153</v>
      </c>
      <c r="HB1" t="s">
        <v>2154</v>
      </c>
      <c r="HC1" t="s">
        <v>2155</v>
      </c>
      <c r="HD1" t="s">
        <v>2156</v>
      </c>
      <c r="HE1" t="s">
        <v>2157</v>
      </c>
      <c r="HF1" s="130" t="s">
        <v>2158</v>
      </c>
      <c r="HG1" s="130" t="s">
        <v>2159</v>
      </c>
      <c r="HH1" s="130" t="s">
        <v>2160</v>
      </c>
      <c r="HI1" s="130" t="s">
        <v>2161</v>
      </c>
      <c r="HJ1" s="130" t="s">
        <v>2162</v>
      </c>
      <c r="HK1" s="130" t="s">
        <v>2163</v>
      </c>
      <c r="HL1" s="130" t="s">
        <v>2164</v>
      </c>
      <c r="HM1" s="130" t="s">
        <v>2165</v>
      </c>
      <c r="HN1" s="130" t="s">
        <v>2166</v>
      </c>
      <c r="HO1" s="130" t="s">
        <v>2167</v>
      </c>
      <c r="HP1" s="130" t="s">
        <v>2168</v>
      </c>
      <c r="HQ1" s="130" t="s">
        <v>2169</v>
      </c>
      <c r="HR1" s="130" t="s">
        <v>2170</v>
      </c>
      <c r="HS1" s="130" t="s">
        <v>2171</v>
      </c>
      <c r="HT1" s="130" t="s">
        <v>2172</v>
      </c>
      <c r="HU1" s="130" t="s">
        <v>2173</v>
      </c>
      <c r="HV1" s="130" t="s">
        <v>2174</v>
      </c>
      <c r="HW1" s="130" t="s">
        <v>2175</v>
      </c>
      <c r="HX1" s="130" t="s">
        <v>2176</v>
      </c>
      <c r="HY1" s="130" t="s">
        <v>2177</v>
      </c>
      <c r="HZ1" s="130" t="s">
        <v>2178</v>
      </c>
      <c r="IA1" s="130" t="s">
        <v>2179</v>
      </c>
      <c r="IB1" s="130" t="s">
        <v>2180</v>
      </c>
      <c r="IC1" s="130" t="s">
        <v>2181</v>
      </c>
      <c r="ID1" s="130" t="s">
        <v>2182</v>
      </c>
      <c r="IE1" s="130" t="s">
        <v>2183</v>
      </c>
      <c r="IF1" s="130" t="s">
        <v>2184</v>
      </c>
      <c r="IG1" s="130" t="s">
        <v>2185</v>
      </c>
      <c r="IH1" s="130" t="s">
        <v>2186</v>
      </c>
      <c r="II1" s="130" t="s">
        <v>2187</v>
      </c>
      <c r="IJ1" s="130" t="s">
        <v>2188</v>
      </c>
      <c r="IK1" s="131" t="s">
        <v>2189</v>
      </c>
      <c r="IL1" s="131" t="s">
        <v>2190</v>
      </c>
      <c r="IM1" s="131" t="s">
        <v>2191</v>
      </c>
      <c r="IN1" s="132" t="s">
        <v>2192</v>
      </c>
      <c r="IO1" s="132" t="s">
        <v>2193</v>
      </c>
      <c r="IP1" s="131" t="s">
        <v>2194</v>
      </c>
      <c r="IQ1" s="131" t="s">
        <v>2195</v>
      </c>
      <c r="IR1" s="131" t="s">
        <v>2196</v>
      </c>
      <c r="IS1" s="131" t="s">
        <v>2197</v>
      </c>
      <c r="IT1" s="131" t="s">
        <v>2198</v>
      </c>
      <c r="IU1" s="132" t="s">
        <v>2199</v>
      </c>
      <c r="IV1" s="132" t="s">
        <v>2200</v>
      </c>
      <c r="IW1" s="131" t="s">
        <v>2201</v>
      </c>
      <c r="IX1" s="131" t="s">
        <v>2202</v>
      </c>
      <c r="IY1" s="131" t="s">
        <v>2203</v>
      </c>
      <c r="IZ1" s="131" t="s">
        <v>2204</v>
      </c>
      <c r="JA1" s="131" t="s">
        <v>2205</v>
      </c>
      <c r="JB1" s="132" t="s">
        <v>2206</v>
      </c>
      <c r="JC1" s="132" t="s">
        <v>2207</v>
      </c>
      <c r="JD1" s="131" t="s">
        <v>2208</v>
      </c>
      <c r="JE1" s="131" t="s">
        <v>2209</v>
      </c>
      <c r="JF1" s="131" t="s">
        <v>2210</v>
      </c>
      <c r="JG1" s="131" t="s">
        <v>2211</v>
      </c>
      <c r="JH1" s="131" t="s">
        <v>2212</v>
      </c>
      <c r="JI1" s="132" t="s">
        <v>2213</v>
      </c>
      <c r="JJ1" s="132" t="s">
        <v>2214</v>
      </c>
      <c r="JK1" s="131" t="s">
        <v>2215</v>
      </c>
      <c r="JL1" s="133" t="s">
        <v>2216</v>
      </c>
      <c r="JM1" s="133" t="s">
        <v>2217</v>
      </c>
      <c r="JN1" s="131" t="s">
        <v>2218</v>
      </c>
      <c r="JO1" s="131" t="s">
        <v>2219</v>
      </c>
      <c r="JP1" s="134" t="s">
        <v>2220</v>
      </c>
      <c r="JQ1" s="134" t="s">
        <v>2221</v>
      </c>
      <c r="JR1" s="126" t="s">
        <v>2222</v>
      </c>
      <c r="JS1" s="126" t="s">
        <v>2223</v>
      </c>
      <c r="JT1" s="126" t="s">
        <v>2224</v>
      </c>
      <c r="JU1" s="126" t="s">
        <v>2225</v>
      </c>
      <c r="JV1" s="126" t="s">
        <v>2226</v>
      </c>
      <c r="JW1" s="134" t="s">
        <v>2227</v>
      </c>
      <c r="JX1" s="134" t="s">
        <v>2228</v>
      </c>
      <c r="JY1" s="126" t="s">
        <v>2229</v>
      </c>
      <c r="JZ1" s="126" t="s">
        <v>2230</v>
      </c>
      <c r="KA1" s="126" t="s">
        <v>2231</v>
      </c>
      <c r="KB1" s="126" t="s">
        <v>2232</v>
      </c>
      <c r="KC1" s="126" t="s">
        <v>2233</v>
      </c>
      <c r="KD1" s="134" t="s">
        <v>2234</v>
      </c>
      <c r="KE1" s="134" t="s">
        <v>2235</v>
      </c>
      <c r="KF1" s="126" t="s">
        <v>2236</v>
      </c>
      <c r="KG1" s="126" t="s">
        <v>2237</v>
      </c>
      <c r="KH1" s="126" t="s">
        <v>2238</v>
      </c>
      <c r="KI1" s="126" t="s">
        <v>2239</v>
      </c>
      <c r="KJ1" s="126" t="s">
        <v>2240</v>
      </c>
      <c r="KK1" s="134" t="s">
        <v>2241</v>
      </c>
      <c r="KL1" s="134" t="s">
        <v>2242</v>
      </c>
      <c r="KM1" s="126" t="s">
        <v>2243</v>
      </c>
      <c r="KN1" s="126" t="s">
        <v>2244</v>
      </c>
      <c r="KO1" s="126" t="s">
        <v>2245</v>
      </c>
      <c r="KP1" s="126" t="s">
        <v>2246</v>
      </c>
      <c r="KQ1" s="126" t="s">
        <v>2247</v>
      </c>
      <c r="KR1" s="134" t="s">
        <v>2248</v>
      </c>
      <c r="KS1" s="134" t="s">
        <v>2249</v>
      </c>
      <c r="KT1" s="135" t="s">
        <v>2250</v>
      </c>
      <c r="KU1" s="135" t="s">
        <v>2251</v>
      </c>
      <c r="KV1" s="135" t="s">
        <v>2252</v>
      </c>
      <c r="KW1" s="135" t="s">
        <v>2253</v>
      </c>
      <c r="KX1" s="135" t="s">
        <v>2254</v>
      </c>
      <c r="KY1" s="136" t="s">
        <v>2255</v>
      </c>
      <c r="KZ1" s="136" t="s">
        <v>2256</v>
      </c>
      <c r="LA1" s="135" t="s">
        <v>2257</v>
      </c>
      <c r="LB1" s="135" t="s">
        <v>2258</v>
      </c>
      <c r="LC1" s="135" t="s">
        <v>2259</v>
      </c>
      <c r="LD1" s="135" t="s">
        <v>2260</v>
      </c>
      <c r="LE1" s="135" t="s">
        <v>2261</v>
      </c>
      <c r="LF1" s="136" t="s">
        <v>2262</v>
      </c>
      <c r="LG1" s="136" t="s">
        <v>2263</v>
      </c>
      <c r="LH1" s="135" t="s">
        <v>2264</v>
      </c>
      <c r="LI1" s="135" t="s">
        <v>2265</v>
      </c>
      <c r="LJ1" s="135" t="s">
        <v>2266</v>
      </c>
      <c r="LK1" s="135" t="s">
        <v>2267</v>
      </c>
      <c r="LL1" s="135" t="s">
        <v>2268</v>
      </c>
      <c r="LM1" s="136" t="s">
        <v>2269</v>
      </c>
      <c r="LN1" s="136" t="s">
        <v>2270</v>
      </c>
      <c r="LO1" s="135" t="s">
        <v>2271</v>
      </c>
      <c r="LP1" s="135" t="s">
        <v>2272</v>
      </c>
      <c r="LQ1" s="135" t="s">
        <v>2273</v>
      </c>
      <c r="LR1" s="135" t="s">
        <v>2274</v>
      </c>
      <c r="LS1" s="135" t="s">
        <v>2275</v>
      </c>
      <c r="LT1" s="136" t="s">
        <v>2276</v>
      </c>
      <c r="LU1" s="136" t="s">
        <v>2277</v>
      </c>
      <c r="LV1" s="135" t="s">
        <v>2278</v>
      </c>
      <c r="LW1" s="135" t="s">
        <v>2279</v>
      </c>
      <c r="LX1" s="135" t="s">
        <v>2280</v>
      </c>
    </row>
    <row r="2" spans="1:336">
      <c r="A2" s="137" t="s">
        <v>2281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2282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2283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2284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2285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2286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1890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2287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2286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HG1" workbookViewId="0">
      <selection activeCell="HP12" sqref="HP12:HP14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247997.08220793301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7">
        <v>1350.6658848392622</v>
      </c>
      <c r="HQ9" s="7">
        <v>1418.4233942753203</v>
      </c>
      <c r="HR9" s="7">
        <v>1496.6554189243263</v>
      </c>
      <c r="HS9" s="7">
        <v>1792.635309515998</v>
      </c>
      <c r="HT9" s="7">
        <v>2207.75</v>
      </c>
      <c r="HU9" s="7">
        <v>1966.6666666666667</v>
      </c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25818525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7">
        <v>125495</v>
      </c>
      <c r="HQ10" s="7">
        <v>129773</v>
      </c>
      <c r="HR10" s="7">
        <v>134005</v>
      </c>
      <c r="HS10" s="7">
        <v>152972</v>
      </c>
      <c r="HT10" s="7">
        <v>175241</v>
      </c>
      <c r="HU10" s="7">
        <v>165762</v>
      </c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104.10818050815804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HV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7">
        <f t="shared" si="22"/>
        <v>92.913429893089145</v>
      </c>
      <c r="HQ11" s="7">
        <f t="shared" si="22"/>
        <v>91.49101779042617</v>
      </c>
      <c r="HR11" s="7">
        <f t="shared" si="22"/>
        <v>89.53630762671601</v>
      </c>
      <c r="HS11" s="7">
        <f t="shared" si="22"/>
        <v>85.333586361914087</v>
      </c>
      <c r="HT11" s="7">
        <f t="shared" si="22"/>
        <v>79.375382176423955</v>
      </c>
      <c r="HU11" s="7">
        <f t="shared" si="22"/>
        <v>84.285762711864407</v>
      </c>
      <c r="HV11" s="7" t="str">
        <f t="shared" si="22"/>
        <v/>
      </c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HP12" s="20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HP13" s="20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GU14" s="20"/>
      <c r="HB14" s="20"/>
      <c r="HC14" s="68"/>
      <c r="HD14" s="25"/>
      <c r="HI14" s="20"/>
      <c r="HP14" s="20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HI1" workbookViewId="0">
      <selection activeCell="HP12" sqref="HP12:HP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354459.66388460435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P9" s="7">
        <v>1921.1666666666667</v>
      </c>
      <c r="HQ9" s="7">
        <v>2012.9409644643229</v>
      </c>
      <c r="HR9" s="7">
        <v>2061.1855667731375</v>
      </c>
      <c r="HS9" s="7">
        <v>2150.8333333333335</v>
      </c>
      <c r="HT9" s="7">
        <v>2045.4447271573983</v>
      </c>
      <c r="HU9" s="7">
        <v>1891.5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28253090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HP10" s="7">
        <v>128815</v>
      </c>
      <c r="HQ10" s="7">
        <v>135823</v>
      </c>
      <c r="HR10" s="7">
        <v>139700</v>
      </c>
      <c r="HS10" s="7">
        <v>170366</v>
      </c>
      <c r="HT10" s="7">
        <v>150495</v>
      </c>
      <c r="HU10" s="7">
        <v>152560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79.707489677014138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U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P11" s="20">
        <f t="shared" si="23"/>
        <v>67.050403400711375</v>
      </c>
      <c r="HQ11" s="20">
        <f t="shared" si="23"/>
        <v>67.474904827198827</v>
      </c>
      <c r="HR11" s="20">
        <f t="shared" si="23"/>
        <v>67.776527379194462</v>
      </c>
      <c r="HS11" s="20">
        <f t="shared" si="23"/>
        <v>79.209298721425796</v>
      </c>
      <c r="HT11" s="20">
        <f t="shared" si="23"/>
        <v>73.575686500776953</v>
      </c>
      <c r="HU11" s="20">
        <f t="shared" si="23"/>
        <v>80.655564366904571</v>
      </c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>
      <c r="F17" s="7"/>
      <c r="N17" s="7"/>
      <c r="O17" s="7"/>
      <c r="P17" s="7"/>
      <c r="Q17" s="7"/>
      <c r="R17" s="7"/>
      <c r="S17" s="7"/>
    </row>
    <row r="18" spans="6:34">
      <c r="F18" s="47"/>
      <c r="N18" s="20"/>
      <c r="O18" s="20"/>
      <c r="P18" s="20"/>
      <c r="Q18" s="20"/>
      <c r="R18" s="20"/>
      <c r="S18" s="20"/>
      <c r="U18" s="20"/>
    </row>
    <row r="19" spans="6:34">
      <c r="N19" s="7"/>
      <c r="O19" s="7"/>
      <c r="P19" s="7"/>
      <c r="Q19" s="7"/>
      <c r="R19" s="7"/>
      <c r="S19" s="7"/>
      <c r="U19" s="20"/>
    </row>
    <row r="20" spans="6:34">
      <c r="N20" s="20"/>
      <c r="O20" s="20"/>
      <c r="P20" s="20"/>
      <c r="Q20" s="20"/>
      <c r="R20" s="20"/>
      <c r="S20" s="20"/>
    </row>
    <row r="25" spans="6:34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1880</v>
      </c>
      <c r="D1" s="138" t="s">
        <v>453</v>
      </c>
      <c r="E1" s="79" t="s">
        <v>1448</v>
      </c>
      <c r="J1" s="115" t="s">
        <v>1940</v>
      </c>
      <c r="K1" t="s">
        <v>1939</v>
      </c>
    </row>
    <row r="2" spans="1:12">
      <c r="A2" s="62" t="s">
        <v>1881</v>
      </c>
      <c r="B2" s="62"/>
      <c r="C2" s="102">
        <v>11</v>
      </c>
      <c r="D2" s="2">
        <v>82.5</v>
      </c>
      <c r="E2" t="s">
        <v>450</v>
      </c>
      <c r="F2" s="112" t="s">
        <v>1936</v>
      </c>
      <c r="G2" s="112" t="s">
        <v>1937</v>
      </c>
      <c r="H2" s="49" t="s">
        <v>1459</v>
      </c>
      <c r="I2" t="s">
        <v>1449</v>
      </c>
      <c r="J2" t="s">
        <v>1462</v>
      </c>
      <c r="K2" t="s">
        <v>1938</v>
      </c>
    </row>
    <row r="3" spans="1:12">
      <c r="A3" s="62" t="s">
        <v>1882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1941</v>
      </c>
    </row>
    <row r="4" spans="1:12">
      <c r="A4" s="62" t="s">
        <v>1883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1942</v>
      </c>
    </row>
    <row r="5" spans="1:12">
      <c r="A5" s="62" t="s">
        <v>1884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1943</v>
      </c>
    </row>
    <row r="6" spans="1:12">
      <c r="A6" s="62" t="s">
        <v>1885</v>
      </c>
      <c r="B6" s="62"/>
      <c r="C6" s="102">
        <v>52</v>
      </c>
      <c r="D6" s="2">
        <v>390</v>
      </c>
      <c r="E6" t="s">
        <v>450</v>
      </c>
      <c r="H6" s="48" t="s">
        <v>1460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1886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1887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1888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1889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1892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1892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1892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1892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1895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1895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1895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1895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1895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1895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1895</v>
      </c>
      <c r="B21" s="1">
        <v>46005</v>
      </c>
      <c r="E21" t="s">
        <v>452</v>
      </c>
    </row>
    <row r="22" spans="1:5">
      <c r="A22" s="62" t="s">
        <v>1896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1896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1896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1896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1896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1896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1896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2288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2288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2288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2288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2288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2288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2288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HM1" workbookViewId="0">
      <selection activeCell="HP12" sqref="HP12:HP15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26994.249999999993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P9" s="2">
        <v>110.25</v>
      </c>
      <c r="HQ9" s="2">
        <v>110.5</v>
      </c>
      <c r="HR9" s="2">
        <v>88</v>
      </c>
      <c r="HS9" s="2">
        <v>95.5</v>
      </c>
      <c r="HT9" s="2">
        <v>100</v>
      </c>
      <c r="HU9" s="2">
        <v>82.5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1872884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HP10" s="7">
        <v>5650</v>
      </c>
      <c r="HQ10" s="7">
        <v>1123</v>
      </c>
      <c r="HR10" s="7">
        <v>1336</v>
      </c>
      <c r="HS10" s="7">
        <v>8589</v>
      </c>
      <c r="HT10" s="7">
        <v>7291</v>
      </c>
      <c r="HU10" s="7">
        <v>7896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69.380849625383206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HV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P11" s="3">
        <f t="shared" si="17"/>
        <v>51.247165532879819</v>
      </c>
      <c r="HQ11" s="3">
        <f t="shared" si="17"/>
        <v>10.162895927601809</v>
      </c>
      <c r="HR11" s="3">
        <f t="shared" si="17"/>
        <v>15.181818181818182</v>
      </c>
      <c r="HS11" s="3">
        <f t="shared" si="17"/>
        <v>89.937172774869111</v>
      </c>
      <c r="HT11" s="3">
        <f t="shared" si="17"/>
        <v>72.91</v>
      </c>
      <c r="HU11" s="3">
        <f t="shared" si="17"/>
        <v>95.709090909090904</v>
      </c>
      <c r="HV11" s="3" t="str">
        <f t="shared" si="17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HP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HP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HP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HM4" zoomScaleNormal="100" workbookViewId="0">
      <selection activeCell="HP12" sqref="HP12:HP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53942.66666666665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P9" s="2">
        <v>278.25</v>
      </c>
      <c r="HQ9" s="2">
        <v>233.66666666666669</v>
      </c>
      <c r="HR9" s="2">
        <v>241.5</v>
      </c>
      <c r="HS9" s="2">
        <v>363.83333333333337</v>
      </c>
      <c r="HT9" s="2">
        <v>394.75</v>
      </c>
      <c r="HU9" s="2">
        <v>433.75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7215461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HP10" s="7">
        <v>29303</v>
      </c>
      <c r="HQ10" s="7">
        <v>30279</v>
      </c>
      <c r="HR10" s="7">
        <v>28181</v>
      </c>
      <c r="HS10" s="7">
        <v>39836</v>
      </c>
      <c r="HT10" s="7">
        <v>39524</v>
      </c>
      <c r="HU10" s="7">
        <v>36885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133.7616667078627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HV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P11" s="2">
        <f t="shared" si="18"/>
        <v>105.31176999101527</v>
      </c>
      <c r="HQ11" s="2">
        <f t="shared" si="18"/>
        <v>129.58202567760341</v>
      </c>
      <c r="HR11" s="2">
        <f t="shared" si="18"/>
        <v>116.69151138716356</v>
      </c>
      <c r="HS11" s="2">
        <f t="shared" si="18"/>
        <v>109.4896930829134</v>
      </c>
      <c r="HT11" s="2">
        <f t="shared" si="18"/>
        <v>100.12412919569347</v>
      </c>
      <c r="HU11" s="2">
        <f t="shared" si="18"/>
        <v>85.037463976945247</v>
      </c>
      <c r="HV11" s="2" t="str">
        <f t="shared" si="18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HP12" s="20"/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HP14" s="20"/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HO1" workbookViewId="0">
      <selection activeCell="HP12" sqref="HP12:HP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32615.833333333328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P9" s="2">
        <v>225</v>
      </c>
      <c r="HQ9" s="2">
        <v>223.75000000000003</v>
      </c>
      <c r="HR9" s="2">
        <v>202.5</v>
      </c>
      <c r="HS9" s="2">
        <v>202.5</v>
      </c>
      <c r="HT9" s="2">
        <v>217.5</v>
      </c>
      <c r="HU9" s="2">
        <v>210</v>
      </c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19261573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2">
        <v>124804</v>
      </c>
      <c r="HC10" s="102">
        <v>147073</v>
      </c>
      <c r="HD10" s="102">
        <v>82644</v>
      </c>
      <c r="HE10" s="102">
        <v>137438</v>
      </c>
      <c r="HF10" s="102">
        <v>81617</v>
      </c>
      <c r="HG10" s="102">
        <v>81112</v>
      </c>
      <c r="HI10" s="102">
        <v>124029</v>
      </c>
      <c r="HJ10" s="102">
        <v>130322</v>
      </c>
      <c r="HK10" s="102">
        <v>136082</v>
      </c>
      <c r="HL10" s="102">
        <v>135872</v>
      </c>
      <c r="HM10" s="102">
        <v>131643</v>
      </c>
      <c r="HN10" s="102">
        <v>135759</v>
      </c>
      <c r="HO10" s="102">
        <v>95744</v>
      </c>
      <c r="HP10" s="102">
        <v>142511</v>
      </c>
      <c r="HQ10" s="102">
        <v>133653</v>
      </c>
      <c r="HR10" s="102">
        <v>112844</v>
      </c>
      <c r="HS10" s="102">
        <v>128778</v>
      </c>
      <c r="HT10" s="102">
        <v>118888</v>
      </c>
      <c r="HU10" s="102">
        <v>127675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590.55897186949085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HV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P11" s="7">
        <f t="shared" si="24"/>
        <v>633.38222222222225</v>
      </c>
      <c r="HQ11" s="7">
        <f t="shared" si="24"/>
        <v>597.33184357541893</v>
      </c>
      <c r="HR11" s="7">
        <f t="shared" si="24"/>
        <v>557.2543209876543</v>
      </c>
      <c r="HS11" s="7">
        <f t="shared" si="24"/>
        <v>635.94074074074069</v>
      </c>
      <c r="HT11" s="7">
        <f t="shared" si="24"/>
        <v>546.61149425287351</v>
      </c>
      <c r="HU11" s="7">
        <f t="shared" si="24"/>
        <v>607.97619047619048</v>
      </c>
      <c r="HV11" s="7" t="str">
        <f t="shared" si="24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8"/>
      <c r="DN12" s="228"/>
      <c r="DO12" s="20"/>
      <c r="DV12" s="20"/>
      <c r="EC12" s="20"/>
      <c r="EF12" s="228"/>
      <c r="EG12" s="228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U12" s="20"/>
      <c r="GX12" s="94"/>
      <c r="GY12" s="94"/>
      <c r="HB12" s="20"/>
      <c r="HI12" s="20"/>
      <c r="HK12" s="24"/>
      <c r="HL12" s="41"/>
      <c r="HN12" s="24"/>
      <c r="HO12" s="25"/>
      <c r="HP12" s="20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8"/>
      <c r="DT13" s="228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25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HP13" s="20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25"/>
      <c r="GS14" s="24"/>
      <c r="GT14" s="26"/>
      <c r="GU14" s="20"/>
      <c r="GW14" s="77"/>
      <c r="GX14" s="113"/>
      <c r="GY14" s="41"/>
      <c r="HA14" s="94"/>
      <c r="HB14" s="20"/>
      <c r="HC14" s="94"/>
      <c r="HH14" s="74"/>
      <c r="HI14" s="20"/>
      <c r="HK14" s="24"/>
      <c r="HL14" s="41"/>
      <c r="HN14" s="24"/>
      <c r="HO14" s="25"/>
      <c r="HP14" s="20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W15" s="77"/>
      <c r="GX15" s="113"/>
      <c r="GY15" s="41"/>
      <c r="HA15" s="24"/>
      <c r="HB15" s="94"/>
      <c r="HC15" s="25"/>
      <c r="HD15" s="74"/>
      <c r="HE15" s="74"/>
      <c r="HH15" s="223"/>
      <c r="HI15" s="78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W16" s="77"/>
      <c r="GX16" s="113"/>
      <c r="GY16" s="41"/>
      <c r="HA16" s="24"/>
      <c r="HB16" s="94"/>
      <c r="HC16" s="25"/>
      <c r="HD16" s="77"/>
      <c r="HE16" s="78"/>
      <c r="HH16" s="223"/>
      <c r="HI16" s="78"/>
      <c r="HN16" s="24"/>
      <c r="HO16" s="26"/>
      <c r="HR16" s="74"/>
      <c r="HS16" s="74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W17" s="77"/>
      <c r="GX17" s="113"/>
      <c r="GY17" s="41"/>
      <c r="HA17" s="24"/>
      <c r="HB17" s="94"/>
      <c r="HC17" s="25"/>
      <c r="HD17" s="77"/>
      <c r="HE17" s="78"/>
      <c r="HH17" s="223"/>
      <c r="HI17" s="78"/>
      <c r="HR17" s="77"/>
      <c r="HS17" s="113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W18" s="77"/>
      <c r="GX18" s="113"/>
      <c r="GY18" s="94"/>
      <c r="HA18" s="24"/>
      <c r="HB18" s="94"/>
      <c r="HC18" s="25"/>
      <c r="HD18" s="77"/>
      <c r="HE18" s="78"/>
      <c r="HH18" s="223"/>
      <c r="HI18" s="78"/>
      <c r="HR18" s="77"/>
      <c r="HS18" s="113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GW19" s="77"/>
      <c r="GX19" s="113"/>
      <c r="HA19" s="24"/>
      <c r="HB19" s="94"/>
      <c r="HC19" s="25"/>
      <c r="HD19" s="77"/>
      <c r="HE19" s="78"/>
      <c r="HH19" s="223"/>
      <c r="HI19" s="78"/>
      <c r="HR19" s="77"/>
      <c r="HS19" s="113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GW20" s="77"/>
      <c r="GX20" s="74"/>
      <c r="HA20" s="24"/>
      <c r="HB20" s="94"/>
      <c r="HC20" s="26"/>
      <c r="HD20" s="77"/>
      <c r="HE20" s="78"/>
      <c r="HH20" s="223"/>
      <c r="HI20" s="191"/>
      <c r="HR20" s="77"/>
      <c r="HS20" s="113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HD21" s="77"/>
      <c r="HE21" s="191"/>
      <c r="HH21" s="223"/>
      <c r="HI21" s="191"/>
      <c r="HR21" s="77"/>
      <c r="HS21" s="113"/>
      <c r="IR21" s="24"/>
      <c r="IS21" s="94"/>
      <c r="IT21" s="25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HR22" s="77"/>
      <c r="HS22" s="74"/>
      <c r="IR22" s="24"/>
      <c r="IS22" s="94"/>
      <c r="IT22" s="25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R23" s="24"/>
      <c r="IS23" s="94"/>
      <c r="IT23" s="25"/>
      <c r="KQ23" s="53"/>
    </row>
    <row r="24" spans="5:364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>
      <c r="CW26" s="163"/>
      <c r="CX26"/>
      <c r="EE26" s="218"/>
      <c r="EF26" s="74"/>
    </row>
    <row r="27" spans="5:364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abSelected="1" topLeftCell="HK1" workbookViewId="0">
      <selection activeCell="HQ17" sqref="HQ17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32" t="s">
        <v>34</v>
      </c>
      <c r="HQ8" s="32" t="s">
        <v>34</v>
      </c>
      <c r="HR8" s="32" t="s">
        <v>34</v>
      </c>
      <c r="HS8" s="32" t="s">
        <v>34</v>
      </c>
      <c r="HT8" s="32" t="s">
        <v>34</v>
      </c>
      <c r="HU8" s="32" t="s">
        <v>34</v>
      </c>
      <c r="HV8" s="32" t="s">
        <v>34</v>
      </c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72150.500000000015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2">
        <v>385.66666666666669</v>
      </c>
      <c r="HQ9" s="2">
        <v>437.08333333333331</v>
      </c>
      <c r="HR9" s="2">
        <v>444.66666666666663</v>
      </c>
      <c r="HS9" s="2">
        <v>427.00000000000006</v>
      </c>
      <c r="HT9" s="2">
        <v>439.16666666666663</v>
      </c>
      <c r="HU9" s="2">
        <v>343.41666666666669</v>
      </c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1897262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102">
        <v>13920</v>
      </c>
      <c r="GV10" s="102">
        <v>9412</v>
      </c>
      <c r="GW10" s="102">
        <v>10303</v>
      </c>
      <c r="GX10" s="102">
        <v>11275</v>
      </c>
      <c r="GY10" s="102">
        <v>9995</v>
      </c>
      <c r="GZ10" s="102">
        <v>9839</v>
      </c>
      <c r="HA10" s="8"/>
      <c r="HB10" s="102">
        <v>10771</v>
      </c>
      <c r="HC10" s="102">
        <v>9101</v>
      </c>
      <c r="HD10" s="102">
        <v>11975</v>
      </c>
      <c r="HE10" s="102">
        <v>12636</v>
      </c>
      <c r="HF10" s="102">
        <v>11445</v>
      </c>
      <c r="HG10" s="102">
        <v>11202</v>
      </c>
      <c r="HH10" s="8"/>
      <c r="HI10" s="102">
        <v>13634</v>
      </c>
      <c r="HJ10" s="102">
        <v>7721</v>
      </c>
      <c r="HK10" s="102">
        <v>10498</v>
      </c>
      <c r="HL10" s="102">
        <v>10570</v>
      </c>
      <c r="HM10" s="102">
        <v>10398</v>
      </c>
      <c r="HN10" s="102">
        <v>12082</v>
      </c>
      <c r="HO10" s="8"/>
      <c r="HP10" s="102">
        <v>10703</v>
      </c>
      <c r="HQ10" s="102">
        <v>12010</v>
      </c>
      <c r="HR10" s="102">
        <v>10116</v>
      </c>
      <c r="HS10" s="102">
        <v>10955</v>
      </c>
      <c r="HT10" s="102">
        <v>12460</v>
      </c>
      <c r="HU10" s="102">
        <v>9408</v>
      </c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26.295895385340359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HV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102">
        <f t="shared" si="16"/>
        <v>31.762692527096402</v>
      </c>
      <c r="GV11" s="102">
        <f t="shared" si="16"/>
        <v>20.449755567626287</v>
      </c>
      <c r="GW11" s="102">
        <f t="shared" si="16"/>
        <v>22.329059057251214</v>
      </c>
      <c r="GX11" s="102">
        <f t="shared" si="16"/>
        <v>25.969289827255281</v>
      </c>
      <c r="GY11" s="102">
        <f t="shared" si="16"/>
        <v>21.839038601602326</v>
      </c>
      <c r="GZ11" s="102">
        <f t="shared" si="16"/>
        <v>36.508348794063082</v>
      </c>
      <c r="HA11" s="102"/>
      <c r="HB11" s="102">
        <f t="shared" si="16"/>
        <v>23.663859392164035</v>
      </c>
      <c r="HC11" s="102">
        <f t="shared" si="16"/>
        <v>20.949932860157293</v>
      </c>
      <c r="HD11" s="102">
        <f t="shared" si="16"/>
        <v>26.955543050084408</v>
      </c>
      <c r="HE11" s="102">
        <f t="shared" si="16"/>
        <v>29.374660984114676</v>
      </c>
      <c r="HF11" s="102">
        <f t="shared" si="16"/>
        <v>26.164983806439317</v>
      </c>
      <c r="HG11" s="102">
        <f t="shared" si="16"/>
        <v>39.4089709762533</v>
      </c>
      <c r="HH11" s="102" t="str">
        <f t="shared" si="16"/>
        <v/>
      </c>
      <c r="HI11" s="102">
        <f t="shared" si="16"/>
        <v>32.327208061647895</v>
      </c>
      <c r="HJ11" s="102">
        <f t="shared" si="16"/>
        <v>19.86535162950257</v>
      </c>
      <c r="HK11" s="102">
        <f t="shared" si="16"/>
        <v>26.206781776575824</v>
      </c>
      <c r="HL11" s="102">
        <f t="shared" si="16"/>
        <v>26.266307724166488</v>
      </c>
      <c r="HM11" s="102">
        <f t="shared" si="16"/>
        <v>29.146461107217938</v>
      </c>
      <c r="HN11" s="102">
        <f t="shared" si="16"/>
        <v>51.050704225352106</v>
      </c>
      <c r="HO11" s="102">
        <f t="shared" si="16"/>
        <v>0</v>
      </c>
      <c r="HP11" s="102">
        <f t="shared" si="16"/>
        <v>27.751944684528954</v>
      </c>
      <c r="HQ11" s="102">
        <f t="shared" si="16"/>
        <v>27.477597712106771</v>
      </c>
      <c r="HR11" s="102">
        <f t="shared" si="16"/>
        <v>22.749625187406298</v>
      </c>
      <c r="HS11" s="102">
        <f t="shared" si="16"/>
        <v>25.655737704918028</v>
      </c>
      <c r="HT11" s="102">
        <f t="shared" si="16"/>
        <v>28.371916508538902</v>
      </c>
      <c r="HU11" s="102">
        <f t="shared" si="16"/>
        <v>27.395292404756127</v>
      </c>
      <c r="HV11" s="102" t="str">
        <f t="shared" si="16"/>
        <v/>
      </c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30"/>
      <c r="EF12" s="230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0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9"/>
      <c r="DT13" s="229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U13" s="36"/>
      <c r="GZ13" s="24"/>
      <c r="HA13" s="25"/>
      <c r="HB13" s="20"/>
      <c r="HC13" s="8"/>
      <c r="HI13" s="20"/>
      <c r="HJ13" s="119"/>
      <c r="HK13" s="25"/>
      <c r="HO13" s="24"/>
      <c r="HP13" s="20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20"/>
      <c r="HC14" s="97"/>
      <c r="HI14" s="20"/>
      <c r="HJ14" s="78"/>
      <c r="HK14" s="25"/>
      <c r="HO14" s="24"/>
      <c r="HP14" s="20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Q16" s="164"/>
      <c r="HR1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9"/>
      <c r="HD17" s="119"/>
      <c r="HI17" s="77"/>
      <c r="HJ17" s="78"/>
      <c r="HO17" s="8"/>
      <c r="HP17" s="8"/>
      <c r="HQ17"/>
      <c r="HR17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1"/>
      <c r="HI18" s="77"/>
      <c r="HJ18" s="78"/>
      <c r="HO18" s="8"/>
      <c r="HP18" s="8"/>
      <c r="HQ18" s="168"/>
      <c r="HR18" s="16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1"/>
      <c r="HQ19" s="169"/>
      <c r="HR19" s="167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GU20" s="77"/>
      <c r="GV20" s="78"/>
      <c r="HB20" s="54"/>
      <c r="HC20" s="77"/>
      <c r="HD20" s="191"/>
      <c r="HQ20" s="169"/>
      <c r="HR20" s="167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GU21" s="77"/>
      <c r="GV21" s="78"/>
      <c r="HB21" s="8"/>
      <c r="HC21" s="77"/>
      <c r="HD21" s="191"/>
      <c r="HQ21" s="169"/>
      <c r="HR21" s="167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1"/>
      <c r="HQ22" s="169"/>
      <c r="HR22" s="167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77"/>
      <c r="HD23" s="191"/>
      <c r="HQ23" s="169"/>
      <c r="HR23" s="167"/>
      <c r="IR23" s="24"/>
      <c r="IS23" s="94"/>
      <c r="IT23" s="94"/>
      <c r="IU23" s="25"/>
      <c r="MM23" s="57"/>
      <c r="MN23" s="8"/>
    </row>
    <row r="24" spans="6:352" ht="16.8">
      <c r="J24"/>
      <c r="K24"/>
      <c r="AI24"/>
      <c r="AJ24"/>
      <c r="DS24" s="57"/>
      <c r="DT24" s="8"/>
      <c r="ED24" s="77"/>
      <c r="EE24" s="78"/>
      <c r="HB24" s="57"/>
      <c r="HC24" s="8"/>
      <c r="HQ24" s="169"/>
      <c r="HR24" s="81"/>
      <c r="IR24" s="24"/>
      <c r="IS24" s="94"/>
      <c r="IT24" s="94"/>
      <c r="IU24" s="25"/>
    </row>
    <row r="25" spans="6:352">
      <c r="J25" s="164"/>
      <c r="K25"/>
      <c r="AI25"/>
      <c r="AJ25"/>
      <c r="ED25" s="77"/>
      <c r="EE25" s="78"/>
      <c r="HQ25"/>
      <c r="HR25"/>
      <c r="IR25" s="24"/>
      <c r="IS25" s="94"/>
      <c r="IT25" s="94"/>
      <c r="IU25" s="25"/>
    </row>
    <row r="26" spans="6:352">
      <c r="J26" s="163"/>
      <c r="K26"/>
      <c r="ED26" s="77"/>
      <c r="EE26" s="191"/>
      <c r="HQ26" s="164"/>
      <c r="HR26"/>
      <c r="IR26" s="24"/>
      <c r="IS26" s="94"/>
      <c r="IT26" s="94"/>
      <c r="IU26" s="26"/>
    </row>
    <row r="27" spans="6:352">
      <c r="J27" s="163"/>
      <c r="K27"/>
      <c r="HQ27" s="163"/>
      <c r="HR27"/>
      <c r="IU27" s="38"/>
    </row>
    <row r="28" spans="6:352">
      <c r="EE28" s="38"/>
      <c r="HQ28" s="163"/>
      <c r="HR2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9F41-6DB3-45CB-A0E4-6C0F1FBF94AB}">
  <dimension ref="A1:I863"/>
  <sheetViews>
    <sheetView workbookViewId="0">
      <selection sqref="A1:I1048576"/>
    </sheetView>
  </sheetViews>
  <sheetFormatPr defaultRowHeight="14.4"/>
  <cols>
    <col min="3" max="3" width="26.88671875" bestFit="1" customWidth="1"/>
    <col min="7" max="7" width="38.21875" bestFit="1" customWidth="1"/>
  </cols>
  <sheetData>
    <row r="1" spans="1:9">
      <c r="A1" t="s">
        <v>1461</v>
      </c>
      <c r="B1" t="s">
        <v>2586</v>
      </c>
      <c r="C1" t="s">
        <v>1450</v>
      </c>
      <c r="D1" t="s">
        <v>1463</v>
      </c>
      <c r="E1" t="s">
        <v>1451</v>
      </c>
      <c r="F1" t="s">
        <v>1563</v>
      </c>
      <c r="G1" t="s">
        <v>1452</v>
      </c>
      <c r="H1" t="s">
        <v>2489</v>
      </c>
      <c r="I1" t="s">
        <v>1452</v>
      </c>
    </row>
    <row r="2" spans="1:9">
      <c r="A2">
        <v>145116</v>
      </c>
      <c r="B2" t="s">
        <v>459</v>
      </c>
      <c r="C2" t="s">
        <v>460</v>
      </c>
      <c r="D2" t="s">
        <v>1464</v>
      </c>
      <c r="E2" t="s">
        <v>478</v>
      </c>
      <c r="F2" t="s">
        <v>1398</v>
      </c>
      <c r="G2" t="s">
        <v>1564</v>
      </c>
      <c r="H2" t="s">
        <v>2490</v>
      </c>
      <c r="I2" t="s">
        <v>1891</v>
      </c>
    </row>
    <row r="3" spans="1:9">
      <c r="A3">
        <v>229311</v>
      </c>
      <c r="B3" t="s">
        <v>461</v>
      </c>
      <c r="C3" t="s">
        <v>462</v>
      </c>
      <c r="D3" t="s">
        <v>1465</v>
      </c>
      <c r="E3" t="s">
        <v>648</v>
      </c>
      <c r="F3" t="s">
        <v>1402</v>
      </c>
      <c r="G3" t="s">
        <v>1565</v>
      </c>
      <c r="H3" t="s">
        <v>2490</v>
      </c>
      <c r="I3" t="s">
        <v>58</v>
      </c>
    </row>
    <row r="4" spans="1:9">
      <c r="A4">
        <v>198836</v>
      </c>
      <c r="B4" t="s">
        <v>463</v>
      </c>
      <c r="C4" t="s">
        <v>464</v>
      </c>
      <c r="D4" t="s">
        <v>1465</v>
      </c>
      <c r="E4" t="s">
        <v>1124</v>
      </c>
      <c r="F4" t="s">
        <v>1402</v>
      </c>
      <c r="G4" t="s">
        <v>1566</v>
      </c>
      <c r="H4" t="s">
        <v>2490</v>
      </c>
      <c r="I4" t="s">
        <v>61</v>
      </c>
    </row>
    <row r="5" spans="1:9">
      <c r="A5">
        <v>145013</v>
      </c>
      <c r="B5" t="s">
        <v>465</v>
      </c>
      <c r="C5" t="s">
        <v>466</v>
      </c>
      <c r="D5" t="s">
        <v>1465</v>
      </c>
      <c r="E5" t="s">
        <v>943</v>
      </c>
      <c r="F5" t="s">
        <v>1402</v>
      </c>
      <c r="G5" t="s">
        <v>1567</v>
      </c>
      <c r="H5" t="s">
        <v>2490</v>
      </c>
      <c r="I5" t="s">
        <v>61</v>
      </c>
    </row>
    <row r="6" spans="1:9">
      <c r="A6">
        <v>137705</v>
      </c>
      <c r="B6" t="s">
        <v>467</v>
      </c>
      <c r="C6" t="s">
        <v>468</v>
      </c>
      <c r="D6" t="s">
        <v>1465</v>
      </c>
      <c r="E6" t="s">
        <v>951</v>
      </c>
      <c r="F6" t="s">
        <v>1402</v>
      </c>
      <c r="G6" t="s">
        <v>1568</v>
      </c>
      <c r="H6" t="s">
        <v>2490</v>
      </c>
      <c r="I6" t="s">
        <v>61</v>
      </c>
    </row>
    <row r="7" spans="1:9">
      <c r="A7">
        <v>259919</v>
      </c>
      <c r="B7" t="s">
        <v>469</v>
      </c>
      <c r="C7" t="s">
        <v>470</v>
      </c>
      <c r="D7" t="s">
        <v>1465</v>
      </c>
      <c r="E7" t="s">
        <v>1229</v>
      </c>
      <c r="F7" t="s">
        <v>1398</v>
      </c>
      <c r="G7" t="s">
        <v>1569</v>
      </c>
      <c r="H7" t="s">
        <v>2490</v>
      </c>
      <c r="I7" t="s">
        <v>67</v>
      </c>
    </row>
    <row r="8" spans="1:9">
      <c r="A8">
        <v>103363</v>
      </c>
      <c r="B8" t="s">
        <v>471</v>
      </c>
      <c r="C8" t="s">
        <v>472</v>
      </c>
      <c r="D8" t="s">
        <v>1466</v>
      </c>
      <c r="E8" t="s">
        <v>1028</v>
      </c>
      <c r="F8" t="s">
        <v>1394</v>
      </c>
      <c r="G8" t="s">
        <v>1568</v>
      </c>
      <c r="H8" t="s">
        <v>2490</v>
      </c>
      <c r="I8" t="s">
        <v>60</v>
      </c>
    </row>
    <row r="9" spans="1:9">
      <c r="A9">
        <v>229212</v>
      </c>
      <c r="B9" t="s">
        <v>473</v>
      </c>
      <c r="C9" t="s">
        <v>474</v>
      </c>
      <c r="D9" t="s">
        <v>1465</v>
      </c>
      <c r="E9" t="s">
        <v>604</v>
      </c>
      <c r="F9" t="s">
        <v>1399</v>
      </c>
      <c r="G9" t="s">
        <v>1570</v>
      </c>
      <c r="H9" t="s">
        <v>2490</v>
      </c>
      <c r="I9" t="s">
        <v>62</v>
      </c>
    </row>
    <row r="10" spans="1:9">
      <c r="A10">
        <v>150081</v>
      </c>
      <c r="B10" t="s">
        <v>475</v>
      </c>
      <c r="C10" t="s">
        <v>476</v>
      </c>
      <c r="D10" t="s">
        <v>1465</v>
      </c>
      <c r="E10" t="s">
        <v>1124</v>
      </c>
      <c r="F10" t="s">
        <v>1402</v>
      </c>
      <c r="G10" t="s">
        <v>1571</v>
      </c>
      <c r="H10" t="s">
        <v>2490</v>
      </c>
      <c r="I10" t="s">
        <v>61</v>
      </c>
    </row>
    <row r="11" spans="1:9">
      <c r="A11">
        <v>181122</v>
      </c>
      <c r="B11" t="s">
        <v>477</v>
      </c>
      <c r="C11" t="s">
        <v>478</v>
      </c>
      <c r="D11" t="s">
        <v>1467</v>
      </c>
      <c r="E11" t="s">
        <v>1398</v>
      </c>
      <c r="F11" t="s">
        <v>1404</v>
      </c>
      <c r="G11" t="s">
        <v>1451</v>
      </c>
      <c r="H11" t="s">
        <v>2490</v>
      </c>
      <c r="I11" t="s">
        <v>1891</v>
      </c>
    </row>
    <row r="12" spans="1:9">
      <c r="A12">
        <v>158438</v>
      </c>
      <c r="B12" t="s">
        <v>479</v>
      </c>
      <c r="C12" t="s">
        <v>480</v>
      </c>
      <c r="D12" t="s">
        <v>1465</v>
      </c>
      <c r="E12" t="s">
        <v>951</v>
      </c>
      <c r="F12" t="s">
        <v>1402</v>
      </c>
      <c r="G12" t="s">
        <v>1572</v>
      </c>
      <c r="H12" t="s">
        <v>2490</v>
      </c>
      <c r="I12" t="s">
        <v>61</v>
      </c>
    </row>
    <row r="13" spans="1:9">
      <c r="A13">
        <v>194601</v>
      </c>
      <c r="B13" t="s">
        <v>481</v>
      </c>
      <c r="C13" t="s">
        <v>482</v>
      </c>
      <c r="D13" t="s">
        <v>1465</v>
      </c>
      <c r="E13" t="s">
        <v>971</v>
      </c>
      <c r="F13" t="s">
        <v>1399</v>
      </c>
      <c r="G13" t="s">
        <v>1570</v>
      </c>
      <c r="H13" t="s">
        <v>2490</v>
      </c>
      <c r="I13" t="s">
        <v>62</v>
      </c>
    </row>
    <row r="14" spans="1:9">
      <c r="A14">
        <v>310995</v>
      </c>
      <c r="B14" t="s">
        <v>483</v>
      </c>
      <c r="C14" t="s">
        <v>484</v>
      </c>
      <c r="D14" t="s">
        <v>1465</v>
      </c>
      <c r="E14" t="s">
        <v>961</v>
      </c>
      <c r="F14" t="s">
        <v>1394</v>
      </c>
      <c r="G14" t="s">
        <v>1573</v>
      </c>
      <c r="H14" t="s">
        <v>2490</v>
      </c>
      <c r="I14" t="s">
        <v>59</v>
      </c>
    </row>
    <row r="15" spans="1:9">
      <c r="A15">
        <v>311132</v>
      </c>
      <c r="B15" t="s">
        <v>485</v>
      </c>
      <c r="C15" t="s">
        <v>486</v>
      </c>
      <c r="D15" t="s">
        <v>1465</v>
      </c>
      <c r="E15" t="s">
        <v>1289</v>
      </c>
      <c r="F15" t="s">
        <v>1398</v>
      </c>
      <c r="G15" t="s">
        <v>1569</v>
      </c>
      <c r="H15" t="s">
        <v>2490</v>
      </c>
      <c r="I15" t="s">
        <v>67</v>
      </c>
    </row>
    <row r="16" spans="1:9">
      <c r="A16">
        <v>297625</v>
      </c>
      <c r="B16" t="s">
        <v>487</v>
      </c>
      <c r="C16" t="s">
        <v>488</v>
      </c>
      <c r="D16" t="s">
        <v>1465</v>
      </c>
      <c r="E16" t="s">
        <v>1207</v>
      </c>
      <c r="F16" t="s">
        <v>1405</v>
      </c>
      <c r="G16" t="s">
        <v>1574</v>
      </c>
      <c r="H16" t="s">
        <v>2490</v>
      </c>
      <c r="I16" t="s">
        <v>65</v>
      </c>
    </row>
    <row r="17" spans="1:9">
      <c r="A17">
        <v>272706</v>
      </c>
      <c r="B17" t="s">
        <v>489</v>
      </c>
      <c r="C17" t="s">
        <v>490</v>
      </c>
      <c r="D17" t="s">
        <v>1465</v>
      </c>
      <c r="E17" t="s">
        <v>1361</v>
      </c>
      <c r="F17" t="s">
        <v>1405</v>
      </c>
      <c r="G17" t="s">
        <v>1574</v>
      </c>
      <c r="H17" t="s">
        <v>2490</v>
      </c>
      <c r="I17" t="s">
        <v>65</v>
      </c>
    </row>
    <row r="18" spans="1:9">
      <c r="A18">
        <v>310987</v>
      </c>
      <c r="B18" t="s">
        <v>491</v>
      </c>
      <c r="C18" t="s">
        <v>492</v>
      </c>
      <c r="D18" t="s">
        <v>1465</v>
      </c>
      <c r="E18" t="s">
        <v>1207</v>
      </c>
      <c r="F18" t="s">
        <v>1405</v>
      </c>
      <c r="G18" t="s">
        <v>1574</v>
      </c>
      <c r="H18" t="s">
        <v>2490</v>
      </c>
      <c r="I18" t="s">
        <v>65</v>
      </c>
    </row>
    <row r="19" spans="1:9">
      <c r="A19">
        <v>194972</v>
      </c>
      <c r="B19" t="s">
        <v>493</v>
      </c>
      <c r="C19" t="s">
        <v>494</v>
      </c>
      <c r="D19" t="s">
        <v>1465</v>
      </c>
      <c r="E19" t="s">
        <v>1124</v>
      </c>
      <c r="F19" t="s">
        <v>1402</v>
      </c>
      <c r="G19" t="s">
        <v>1571</v>
      </c>
      <c r="H19" t="s">
        <v>2490</v>
      </c>
      <c r="I19" t="s">
        <v>61</v>
      </c>
    </row>
    <row r="20" spans="1:9">
      <c r="A20">
        <v>82146</v>
      </c>
      <c r="B20" t="s">
        <v>495</v>
      </c>
      <c r="C20" t="s">
        <v>496</v>
      </c>
      <c r="D20" t="s">
        <v>1465</v>
      </c>
      <c r="E20" t="s">
        <v>700</v>
      </c>
      <c r="F20" t="s">
        <v>1394</v>
      </c>
      <c r="G20" t="s">
        <v>1573</v>
      </c>
      <c r="H20" t="s">
        <v>2490</v>
      </c>
      <c r="I20" t="s">
        <v>59</v>
      </c>
    </row>
    <row r="21" spans="1:9">
      <c r="A21">
        <v>86391</v>
      </c>
      <c r="B21" t="s">
        <v>497</v>
      </c>
      <c r="C21" t="s">
        <v>498</v>
      </c>
      <c r="D21" t="s">
        <v>1464</v>
      </c>
      <c r="E21" t="s">
        <v>700</v>
      </c>
      <c r="F21" t="s">
        <v>1394</v>
      </c>
      <c r="G21" t="s">
        <v>1564</v>
      </c>
      <c r="H21" t="s">
        <v>2490</v>
      </c>
      <c r="I21" t="s">
        <v>1891</v>
      </c>
    </row>
    <row r="22" spans="1:9">
      <c r="A22">
        <v>274433</v>
      </c>
      <c r="B22" t="s">
        <v>499</v>
      </c>
      <c r="C22" t="s">
        <v>500</v>
      </c>
      <c r="D22" t="s">
        <v>1465</v>
      </c>
      <c r="E22" t="s">
        <v>1028</v>
      </c>
      <c r="F22" t="s">
        <v>1394</v>
      </c>
      <c r="G22" t="s">
        <v>1573</v>
      </c>
      <c r="H22" t="s">
        <v>2490</v>
      </c>
      <c r="I22" t="s">
        <v>59</v>
      </c>
    </row>
    <row r="23" spans="1:9">
      <c r="A23">
        <v>229143</v>
      </c>
      <c r="B23" t="s">
        <v>501</v>
      </c>
      <c r="C23" t="s">
        <v>502</v>
      </c>
      <c r="D23" t="s">
        <v>1465</v>
      </c>
      <c r="E23" t="s">
        <v>2491</v>
      </c>
      <c r="F23" t="s">
        <v>610</v>
      </c>
      <c r="G23" t="s">
        <v>1574</v>
      </c>
      <c r="H23" t="s">
        <v>2490</v>
      </c>
      <c r="I23" t="s">
        <v>65</v>
      </c>
    </row>
    <row r="24" spans="1:9">
      <c r="A24">
        <v>310708</v>
      </c>
      <c r="B24" t="s">
        <v>503</v>
      </c>
      <c r="C24" t="s">
        <v>504</v>
      </c>
      <c r="D24" t="s">
        <v>1465</v>
      </c>
      <c r="E24" t="s">
        <v>2491</v>
      </c>
      <c r="F24" t="s">
        <v>610</v>
      </c>
      <c r="G24" t="s">
        <v>1574</v>
      </c>
      <c r="H24" t="s">
        <v>2490</v>
      </c>
      <c r="I24" t="s">
        <v>65</v>
      </c>
    </row>
    <row r="25" spans="1:9">
      <c r="A25">
        <v>105429</v>
      </c>
      <c r="B25" t="s">
        <v>505</v>
      </c>
      <c r="C25" t="s">
        <v>506</v>
      </c>
      <c r="D25" t="s">
        <v>1465</v>
      </c>
      <c r="E25" t="s">
        <v>604</v>
      </c>
      <c r="F25" t="s">
        <v>1399</v>
      </c>
      <c r="G25" t="s">
        <v>1568</v>
      </c>
      <c r="H25" t="s">
        <v>2490</v>
      </c>
      <c r="I25" t="s">
        <v>62</v>
      </c>
    </row>
    <row r="26" spans="1:9">
      <c r="A26">
        <v>299281</v>
      </c>
      <c r="B26" t="s">
        <v>507</v>
      </c>
      <c r="C26" t="s">
        <v>508</v>
      </c>
      <c r="D26" t="s">
        <v>1465</v>
      </c>
      <c r="E26" t="s">
        <v>1361</v>
      </c>
      <c r="F26" t="s">
        <v>1405</v>
      </c>
      <c r="G26" t="s">
        <v>1574</v>
      </c>
      <c r="H26" t="s">
        <v>2490</v>
      </c>
      <c r="I26" t="s">
        <v>65</v>
      </c>
    </row>
    <row r="27" spans="1:9">
      <c r="A27">
        <v>198627</v>
      </c>
      <c r="B27" t="s">
        <v>509</v>
      </c>
      <c r="C27" t="s">
        <v>510</v>
      </c>
      <c r="D27" t="s">
        <v>1465</v>
      </c>
      <c r="E27" t="s">
        <v>514</v>
      </c>
      <c r="F27" t="s">
        <v>610</v>
      </c>
      <c r="G27" t="s">
        <v>1574</v>
      </c>
      <c r="H27" t="s">
        <v>2490</v>
      </c>
      <c r="I27" t="s">
        <v>65</v>
      </c>
    </row>
    <row r="28" spans="1:9">
      <c r="A28">
        <v>65220</v>
      </c>
      <c r="B28" t="s">
        <v>511</v>
      </c>
      <c r="C28" t="s">
        <v>512</v>
      </c>
      <c r="D28" t="s">
        <v>1465</v>
      </c>
      <c r="E28" t="s">
        <v>943</v>
      </c>
      <c r="F28" t="s">
        <v>1402</v>
      </c>
      <c r="G28" t="s">
        <v>1575</v>
      </c>
      <c r="H28" t="s">
        <v>2490</v>
      </c>
      <c r="I28" t="s">
        <v>68</v>
      </c>
    </row>
    <row r="29" spans="1:9">
      <c r="A29">
        <v>86394</v>
      </c>
      <c r="B29" t="s">
        <v>513</v>
      </c>
      <c r="C29" t="s">
        <v>514</v>
      </c>
      <c r="D29" t="s">
        <v>1467</v>
      </c>
      <c r="E29" t="s">
        <v>610</v>
      </c>
      <c r="F29" t="s">
        <v>1404</v>
      </c>
      <c r="G29" t="s">
        <v>1451</v>
      </c>
      <c r="H29" t="s">
        <v>2490</v>
      </c>
      <c r="I29" t="s">
        <v>1891</v>
      </c>
    </row>
    <row r="30" spans="1:9">
      <c r="A30">
        <v>283504</v>
      </c>
      <c r="B30" t="s">
        <v>515</v>
      </c>
      <c r="C30" t="s">
        <v>516</v>
      </c>
      <c r="D30" t="s">
        <v>1465</v>
      </c>
      <c r="E30" t="s">
        <v>588</v>
      </c>
      <c r="F30" t="s">
        <v>1398</v>
      </c>
      <c r="G30" t="s">
        <v>1569</v>
      </c>
      <c r="H30" t="s">
        <v>2490</v>
      </c>
      <c r="I30" t="s">
        <v>67</v>
      </c>
    </row>
    <row r="31" spans="1:9">
      <c r="A31">
        <v>239045</v>
      </c>
      <c r="B31" t="s">
        <v>517</v>
      </c>
      <c r="C31" t="s">
        <v>518</v>
      </c>
      <c r="D31" t="s">
        <v>1465</v>
      </c>
      <c r="E31" t="s">
        <v>961</v>
      </c>
      <c r="F31" t="s">
        <v>1394</v>
      </c>
      <c r="G31" t="s">
        <v>1573</v>
      </c>
      <c r="H31" t="s">
        <v>2490</v>
      </c>
      <c r="I31" t="s">
        <v>59</v>
      </c>
    </row>
    <row r="32" spans="1:9">
      <c r="A32">
        <v>221725</v>
      </c>
      <c r="B32" t="s">
        <v>519</v>
      </c>
      <c r="C32" t="s">
        <v>520</v>
      </c>
      <c r="D32" t="s">
        <v>1465</v>
      </c>
      <c r="E32" t="s">
        <v>514</v>
      </c>
      <c r="F32" t="s">
        <v>610</v>
      </c>
      <c r="G32" t="s">
        <v>1574</v>
      </c>
      <c r="H32" t="s">
        <v>2490</v>
      </c>
      <c r="I32" t="s">
        <v>65</v>
      </c>
    </row>
    <row r="33" spans="1:9">
      <c r="A33">
        <v>274391</v>
      </c>
      <c r="B33" t="s">
        <v>521</v>
      </c>
      <c r="C33" t="s">
        <v>522</v>
      </c>
      <c r="D33" t="s">
        <v>1465</v>
      </c>
      <c r="E33" t="s">
        <v>1289</v>
      </c>
      <c r="F33" t="s">
        <v>1398</v>
      </c>
      <c r="G33" t="s">
        <v>1569</v>
      </c>
      <c r="H33" t="s">
        <v>2490</v>
      </c>
      <c r="I33" t="s">
        <v>67</v>
      </c>
    </row>
    <row r="34" spans="1:9">
      <c r="A34">
        <v>273688</v>
      </c>
      <c r="B34" t="s">
        <v>523</v>
      </c>
      <c r="C34" t="s">
        <v>524</v>
      </c>
      <c r="D34" t="s">
        <v>1465</v>
      </c>
      <c r="E34" t="s">
        <v>1223</v>
      </c>
      <c r="F34" t="s">
        <v>1399</v>
      </c>
      <c r="G34" t="s">
        <v>1576</v>
      </c>
      <c r="H34" t="s">
        <v>2490</v>
      </c>
      <c r="I34" t="s">
        <v>66</v>
      </c>
    </row>
    <row r="35" spans="1:9">
      <c r="A35">
        <v>310989</v>
      </c>
      <c r="B35" t="s">
        <v>525</v>
      </c>
      <c r="C35" t="s">
        <v>526</v>
      </c>
      <c r="D35" t="s">
        <v>1465</v>
      </c>
      <c r="E35" t="s">
        <v>1207</v>
      </c>
      <c r="F35" t="s">
        <v>1405</v>
      </c>
      <c r="G35" t="s">
        <v>1574</v>
      </c>
      <c r="H35" t="s">
        <v>2490</v>
      </c>
      <c r="I35" t="s">
        <v>65</v>
      </c>
    </row>
    <row r="36" spans="1:9">
      <c r="A36">
        <v>275796</v>
      </c>
      <c r="B36" t="s">
        <v>527</v>
      </c>
      <c r="C36" t="s">
        <v>528</v>
      </c>
      <c r="D36" t="s">
        <v>1465</v>
      </c>
      <c r="E36" t="s">
        <v>588</v>
      </c>
      <c r="F36" t="s">
        <v>1398</v>
      </c>
      <c r="G36" t="s">
        <v>1577</v>
      </c>
      <c r="H36" t="s">
        <v>2490</v>
      </c>
      <c r="I36" t="s">
        <v>67</v>
      </c>
    </row>
    <row r="37" spans="1:9">
      <c r="A37">
        <v>278976</v>
      </c>
      <c r="B37" t="s">
        <v>529</v>
      </c>
      <c r="C37" t="s">
        <v>530</v>
      </c>
      <c r="D37" t="s">
        <v>1465</v>
      </c>
      <c r="E37" t="s">
        <v>1223</v>
      </c>
      <c r="F37" t="s">
        <v>1399</v>
      </c>
      <c r="G37" t="s">
        <v>1576</v>
      </c>
      <c r="H37" t="s">
        <v>2490</v>
      </c>
      <c r="I37" t="s">
        <v>66</v>
      </c>
    </row>
    <row r="38" spans="1:9">
      <c r="A38">
        <v>310999</v>
      </c>
      <c r="B38" t="s">
        <v>531</v>
      </c>
      <c r="C38" t="s">
        <v>532</v>
      </c>
      <c r="D38" t="s">
        <v>1465</v>
      </c>
      <c r="E38" t="s">
        <v>1124</v>
      </c>
      <c r="F38" t="s">
        <v>1402</v>
      </c>
      <c r="G38" t="s">
        <v>1585</v>
      </c>
      <c r="H38" t="s">
        <v>2490</v>
      </c>
      <c r="I38" t="s">
        <v>61</v>
      </c>
    </row>
    <row r="39" spans="1:9">
      <c r="A39">
        <v>107733</v>
      </c>
      <c r="B39" t="s">
        <v>533</v>
      </c>
      <c r="C39" t="s">
        <v>534</v>
      </c>
      <c r="D39" t="s">
        <v>1465</v>
      </c>
      <c r="E39" t="s">
        <v>1361</v>
      </c>
      <c r="F39" t="s">
        <v>1405</v>
      </c>
      <c r="G39" t="s">
        <v>1566</v>
      </c>
      <c r="H39" t="s">
        <v>2490</v>
      </c>
      <c r="I39" t="s">
        <v>65</v>
      </c>
    </row>
    <row r="40" spans="1:9">
      <c r="A40">
        <v>311036</v>
      </c>
      <c r="B40" t="s">
        <v>535</v>
      </c>
      <c r="C40" t="s">
        <v>536</v>
      </c>
      <c r="D40" t="s">
        <v>1465</v>
      </c>
      <c r="E40" t="s">
        <v>801</v>
      </c>
      <c r="F40" t="s">
        <v>1405</v>
      </c>
      <c r="G40" t="s">
        <v>1574</v>
      </c>
      <c r="H40" t="s">
        <v>2490</v>
      </c>
      <c r="I40" t="s">
        <v>65</v>
      </c>
    </row>
    <row r="41" spans="1:9">
      <c r="A41">
        <v>201932</v>
      </c>
      <c r="B41" t="s">
        <v>537</v>
      </c>
      <c r="C41" t="s">
        <v>538</v>
      </c>
      <c r="D41" t="s">
        <v>1465</v>
      </c>
      <c r="E41" t="s">
        <v>1369</v>
      </c>
      <c r="F41" t="s">
        <v>1398</v>
      </c>
      <c r="G41" t="s">
        <v>1578</v>
      </c>
      <c r="H41" t="s">
        <v>2490</v>
      </c>
      <c r="I41" t="s">
        <v>67</v>
      </c>
    </row>
    <row r="42" spans="1:9">
      <c r="A42">
        <v>245766</v>
      </c>
      <c r="B42" t="s">
        <v>539</v>
      </c>
      <c r="C42" t="s">
        <v>540</v>
      </c>
      <c r="D42" t="s">
        <v>1465</v>
      </c>
      <c r="E42" t="s">
        <v>951</v>
      </c>
      <c r="F42" t="s">
        <v>1402</v>
      </c>
      <c r="G42" t="s">
        <v>1566</v>
      </c>
      <c r="H42" t="s">
        <v>2490</v>
      </c>
      <c r="I42" t="s">
        <v>61</v>
      </c>
    </row>
    <row r="43" spans="1:9">
      <c r="A43">
        <v>274263</v>
      </c>
      <c r="B43" t="s">
        <v>541</v>
      </c>
      <c r="C43" t="s">
        <v>542</v>
      </c>
      <c r="D43" t="s">
        <v>1465</v>
      </c>
      <c r="E43" t="s">
        <v>700</v>
      </c>
      <c r="F43" t="s">
        <v>1394</v>
      </c>
      <c r="G43" t="s">
        <v>1573</v>
      </c>
      <c r="H43" t="s">
        <v>2490</v>
      </c>
      <c r="I43" t="s">
        <v>59</v>
      </c>
    </row>
    <row r="44" spans="1:9">
      <c r="A44">
        <v>312902</v>
      </c>
      <c r="B44" t="s">
        <v>1478</v>
      </c>
      <c r="C44" t="s">
        <v>1468</v>
      </c>
      <c r="D44" t="s">
        <v>1465</v>
      </c>
      <c r="E44" t="s">
        <v>1229</v>
      </c>
      <c r="F44" t="s">
        <v>1398</v>
      </c>
      <c r="G44" t="s">
        <v>1569</v>
      </c>
      <c r="H44" t="s">
        <v>2490</v>
      </c>
      <c r="I44" t="s">
        <v>67</v>
      </c>
    </row>
    <row r="45" spans="1:9">
      <c r="A45">
        <v>240742</v>
      </c>
      <c r="B45" t="s">
        <v>543</v>
      </c>
      <c r="C45" t="s">
        <v>544</v>
      </c>
      <c r="D45" t="s">
        <v>1465</v>
      </c>
      <c r="E45" t="s">
        <v>2492</v>
      </c>
      <c r="F45" t="s">
        <v>1399</v>
      </c>
      <c r="G45" t="s">
        <v>1570</v>
      </c>
      <c r="H45" t="s">
        <v>2490</v>
      </c>
      <c r="I45" t="s">
        <v>62</v>
      </c>
    </row>
    <row r="46" spans="1:9">
      <c r="A46">
        <v>81328</v>
      </c>
      <c r="B46" t="s">
        <v>545</v>
      </c>
      <c r="C46" t="s">
        <v>546</v>
      </c>
      <c r="D46" t="s">
        <v>1465</v>
      </c>
      <c r="E46" t="s">
        <v>1124</v>
      </c>
      <c r="F46" t="s">
        <v>1402</v>
      </c>
      <c r="G46" t="s">
        <v>1579</v>
      </c>
      <c r="H46" t="s">
        <v>2490</v>
      </c>
      <c r="I46" t="s">
        <v>61</v>
      </c>
    </row>
    <row r="47" spans="1:9">
      <c r="A47">
        <v>202084</v>
      </c>
      <c r="B47" t="s">
        <v>547</v>
      </c>
      <c r="C47" t="s">
        <v>548</v>
      </c>
      <c r="D47" t="s">
        <v>1465</v>
      </c>
      <c r="E47" t="s">
        <v>951</v>
      </c>
      <c r="F47" t="s">
        <v>1402</v>
      </c>
      <c r="G47" t="s">
        <v>1580</v>
      </c>
      <c r="H47" t="s">
        <v>2490</v>
      </c>
      <c r="I47" t="s">
        <v>61</v>
      </c>
    </row>
    <row r="48" spans="1:9">
      <c r="A48">
        <v>29994</v>
      </c>
      <c r="B48" t="s">
        <v>549</v>
      </c>
      <c r="C48" t="s">
        <v>550</v>
      </c>
      <c r="D48" t="s">
        <v>1465</v>
      </c>
      <c r="E48" t="s">
        <v>1405</v>
      </c>
      <c r="F48" t="s">
        <v>1404</v>
      </c>
      <c r="G48" t="s">
        <v>1581</v>
      </c>
      <c r="H48" t="s">
        <v>2490</v>
      </c>
      <c r="I48" t="s">
        <v>65</v>
      </c>
    </row>
    <row r="49" spans="1:9">
      <c r="A49">
        <v>245674</v>
      </c>
      <c r="B49" t="s">
        <v>551</v>
      </c>
      <c r="C49" t="s">
        <v>552</v>
      </c>
      <c r="D49" t="s">
        <v>1465</v>
      </c>
      <c r="E49" t="s">
        <v>2492</v>
      </c>
      <c r="F49" t="s">
        <v>1399</v>
      </c>
      <c r="G49" t="s">
        <v>1570</v>
      </c>
      <c r="H49" t="s">
        <v>2490</v>
      </c>
      <c r="I49" t="s">
        <v>62</v>
      </c>
    </row>
    <row r="50" spans="1:9">
      <c r="A50">
        <v>272915</v>
      </c>
      <c r="B50" t="s">
        <v>553</v>
      </c>
      <c r="C50" t="s">
        <v>554</v>
      </c>
      <c r="D50" t="s">
        <v>1465</v>
      </c>
      <c r="E50" t="s">
        <v>1028</v>
      </c>
      <c r="F50" t="s">
        <v>1394</v>
      </c>
      <c r="G50" t="s">
        <v>1573</v>
      </c>
      <c r="H50" t="s">
        <v>2490</v>
      </c>
      <c r="I50" t="s">
        <v>59</v>
      </c>
    </row>
    <row r="51" spans="1:9">
      <c r="A51">
        <v>260248</v>
      </c>
      <c r="B51" t="s">
        <v>1479</v>
      </c>
      <c r="C51" t="s">
        <v>1469</v>
      </c>
      <c r="D51" t="s">
        <v>1465</v>
      </c>
      <c r="E51" t="s">
        <v>478</v>
      </c>
      <c r="F51" t="s">
        <v>1398</v>
      </c>
      <c r="G51" t="s">
        <v>1569</v>
      </c>
      <c r="H51" t="s">
        <v>2490</v>
      </c>
      <c r="I51" t="s">
        <v>67</v>
      </c>
    </row>
    <row r="52" spans="1:9">
      <c r="A52">
        <v>221748</v>
      </c>
      <c r="B52" t="s">
        <v>555</v>
      </c>
      <c r="C52" t="s">
        <v>556</v>
      </c>
      <c r="D52" t="s">
        <v>1465</v>
      </c>
      <c r="E52" t="s">
        <v>514</v>
      </c>
      <c r="F52" t="s">
        <v>610</v>
      </c>
      <c r="G52" t="s">
        <v>1574</v>
      </c>
      <c r="H52" t="s">
        <v>2490</v>
      </c>
      <c r="I52" t="s">
        <v>65</v>
      </c>
    </row>
    <row r="53" spans="1:9">
      <c r="A53">
        <v>279075</v>
      </c>
      <c r="B53" t="s">
        <v>557</v>
      </c>
      <c r="C53" t="s">
        <v>558</v>
      </c>
      <c r="D53" t="s">
        <v>1465</v>
      </c>
      <c r="E53" t="s">
        <v>961</v>
      </c>
      <c r="F53" t="s">
        <v>1394</v>
      </c>
      <c r="G53" t="s">
        <v>1573</v>
      </c>
      <c r="H53" t="s">
        <v>2490</v>
      </c>
      <c r="I53" t="s">
        <v>59</v>
      </c>
    </row>
    <row r="54" spans="1:9">
      <c r="A54">
        <v>299090</v>
      </c>
      <c r="B54" t="s">
        <v>559</v>
      </c>
      <c r="C54" t="s">
        <v>560</v>
      </c>
      <c r="D54" t="s">
        <v>1465</v>
      </c>
      <c r="E54" t="s">
        <v>1207</v>
      </c>
      <c r="F54" t="s">
        <v>1405</v>
      </c>
      <c r="G54" t="s">
        <v>1574</v>
      </c>
      <c r="H54" t="s">
        <v>2490</v>
      </c>
      <c r="I54" t="s">
        <v>65</v>
      </c>
    </row>
    <row r="55" spans="1:9">
      <c r="A55">
        <v>198840</v>
      </c>
      <c r="B55" t="s">
        <v>561</v>
      </c>
      <c r="C55" t="s">
        <v>562</v>
      </c>
      <c r="D55" t="s">
        <v>1465</v>
      </c>
      <c r="E55" t="s">
        <v>1124</v>
      </c>
      <c r="F55" t="s">
        <v>1402</v>
      </c>
      <c r="G55" t="s">
        <v>1566</v>
      </c>
      <c r="H55" t="s">
        <v>2490</v>
      </c>
      <c r="I55" t="s">
        <v>61</v>
      </c>
    </row>
    <row r="56" spans="1:9">
      <c r="A56">
        <v>194651</v>
      </c>
      <c r="B56" t="s">
        <v>563</v>
      </c>
      <c r="C56" t="s">
        <v>564</v>
      </c>
      <c r="D56" t="s">
        <v>1465</v>
      </c>
      <c r="E56" t="s">
        <v>801</v>
      </c>
      <c r="F56" t="s">
        <v>1405</v>
      </c>
      <c r="G56" t="s">
        <v>1574</v>
      </c>
      <c r="H56" t="s">
        <v>2490</v>
      </c>
      <c r="I56" t="s">
        <v>65</v>
      </c>
    </row>
    <row r="57" spans="1:9">
      <c r="A57">
        <v>273400</v>
      </c>
      <c r="B57" t="s">
        <v>565</v>
      </c>
      <c r="C57" t="s">
        <v>566</v>
      </c>
      <c r="D57" t="s">
        <v>1465</v>
      </c>
      <c r="E57" t="s">
        <v>1361</v>
      </c>
      <c r="F57" t="s">
        <v>1405</v>
      </c>
      <c r="G57" t="s">
        <v>1574</v>
      </c>
      <c r="H57" t="s">
        <v>2490</v>
      </c>
      <c r="I57" t="s">
        <v>65</v>
      </c>
    </row>
    <row r="58" spans="1:9">
      <c r="A58">
        <v>260820</v>
      </c>
      <c r="B58" t="s">
        <v>567</v>
      </c>
      <c r="C58" t="s">
        <v>568</v>
      </c>
      <c r="D58" t="s">
        <v>1465</v>
      </c>
      <c r="E58" t="s">
        <v>801</v>
      </c>
      <c r="F58" t="s">
        <v>1405</v>
      </c>
      <c r="G58" t="s">
        <v>1574</v>
      </c>
      <c r="H58" t="s">
        <v>2490</v>
      </c>
      <c r="I58" t="s">
        <v>65</v>
      </c>
    </row>
    <row r="59" spans="1:9">
      <c r="A59">
        <v>272693</v>
      </c>
      <c r="B59" t="s">
        <v>569</v>
      </c>
      <c r="C59" t="s">
        <v>570</v>
      </c>
      <c r="D59" t="s">
        <v>1465</v>
      </c>
      <c r="E59" t="s">
        <v>1124</v>
      </c>
      <c r="F59" t="s">
        <v>1402</v>
      </c>
      <c r="G59" t="s">
        <v>1566</v>
      </c>
      <c r="H59" t="s">
        <v>2490</v>
      </c>
      <c r="I59" t="s">
        <v>61</v>
      </c>
    </row>
    <row r="60" spans="1:9">
      <c r="A60">
        <v>299290</v>
      </c>
      <c r="B60" t="s">
        <v>1380</v>
      </c>
      <c r="C60" t="s">
        <v>1381</v>
      </c>
      <c r="D60" t="s">
        <v>1465</v>
      </c>
      <c r="E60" t="s">
        <v>514</v>
      </c>
      <c r="F60" t="s">
        <v>610</v>
      </c>
      <c r="G60" t="s">
        <v>1574</v>
      </c>
      <c r="H60" t="s">
        <v>2490</v>
      </c>
      <c r="I60" t="s">
        <v>65</v>
      </c>
    </row>
    <row r="61" spans="1:9">
      <c r="A61">
        <v>276124</v>
      </c>
      <c r="B61" t="s">
        <v>571</v>
      </c>
      <c r="C61" t="s">
        <v>572</v>
      </c>
      <c r="D61" t="s">
        <v>1465</v>
      </c>
      <c r="E61" t="s">
        <v>1367</v>
      </c>
      <c r="F61" t="s">
        <v>610</v>
      </c>
      <c r="G61" t="s">
        <v>1574</v>
      </c>
      <c r="H61" t="s">
        <v>2490</v>
      </c>
      <c r="I61" t="s">
        <v>65</v>
      </c>
    </row>
    <row r="62" spans="1:9">
      <c r="A62">
        <v>310920</v>
      </c>
      <c r="B62" t="s">
        <v>573</v>
      </c>
      <c r="C62" t="s">
        <v>574</v>
      </c>
      <c r="D62" t="s">
        <v>1465</v>
      </c>
      <c r="E62" t="s">
        <v>1367</v>
      </c>
      <c r="F62" t="s">
        <v>610</v>
      </c>
      <c r="G62" t="s">
        <v>1574</v>
      </c>
      <c r="H62" t="s">
        <v>2490</v>
      </c>
      <c r="I62" t="s">
        <v>65</v>
      </c>
    </row>
    <row r="63" spans="1:9">
      <c r="A63">
        <v>229292</v>
      </c>
      <c r="B63" t="s">
        <v>575</v>
      </c>
      <c r="C63" t="s">
        <v>576</v>
      </c>
      <c r="D63" t="s">
        <v>1465</v>
      </c>
      <c r="E63" t="s">
        <v>2491</v>
      </c>
      <c r="F63" t="s">
        <v>610</v>
      </c>
      <c r="G63" t="s">
        <v>1574</v>
      </c>
      <c r="H63" t="s">
        <v>2490</v>
      </c>
      <c r="I63" t="s">
        <v>65</v>
      </c>
    </row>
    <row r="64" spans="1:9">
      <c r="A64">
        <v>32904</v>
      </c>
      <c r="B64" t="s">
        <v>577</v>
      </c>
      <c r="C64" t="s">
        <v>578</v>
      </c>
      <c r="D64" t="s">
        <v>1465</v>
      </c>
      <c r="E64" t="s">
        <v>943</v>
      </c>
      <c r="F64" t="s">
        <v>1402</v>
      </c>
      <c r="G64" t="s">
        <v>1567</v>
      </c>
      <c r="H64" t="s">
        <v>2490</v>
      </c>
      <c r="I64" t="s">
        <v>61</v>
      </c>
    </row>
    <row r="65" spans="1:9">
      <c r="A65">
        <v>196265</v>
      </c>
      <c r="B65" t="s">
        <v>579</v>
      </c>
      <c r="C65" t="s">
        <v>580</v>
      </c>
      <c r="D65" t="s">
        <v>1465</v>
      </c>
      <c r="E65" t="s">
        <v>1229</v>
      </c>
      <c r="F65" t="s">
        <v>1398</v>
      </c>
      <c r="G65" t="s">
        <v>1569</v>
      </c>
      <c r="H65" t="s">
        <v>2490</v>
      </c>
      <c r="I65" t="s">
        <v>67</v>
      </c>
    </row>
    <row r="66" spans="1:9">
      <c r="A66">
        <v>159082</v>
      </c>
      <c r="B66" t="s">
        <v>581</v>
      </c>
      <c r="C66" t="s">
        <v>582</v>
      </c>
      <c r="D66" t="s">
        <v>1465</v>
      </c>
      <c r="E66" t="s">
        <v>827</v>
      </c>
      <c r="F66" t="s">
        <v>1399</v>
      </c>
      <c r="G66" t="s">
        <v>1582</v>
      </c>
      <c r="H66" t="s">
        <v>2490</v>
      </c>
      <c r="I66" t="s">
        <v>64</v>
      </c>
    </row>
    <row r="67" spans="1:9">
      <c r="A67">
        <v>86302</v>
      </c>
      <c r="B67" t="s">
        <v>583</v>
      </c>
      <c r="C67" t="s">
        <v>584</v>
      </c>
      <c r="D67" t="s">
        <v>1465</v>
      </c>
      <c r="E67" t="s">
        <v>943</v>
      </c>
      <c r="F67" t="s">
        <v>1402</v>
      </c>
      <c r="G67" t="s">
        <v>1567</v>
      </c>
      <c r="H67" t="s">
        <v>2490</v>
      </c>
      <c r="I67" t="s">
        <v>61</v>
      </c>
    </row>
    <row r="68" spans="1:9">
      <c r="A68">
        <v>82660</v>
      </c>
      <c r="B68" t="s">
        <v>585</v>
      </c>
      <c r="C68" t="s">
        <v>586</v>
      </c>
      <c r="D68" t="s">
        <v>1465</v>
      </c>
      <c r="E68" t="s">
        <v>961</v>
      </c>
      <c r="F68" t="s">
        <v>1394</v>
      </c>
      <c r="G68" t="s">
        <v>1573</v>
      </c>
      <c r="H68" t="s">
        <v>2490</v>
      </c>
      <c r="I68" t="s">
        <v>59</v>
      </c>
    </row>
    <row r="69" spans="1:9">
      <c r="A69">
        <v>141193</v>
      </c>
      <c r="B69" t="s">
        <v>587</v>
      </c>
      <c r="C69" t="s">
        <v>588</v>
      </c>
      <c r="D69" t="s">
        <v>1467</v>
      </c>
      <c r="E69" t="s">
        <v>1398</v>
      </c>
      <c r="F69" t="s">
        <v>1404</v>
      </c>
      <c r="G69" t="s">
        <v>1451</v>
      </c>
      <c r="H69" t="s">
        <v>2490</v>
      </c>
      <c r="I69" t="s">
        <v>1891</v>
      </c>
    </row>
    <row r="70" spans="1:9">
      <c r="A70">
        <v>240692</v>
      </c>
      <c r="B70" t="s">
        <v>589</v>
      </c>
      <c r="C70" t="s">
        <v>590</v>
      </c>
      <c r="D70" t="s">
        <v>1465</v>
      </c>
      <c r="E70" t="s">
        <v>801</v>
      </c>
      <c r="F70" t="s">
        <v>1405</v>
      </c>
      <c r="G70" t="s">
        <v>1574</v>
      </c>
      <c r="H70" t="s">
        <v>2490</v>
      </c>
      <c r="I70" t="s">
        <v>65</v>
      </c>
    </row>
    <row r="71" spans="1:9">
      <c r="A71">
        <v>303650</v>
      </c>
      <c r="B71" t="s">
        <v>591</v>
      </c>
      <c r="C71" t="s">
        <v>592</v>
      </c>
      <c r="D71" t="s">
        <v>1465</v>
      </c>
      <c r="E71" t="s">
        <v>588</v>
      </c>
      <c r="F71" t="s">
        <v>1398</v>
      </c>
      <c r="G71" t="s">
        <v>1569</v>
      </c>
      <c r="H71" t="s">
        <v>2490</v>
      </c>
      <c r="I71" t="s">
        <v>67</v>
      </c>
    </row>
    <row r="72" spans="1:9">
      <c r="A72">
        <v>158836</v>
      </c>
      <c r="B72" t="s">
        <v>593</v>
      </c>
      <c r="C72" t="s">
        <v>594</v>
      </c>
      <c r="D72" t="s">
        <v>1465</v>
      </c>
      <c r="E72" t="s">
        <v>514</v>
      </c>
      <c r="F72" t="s">
        <v>610</v>
      </c>
      <c r="G72" t="s">
        <v>1583</v>
      </c>
      <c r="H72" t="s">
        <v>2490</v>
      </c>
      <c r="I72" t="s">
        <v>65</v>
      </c>
    </row>
    <row r="73" spans="1:9">
      <c r="A73">
        <v>299268</v>
      </c>
      <c r="B73" t="s">
        <v>595</v>
      </c>
      <c r="C73" t="s">
        <v>596</v>
      </c>
      <c r="D73" t="s">
        <v>1465</v>
      </c>
      <c r="E73" t="s">
        <v>514</v>
      </c>
      <c r="F73" t="s">
        <v>610</v>
      </c>
      <c r="G73" t="s">
        <v>1574</v>
      </c>
      <c r="H73" t="s">
        <v>2490</v>
      </c>
      <c r="I73" t="s">
        <v>65</v>
      </c>
    </row>
    <row r="74" spans="1:9">
      <c r="A74">
        <v>231273</v>
      </c>
      <c r="B74" t="s">
        <v>597</v>
      </c>
      <c r="C74" t="s">
        <v>598</v>
      </c>
      <c r="D74" t="s">
        <v>1465</v>
      </c>
      <c r="E74" t="s">
        <v>2491</v>
      </c>
      <c r="F74" t="s">
        <v>610</v>
      </c>
      <c r="G74" t="s">
        <v>1574</v>
      </c>
      <c r="H74" t="s">
        <v>2490</v>
      </c>
      <c r="I74" t="s">
        <v>65</v>
      </c>
    </row>
    <row r="75" spans="1:9">
      <c r="A75">
        <v>215423</v>
      </c>
      <c r="B75" t="s">
        <v>599</v>
      </c>
      <c r="C75" t="s">
        <v>600</v>
      </c>
      <c r="D75" t="s">
        <v>1465</v>
      </c>
      <c r="E75" t="s">
        <v>2491</v>
      </c>
      <c r="F75" t="s">
        <v>610</v>
      </c>
      <c r="G75" t="s">
        <v>1574</v>
      </c>
      <c r="H75" t="s">
        <v>2490</v>
      </c>
      <c r="I75" t="s">
        <v>65</v>
      </c>
    </row>
    <row r="76" spans="1:9">
      <c r="A76">
        <v>81584</v>
      </c>
      <c r="B76" t="s">
        <v>601</v>
      </c>
      <c r="C76" t="s">
        <v>602</v>
      </c>
      <c r="D76" t="s">
        <v>1465</v>
      </c>
      <c r="E76" t="s">
        <v>478</v>
      </c>
      <c r="F76" t="s">
        <v>1398</v>
      </c>
      <c r="G76" t="s">
        <v>1569</v>
      </c>
      <c r="H76" t="s">
        <v>2490</v>
      </c>
      <c r="I76" t="s">
        <v>67</v>
      </c>
    </row>
    <row r="77" spans="1:9">
      <c r="A77">
        <v>65305</v>
      </c>
      <c r="B77" t="s">
        <v>603</v>
      </c>
      <c r="C77" t="s">
        <v>604</v>
      </c>
      <c r="D77" t="s">
        <v>1467</v>
      </c>
      <c r="E77" t="s">
        <v>1399</v>
      </c>
      <c r="F77" t="s">
        <v>1404</v>
      </c>
      <c r="G77" t="s">
        <v>1451</v>
      </c>
      <c r="H77" t="s">
        <v>2490</v>
      </c>
      <c r="I77" t="s">
        <v>1891</v>
      </c>
    </row>
    <row r="78" spans="1:9">
      <c r="A78">
        <v>150091</v>
      </c>
      <c r="B78" t="s">
        <v>605</v>
      </c>
      <c r="C78" t="s">
        <v>606</v>
      </c>
      <c r="D78" t="s">
        <v>1473</v>
      </c>
      <c r="E78" t="s">
        <v>1028</v>
      </c>
      <c r="F78" t="s">
        <v>1394</v>
      </c>
      <c r="G78" t="s">
        <v>1568</v>
      </c>
      <c r="H78" t="s">
        <v>2490</v>
      </c>
      <c r="I78" t="s">
        <v>60</v>
      </c>
    </row>
    <row r="79" spans="1:9">
      <c r="A79">
        <v>195031</v>
      </c>
      <c r="B79" t="s">
        <v>607</v>
      </c>
      <c r="C79" t="s">
        <v>608</v>
      </c>
      <c r="D79" t="s">
        <v>1465</v>
      </c>
      <c r="E79" t="s">
        <v>951</v>
      </c>
      <c r="F79" t="s">
        <v>1402</v>
      </c>
      <c r="G79" t="s">
        <v>1584</v>
      </c>
      <c r="H79" t="s">
        <v>2490</v>
      </c>
      <c r="I79" t="s">
        <v>61</v>
      </c>
    </row>
    <row r="80" spans="1:9">
      <c r="A80">
        <v>221142</v>
      </c>
      <c r="B80" t="s">
        <v>611</v>
      </c>
      <c r="C80" t="s">
        <v>612</v>
      </c>
      <c r="D80" t="s">
        <v>1465</v>
      </c>
      <c r="E80" t="s">
        <v>1028</v>
      </c>
      <c r="F80" t="s">
        <v>1394</v>
      </c>
      <c r="G80" t="s">
        <v>1573</v>
      </c>
      <c r="H80" t="s">
        <v>2490</v>
      </c>
      <c r="I80" t="s">
        <v>59</v>
      </c>
    </row>
    <row r="81" spans="1:9">
      <c r="A81">
        <v>230559</v>
      </c>
      <c r="B81" t="s">
        <v>613</v>
      </c>
      <c r="C81" t="s">
        <v>1836</v>
      </c>
      <c r="D81" t="s">
        <v>1465</v>
      </c>
      <c r="E81" t="s">
        <v>514</v>
      </c>
      <c r="F81" t="s">
        <v>610</v>
      </c>
      <c r="G81" t="s">
        <v>1574</v>
      </c>
      <c r="H81" t="s">
        <v>2490</v>
      </c>
      <c r="I81" t="s">
        <v>65</v>
      </c>
    </row>
    <row r="82" spans="1:9">
      <c r="A82">
        <v>187504</v>
      </c>
      <c r="B82" t="s">
        <v>614</v>
      </c>
      <c r="C82" t="s">
        <v>615</v>
      </c>
      <c r="D82" t="s">
        <v>1465</v>
      </c>
      <c r="E82" t="s">
        <v>801</v>
      </c>
      <c r="F82" t="s">
        <v>1405</v>
      </c>
      <c r="G82" t="s">
        <v>1574</v>
      </c>
      <c r="H82" t="s">
        <v>2490</v>
      </c>
      <c r="I82" t="s">
        <v>65</v>
      </c>
    </row>
    <row r="83" spans="1:9">
      <c r="A83">
        <v>194879</v>
      </c>
      <c r="B83" t="s">
        <v>616</v>
      </c>
      <c r="C83" t="s">
        <v>2493</v>
      </c>
      <c r="D83" t="s">
        <v>1465</v>
      </c>
      <c r="E83" t="s">
        <v>1207</v>
      </c>
      <c r="F83" t="s">
        <v>1405</v>
      </c>
      <c r="G83" t="s">
        <v>1574</v>
      </c>
      <c r="H83" t="s">
        <v>2490</v>
      </c>
      <c r="I83" t="s">
        <v>65</v>
      </c>
    </row>
    <row r="84" spans="1:9">
      <c r="A84">
        <v>172965</v>
      </c>
      <c r="B84" t="s">
        <v>617</v>
      </c>
      <c r="C84" t="s">
        <v>618</v>
      </c>
      <c r="D84" t="s">
        <v>1465</v>
      </c>
      <c r="E84" t="s">
        <v>943</v>
      </c>
      <c r="F84" t="s">
        <v>1402</v>
      </c>
      <c r="G84" t="s">
        <v>1575</v>
      </c>
      <c r="H84" t="s">
        <v>2490</v>
      </c>
      <c r="I84" t="s">
        <v>68</v>
      </c>
    </row>
    <row r="85" spans="1:9">
      <c r="A85">
        <v>194987</v>
      </c>
      <c r="B85" t="s">
        <v>619</v>
      </c>
      <c r="C85" t="s">
        <v>620</v>
      </c>
      <c r="D85" t="s">
        <v>1465</v>
      </c>
      <c r="E85" t="s">
        <v>1082</v>
      </c>
      <c r="F85" t="s">
        <v>1402</v>
      </c>
      <c r="G85" t="s">
        <v>1565</v>
      </c>
      <c r="H85" t="s">
        <v>2490</v>
      </c>
      <c r="I85" t="s">
        <v>58</v>
      </c>
    </row>
    <row r="86" spans="1:9">
      <c r="A86">
        <v>292099</v>
      </c>
      <c r="B86" t="s">
        <v>621</v>
      </c>
      <c r="C86" t="s">
        <v>622</v>
      </c>
      <c r="D86" t="s">
        <v>1465</v>
      </c>
      <c r="E86" t="s">
        <v>961</v>
      </c>
      <c r="F86" t="s">
        <v>1394</v>
      </c>
      <c r="G86" t="s">
        <v>1573</v>
      </c>
      <c r="H86" t="s">
        <v>2490</v>
      </c>
      <c r="I86" t="s">
        <v>59</v>
      </c>
    </row>
    <row r="87" spans="1:9">
      <c r="A87">
        <v>230860</v>
      </c>
      <c r="B87" t="s">
        <v>623</v>
      </c>
      <c r="C87" t="s">
        <v>624</v>
      </c>
      <c r="D87" t="s">
        <v>1465</v>
      </c>
      <c r="E87" t="s">
        <v>801</v>
      </c>
      <c r="F87" t="s">
        <v>1405</v>
      </c>
      <c r="G87" t="s">
        <v>1574</v>
      </c>
      <c r="H87" t="s">
        <v>2490</v>
      </c>
      <c r="I87" t="s">
        <v>65</v>
      </c>
    </row>
    <row r="88" spans="1:9">
      <c r="A88">
        <v>275826</v>
      </c>
      <c r="B88" t="s">
        <v>625</v>
      </c>
      <c r="C88" t="s">
        <v>626</v>
      </c>
      <c r="D88" t="s">
        <v>1465</v>
      </c>
      <c r="E88" t="s">
        <v>2491</v>
      </c>
      <c r="F88" t="s">
        <v>610</v>
      </c>
      <c r="G88" t="s">
        <v>1574</v>
      </c>
      <c r="H88" t="s">
        <v>2490</v>
      </c>
      <c r="I88" t="s">
        <v>65</v>
      </c>
    </row>
    <row r="89" spans="1:9">
      <c r="A89">
        <v>161133</v>
      </c>
      <c r="B89" t="s">
        <v>627</v>
      </c>
      <c r="C89" t="s">
        <v>628</v>
      </c>
      <c r="D89" t="s">
        <v>1465</v>
      </c>
      <c r="E89" t="s">
        <v>1223</v>
      </c>
      <c r="F89" t="s">
        <v>1399</v>
      </c>
      <c r="G89" t="s">
        <v>1576</v>
      </c>
      <c r="H89" t="s">
        <v>2490</v>
      </c>
      <c r="I89" t="s">
        <v>66</v>
      </c>
    </row>
    <row r="90" spans="1:9">
      <c r="A90">
        <v>276032</v>
      </c>
      <c r="B90" t="s">
        <v>629</v>
      </c>
      <c r="C90" t="s">
        <v>630</v>
      </c>
      <c r="D90" t="s">
        <v>1465</v>
      </c>
      <c r="E90" t="s">
        <v>1092</v>
      </c>
      <c r="F90" t="s">
        <v>1398</v>
      </c>
      <c r="G90" t="s">
        <v>1569</v>
      </c>
      <c r="H90" t="s">
        <v>2490</v>
      </c>
      <c r="I90" t="s">
        <v>67</v>
      </c>
    </row>
    <row r="91" spans="1:9">
      <c r="A91">
        <v>56737</v>
      </c>
      <c r="B91" t="s">
        <v>631</v>
      </c>
      <c r="C91" t="s">
        <v>632</v>
      </c>
      <c r="D91" t="s">
        <v>1466</v>
      </c>
      <c r="E91" t="s">
        <v>1405</v>
      </c>
      <c r="F91" t="s">
        <v>1404</v>
      </c>
      <c r="G91" t="s">
        <v>1568</v>
      </c>
      <c r="H91" t="s">
        <v>2490</v>
      </c>
      <c r="I91" t="s">
        <v>65</v>
      </c>
    </row>
    <row r="92" spans="1:9">
      <c r="A92">
        <v>310880</v>
      </c>
      <c r="B92" t="s">
        <v>633</v>
      </c>
      <c r="C92" t="s">
        <v>634</v>
      </c>
      <c r="D92" t="s">
        <v>1465</v>
      </c>
      <c r="E92" t="s">
        <v>971</v>
      </c>
      <c r="F92" t="s">
        <v>1399</v>
      </c>
      <c r="G92" t="s">
        <v>1570</v>
      </c>
      <c r="H92" t="s">
        <v>2490</v>
      </c>
      <c r="I92" t="s">
        <v>62</v>
      </c>
    </row>
    <row r="93" spans="1:9">
      <c r="A93">
        <v>189841</v>
      </c>
      <c r="B93" t="s">
        <v>635</v>
      </c>
      <c r="C93" t="s">
        <v>636</v>
      </c>
      <c r="D93" t="s">
        <v>1465</v>
      </c>
      <c r="E93" t="s">
        <v>1124</v>
      </c>
      <c r="F93" t="s">
        <v>1402</v>
      </c>
      <c r="G93" t="s">
        <v>1566</v>
      </c>
      <c r="H93" t="s">
        <v>2490</v>
      </c>
      <c r="I93" t="s">
        <v>61</v>
      </c>
    </row>
    <row r="94" spans="1:9">
      <c r="A94">
        <v>310819</v>
      </c>
      <c r="B94" t="s">
        <v>637</v>
      </c>
      <c r="C94" t="s">
        <v>638</v>
      </c>
      <c r="D94" t="s">
        <v>1465</v>
      </c>
      <c r="E94" t="s">
        <v>1092</v>
      </c>
      <c r="F94" t="s">
        <v>1398</v>
      </c>
      <c r="G94" t="s">
        <v>1569</v>
      </c>
      <c r="H94" t="s">
        <v>2490</v>
      </c>
      <c r="I94" t="s">
        <v>67</v>
      </c>
    </row>
    <row r="95" spans="1:9">
      <c r="A95">
        <v>260816</v>
      </c>
      <c r="B95" t="s">
        <v>639</v>
      </c>
      <c r="C95" t="s">
        <v>640</v>
      </c>
      <c r="D95" t="s">
        <v>1465</v>
      </c>
      <c r="E95" t="s">
        <v>801</v>
      </c>
      <c r="F95" t="s">
        <v>1405</v>
      </c>
      <c r="G95" t="s">
        <v>1574</v>
      </c>
      <c r="H95" t="s">
        <v>2490</v>
      </c>
      <c r="I95" t="s">
        <v>65</v>
      </c>
    </row>
    <row r="96" spans="1:9">
      <c r="A96">
        <v>260757</v>
      </c>
      <c r="B96" t="s">
        <v>641</v>
      </c>
      <c r="C96" t="s">
        <v>642</v>
      </c>
      <c r="D96" t="s">
        <v>1465</v>
      </c>
      <c r="E96" t="s">
        <v>2491</v>
      </c>
      <c r="F96" t="s">
        <v>610</v>
      </c>
      <c r="G96" t="s">
        <v>1574</v>
      </c>
      <c r="H96" t="s">
        <v>2490</v>
      </c>
      <c r="I96" t="s">
        <v>65</v>
      </c>
    </row>
    <row r="97" spans="1:9">
      <c r="A97">
        <v>298995</v>
      </c>
      <c r="B97" t="s">
        <v>643</v>
      </c>
      <c r="C97" t="s">
        <v>644</v>
      </c>
      <c r="D97" t="s">
        <v>1465</v>
      </c>
      <c r="E97" t="s">
        <v>1207</v>
      </c>
      <c r="F97" t="s">
        <v>1405</v>
      </c>
      <c r="G97" t="s">
        <v>1574</v>
      </c>
      <c r="H97" t="s">
        <v>2490</v>
      </c>
      <c r="I97" t="s">
        <v>65</v>
      </c>
    </row>
    <row r="98" spans="1:9">
      <c r="A98">
        <v>107157</v>
      </c>
      <c r="B98" t="s">
        <v>645</v>
      </c>
      <c r="C98" t="s">
        <v>646</v>
      </c>
      <c r="D98" t="s">
        <v>1465</v>
      </c>
      <c r="E98" t="s">
        <v>1361</v>
      </c>
      <c r="F98" t="s">
        <v>1405</v>
      </c>
      <c r="G98" t="s">
        <v>1574</v>
      </c>
      <c r="H98" t="s">
        <v>2490</v>
      </c>
      <c r="I98" t="s">
        <v>65</v>
      </c>
    </row>
    <row r="99" spans="1:9">
      <c r="A99">
        <v>106490</v>
      </c>
      <c r="B99" t="s">
        <v>647</v>
      </c>
      <c r="C99" t="s">
        <v>648</v>
      </c>
      <c r="D99" t="s">
        <v>1467</v>
      </c>
      <c r="E99" t="s">
        <v>1402</v>
      </c>
      <c r="F99" t="s">
        <v>1404</v>
      </c>
      <c r="G99" t="s">
        <v>1451</v>
      </c>
      <c r="H99" t="s">
        <v>2490</v>
      </c>
      <c r="I99" t="s">
        <v>1891</v>
      </c>
    </row>
    <row r="100" spans="1:9">
      <c r="A100">
        <v>276315</v>
      </c>
      <c r="B100" t="s">
        <v>649</v>
      </c>
      <c r="C100" t="s">
        <v>650</v>
      </c>
      <c r="D100" t="s">
        <v>1465</v>
      </c>
      <c r="E100" t="s">
        <v>1229</v>
      </c>
      <c r="F100" t="s">
        <v>1398</v>
      </c>
      <c r="G100" t="s">
        <v>1569</v>
      </c>
      <c r="H100" t="s">
        <v>2490</v>
      </c>
      <c r="I100" t="s">
        <v>67</v>
      </c>
    </row>
    <row r="101" spans="1:9">
      <c r="A101">
        <v>297904</v>
      </c>
      <c r="B101" t="s">
        <v>651</v>
      </c>
      <c r="C101" t="s">
        <v>652</v>
      </c>
      <c r="D101" t="s">
        <v>1465</v>
      </c>
      <c r="E101" t="s">
        <v>1369</v>
      </c>
      <c r="F101" t="s">
        <v>1398</v>
      </c>
      <c r="G101" t="s">
        <v>1569</v>
      </c>
      <c r="H101" t="s">
        <v>2490</v>
      </c>
      <c r="I101" t="s">
        <v>67</v>
      </c>
    </row>
    <row r="102" spans="1:9">
      <c r="A102">
        <v>86494</v>
      </c>
      <c r="B102" t="s">
        <v>653</v>
      </c>
      <c r="C102" t="s">
        <v>654</v>
      </c>
      <c r="D102" t="s">
        <v>1465</v>
      </c>
      <c r="E102" t="s">
        <v>1124</v>
      </c>
      <c r="F102" t="s">
        <v>1402</v>
      </c>
      <c r="G102" t="s">
        <v>1585</v>
      </c>
      <c r="H102" t="s">
        <v>2490</v>
      </c>
      <c r="I102" t="s">
        <v>61</v>
      </c>
    </row>
    <row r="103" spans="1:9">
      <c r="A103">
        <v>279151</v>
      </c>
      <c r="B103" t="s">
        <v>655</v>
      </c>
      <c r="C103" t="s">
        <v>656</v>
      </c>
      <c r="D103" t="s">
        <v>1465</v>
      </c>
      <c r="E103" t="s">
        <v>1361</v>
      </c>
      <c r="F103" t="s">
        <v>1405</v>
      </c>
      <c r="G103" t="s">
        <v>1574</v>
      </c>
      <c r="H103" t="s">
        <v>2490</v>
      </c>
      <c r="I103" t="s">
        <v>65</v>
      </c>
    </row>
    <row r="104" spans="1:9">
      <c r="A104">
        <v>80247</v>
      </c>
      <c r="B104" t="s">
        <v>657</v>
      </c>
      <c r="C104" t="s">
        <v>658</v>
      </c>
      <c r="D104" t="s">
        <v>1465</v>
      </c>
      <c r="E104" t="s">
        <v>943</v>
      </c>
      <c r="F104" t="s">
        <v>1402</v>
      </c>
      <c r="G104" t="s">
        <v>1567</v>
      </c>
      <c r="H104" t="s">
        <v>2490</v>
      </c>
      <c r="I104" t="s">
        <v>61</v>
      </c>
    </row>
    <row r="105" spans="1:9">
      <c r="A105">
        <v>263668</v>
      </c>
      <c r="B105" t="s">
        <v>659</v>
      </c>
      <c r="C105" t="s">
        <v>660</v>
      </c>
      <c r="D105" t="s">
        <v>1465</v>
      </c>
      <c r="E105" t="s">
        <v>1028</v>
      </c>
      <c r="F105" t="s">
        <v>1394</v>
      </c>
      <c r="G105" t="s">
        <v>1586</v>
      </c>
      <c r="H105" t="s">
        <v>2490</v>
      </c>
      <c r="I105" t="s">
        <v>59</v>
      </c>
    </row>
    <row r="106" spans="1:9">
      <c r="A106">
        <v>273547</v>
      </c>
      <c r="B106" t="s">
        <v>661</v>
      </c>
      <c r="C106" t="s">
        <v>662</v>
      </c>
      <c r="D106" t="s">
        <v>1465</v>
      </c>
      <c r="E106" t="s">
        <v>801</v>
      </c>
      <c r="F106" t="s">
        <v>1405</v>
      </c>
      <c r="G106" t="s">
        <v>1574</v>
      </c>
      <c r="H106" t="s">
        <v>2490</v>
      </c>
      <c r="I106" t="s">
        <v>65</v>
      </c>
    </row>
    <row r="107" spans="1:9">
      <c r="A107">
        <v>221398</v>
      </c>
      <c r="B107" t="s">
        <v>663</v>
      </c>
      <c r="C107" t="s">
        <v>664</v>
      </c>
      <c r="D107" t="s">
        <v>1465</v>
      </c>
      <c r="E107" t="s">
        <v>1367</v>
      </c>
      <c r="F107" t="s">
        <v>610</v>
      </c>
      <c r="G107" t="s">
        <v>1574</v>
      </c>
      <c r="H107" t="s">
        <v>2490</v>
      </c>
      <c r="I107" t="s">
        <v>65</v>
      </c>
    </row>
    <row r="108" spans="1:9">
      <c r="A108">
        <v>275594</v>
      </c>
      <c r="B108" t="s">
        <v>665</v>
      </c>
      <c r="C108" t="s">
        <v>666</v>
      </c>
      <c r="D108" t="s">
        <v>1465</v>
      </c>
      <c r="E108" t="s">
        <v>1223</v>
      </c>
      <c r="F108" t="s">
        <v>1399</v>
      </c>
      <c r="G108" t="s">
        <v>1576</v>
      </c>
      <c r="H108" t="s">
        <v>2490</v>
      </c>
      <c r="I108" t="s">
        <v>66</v>
      </c>
    </row>
    <row r="109" spans="1:9">
      <c r="A109">
        <v>230808</v>
      </c>
      <c r="B109" t="s">
        <v>667</v>
      </c>
      <c r="C109" t="s">
        <v>668</v>
      </c>
      <c r="D109" t="s">
        <v>1465</v>
      </c>
      <c r="E109" t="s">
        <v>1369</v>
      </c>
      <c r="F109" t="s">
        <v>1398</v>
      </c>
      <c r="G109" t="s">
        <v>1569</v>
      </c>
      <c r="H109" t="s">
        <v>2490</v>
      </c>
      <c r="I109" t="s">
        <v>67</v>
      </c>
    </row>
    <row r="110" spans="1:9">
      <c r="A110">
        <v>211916</v>
      </c>
      <c r="B110" t="s">
        <v>669</v>
      </c>
      <c r="C110" t="s">
        <v>670</v>
      </c>
      <c r="D110" t="s">
        <v>1465</v>
      </c>
      <c r="E110" t="s">
        <v>1223</v>
      </c>
      <c r="F110" t="s">
        <v>1399</v>
      </c>
      <c r="G110" t="s">
        <v>1576</v>
      </c>
      <c r="H110" t="s">
        <v>2490</v>
      </c>
      <c r="I110" t="s">
        <v>66</v>
      </c>
    </row>
    <row r="111" spans="1:9">
      <c r="A111">
        <v>277479</v>
      </c>
      <c r="B111" t="s">
        <v>671</v>
      </c>
      <c r="C111" t="s">
        <v>672</v>
      </c>
      <c r="D111" t="s">
        <v>1465</v>
      </c>
      <c r="E111" t="s">
        <v>1229</v>
      </c>
      <c r="F111" t="s">
        <v>1398</v>
      </c>
      <c r="G111" t="s">
        <v>1569</v>
      </c>
      <c r="H111" t="s">
        <v>2490</v>
      </c>
      <c r="I111" t="s">
        <v>67</v>
      </c>
    </row>
    <row r="112" spans="1:9">
      <c r="A112">
        <v>194708</v>
      </c>
      <c r="B112" t="s">
        <v>673</v>
      </c>
      <c r="C112" t="s">
        <v>674</v>
      </c>
      <c r="D112" t="s">
        <v>1465</v>
      </c>
      <c r="E112" t="s">
        <v>1028</v>
      </c>
      <c r="F112" t="s">
        <v>1394</v>
      </c>
      <c r="G112" t="s">
        <v>1586</v>
      </c>
      <c r="H112" t="s">
        <v>2490</v>
      </c>
      <c r="I112" t="s">
        <v>60</v>
      </c>
    </row>
    <row r="113" spans="1:9">
      <c r="A113">
        <v>221709</v>
      </c>
      <c r="B113" t="s">
        <v>675</v>
      </c>
      <c r="C113" t="s">
        <v>676</v>
      </c>
      <c r="D113" t="s">
        <v>1465</v>
      </c>
      <c r="E113" t="s">
        <v>1367</v>
      </c>
      <c r="F113" t="s">
        <v>610</v>
      </c>
      <c r="G113" t="s">
        <v>1574</v>
      </c>
      <c r="H113" t="s">
        <v>2490</v>
      </c>
      <c r="I113" t="s">
        <v>65</v>
      </c>
    </row>
    <row r="114" spans="1:9">
      <c r="A114">
        <v>80829</v>
      </c>
      <c r="B114" t="s">
        <v>677</v>
      </c>
      <c r="C114" t="s">
        <v>678</v>
      </c>
      <c r="D114" t="s">
        <v>1465</v>
      </c>
      <c r="E114" t="s">
        <v>2492</v>
      </c>
      <c r="F114" t="s">
        <v>1399</v>
      </c>
      <c r="G114" t="s">
        <v>1570</v>
      </c>
      <c r="H114" t="s">
        <v>2490</v>
      </c>
      <c r="I114" t="s">
        <v>1891</v>
      </c>
    </row>
    <row r="115" spans="1:9">
      <c r="A115">
        <v>246262</v>
      </c>
      <c r="B115" t="s">
        <v>679</v>
      </c>
      <c r="C115" t="s">
        <v>680</v>
      </c>
      <c r="D115" t="s">
        <v>1465</v>
      </c>
      <c r="E115" t="s">
        <v>648</v>
      </c>
      <c r="F115" t="s">
        <v>1402</v>
      </c>
      <c r="G115" t="s">
        <v>1565</v>
      </c>
      <c r="H115" t="s">
        <v>2490</v>
      </c>
      <c r="I115" t="s">
        <v>58</v>
      </c>
    </row>
    <row r="116" spans="1:9">
      <c r="A116">
        <v>197085</v>
      </c>
      <c r="B116" t="s">
        <v>681</v>
      </c>
      <c r="C116" t="s">
        <v>682</v>
      </c>
      <c r="D116" t="s">
        <v>1465</v>
      </c>
      <c r="E116" t="s">
        <v>943</v>
      </c>
      <c r="F116" t="s">
        <v>1402</v>
      </c>
      <c r="G116" t="s">
        <v>1575</v>
      </c>
      <c r="H116" t="s">
        <v>2490</v>
      </c>
      <c r="I116" t="s">
        <v>68</v>
      </c>
    </row>
    <row r="117" spans="1:9">
      <c r="A117">
        <v>160864</v>
      </c>
      <c r="B117" t="s">
        <v>683</v>
      </c>
      <c r="C117" t="s">
        <v>684</v>
      </c>
      <c r="D117" t="s">
        <v>1464</v>
      </c>
      <c r="E117" t="s">
        <v>2491</v>
      </c>
      <c r="F117" t="s">
        <v>610</v>
      </c>
      <c r="G117" t="s">
        <v>1564</v>
      </c>
      <c r="H117" t="s">
        <v>2490</v>
      </c>
      <c r="I117" t="s">
        <v>1891</v>
      </c>
    </row>
    <row r="118" spans="1:9">
      <c r="A118">
        <v>267037</v>
      </c>
      <c r="B118" t="s">
        <v>685</v>
      </c>
      <c r="C118" t="s">
        <v>686</v>
      </c>
      <c r="D118" t="s">
        <v>1465</v>
      </c>
      <c r="E118" t="s">
        <v>1367</v>
      </c>
      <c r="F118" t="s">
        <v>610</v>
      </c>
      <c r="G118" t="s">
        <v>1574</v>
      </c>
      <c r="H118" t="s">
        <v>2490</v>
      </c>
      <c r="I118" t="s">
        <v>65</v>
      </c>
    </row>
    <row r="119" spans="1:9">
      <c r="A119">
        <v>220910</v>
      </c>
      <c r="B119" t="s">
        <v>687</v>
      </c>
      <c r="C119" t="s">
        <v>688</v>
      </c>
      <c r="D119" t="s">
        <v>1465</v>
      </c>
      <c r="E119" t="s">
        <v>961</v>
      </c>
      <c r="F119" t="s">
        <v>1394</v>
      </c>
      <c r="G119" t="s">
        <v>1573</v>
      </c>
      <c r="H119" t="s">
        <v>2490</v>
      </c>
      <c r="I119" t="s">
        <v>59</v>
      </c>
    </row>
    <row r="120" spans="1:9">
      <c r="A120">
        <v>118806</v>
      </c>
      <c r="B120" t="s">
        <v>689</v>
      </c>
      <c r="C120" t="s">
        <v>690</v>
      </c>
      <c r="D120" t="s">
        <v>1465</v>
      </c>
      <c r="E120" t="s">
        <v>943</v>
      </c>
      <c r="F120" t="s">
        <v>1402</v>
      </c>
      <c r="G120" t="s">
        <v>1567</v>
      </c>
      <c r="H120" t="s">
        <v>2490</v>
      </c>
      <c r="I120" t="s">
        <v>61</v>
      </c>
    </row>
    <row r="121" spans="1:9">
      <c r="A121">
        <v>221719</v>
      </c>
      <c r="B121" t="s">
        <v>691</v>
      </c>
      <c r="C121" t="s">
        <v>692</v>
      </c>
      <c r="D121" t="s">
        <v>1465</v>
      </c>
      <c r="E121" t="s">
        <v>1367</v>
      </c>
      <c r="F121" t="s">
        <v>610</v>
      </c>
      <c r="G121" t="s">
        <v>1574</v>
      </c>
      <c r="H121" t="s">
        <v>2490</v>
      </c>
      <c r="I121" t="s">
        <v>65</v>
      </c>
    </row>
    <row r="122" spans="1:9">
      <c r="A122">
        <v>275774</v>
      </c>
      <c r="B122" t="s">
        <v>693</v>
      </c>
      <c r="C122" t="s">
        <v>694</v>
      </c>
      <c r="D122" t="s">
        <v>1465</v>
      </c>
      <c r="E122" t="s">
        <v>1229</v>
      </c>
      <c r="F122" t="s">
        <v>1398</v>
      </c>
      <c r="G122" t="s">
        <v>1569</v>
      </c>
      <c r="H122" t="s">
        <v>2490</v>
      </c>
      <c r="I122" t="s">
        <v>67</v>
      </c>
    </row>
    <row r="123" spans="1:9">
      <c r="A123">
        <v>181816</v>
      </c>
      <c r="B123" t="s">
        <v>695</v>
      </c>
      <c r="C123" t="s">
        <v>696</v>
      </c>
      <c r="D123" t="s">
        <v>1465</v>
      </c>
      <c r="E123" t="s">
        <v>2491</v>
      </c>
      <c r="F123" t="s">
        <v>610</v>
      </c>
      <c r="G123" t="s">
        <v>1574</v>
      </c>
      <c r="H123" t="s">
        <v>2490</v>
      </c>
      <c r="I123" t="s">
        <v>65</v>
      </c>
    </row>
    <row r="124" spans="1:9">
      <c r="A124">
        <v>195696</v>
      </c>
      <c r="B124" t="s">
        <v>697</v>
      </c>
      <c r="C124" t="s">
        <v>698</v>
      </c>
      <c r="D124" t="s">
        <v>1465</v>
      </c>
      <c r="E124" t="s">
        <v>943</v>
      </c>
      <c r="F124" t="s">
        <v>1402</v>
      </c>
      <c r="G124" t="s">
        <v>1575</v>
      </c>
      <c r="H124" t="s">
        <v>2490</v>
      </c>
      <c r="I124" t="s">
        <v>68</v>
      </c>
    </row>
    <row r="125" spans="1:9">
      <c r="A125">
        <v>159279</v>
      </c>
      <c r="B125" t="s">
        <v>699</v>
      </c>
      <c r="C125" t="s">
        <v>700</v>
      </c>
      <c r="D125" t="s">
        <v>1467</v>
      </c>
      <c r="E125" t="s">
        <v>1394</v>
      </c>
      <c r="F125" t="s">
        <v>1404</v>
      </c>
      <c r="G125" t="s">
        <v>1451</v>
      </c>
      <c r="H125" t="s">
        <v>2490</v>
      </c>
      <c r="I125" t="s">
        <v>1891</v>
      </c>
    </row>
    <row r="126" spans="1:9">
      <c r="A126">
        <v>196104</v>
      </c>
      <c r="B126" t="s">
        <v>701</v>
      </c>
      <c r="C126" t="s">
        <v>702</v>
      </c>
      <c r="D126" t="s">
        <v>1465</v>
      </c>
      <c r="E126" t="s">
        <v>1229</v>
      </c>
      <c r="F126" t="s">
        <v>1398</v>
      </c>
      <c r="G126" t="s">
        <v>1569</v>
      </c>
      <c r="H126" t="s">
        <v>2490</v>
      </c>
      <c r="I126" t="s">
        <v>67</v>
      </c>
    </row>
    <row r="127" spans="1:9">
      <c r="A127">
        <v>187994</v>
      </c>
      <c r="B127" t="s">
        <v>703</v>
      </c>
      <c r="C127" t="s">
        <v>704</v>
      </c>
      <c r="D127" t="s">
        <v>1464</v>
      </c>
      <c r="E127" t="s">
        <v>1028</v>
      </c>
      <c r="F127" t="s">
        <v>1394</v>
      </c>
      <c r="G127" t="s">
        <v>1564</v>
      </c>
      <c r="H127" t="s">
        <v>2490</v>
      </c>
      <c r="I127" t="s">
        <v>1891</v>
      </c>
    </row>
    <row r="128" spans="1:9">
      <c r="A128">
        <v>277739</v>
      </c>
      <c r="B128" t="s">
        <v>705</v>
      </c>
      <c r="C128" t="s">
        <v>706</v>
      </c>
      <c r="D128" t="s">
        <v>1465</v>
      </c>
      <c r="E128" t="s">
        <v>1028</v>
      </c>
      <c r="F128" t="s">
        <v>1394</v>
      </c>
      <c r="G128" t="s">
        <v>1573</v>
      </c>
      <c r="H128" t="s">
        <v>2490</v>
      </c>
      <c r="I128" t="s">
        <v>59</v>
      </c>
    </row>
    <row r="129" spans="1:9">
      <c r="A129">
        <v>293570</v>
      </c>
      <c r="B129" t="s">
        <v>707</v>
      </c>
      <c r="C129" t="s">
        <v>708</v>
      </c>
      <c r="D129" t="s">
        <v>1465</v>
      </c>
      <c r="E129" t="s">
        <v>971</v>
      </c>
      <c r="F129" t="s">
        <v>1399</v>
      </c>
      <c r="G129" t="s">
        <v>1570</v>
      </c>
      <c r="H129" t="s">
        <v>2490</v>
      </c>
      <c r="I129" t="s">
        <v>62</v>
      </c>
    </row>
    <row r="130" spans="1:9">
      <c r="A130">
        <v>266572</v>
      </c>
      <c r="B130" t="s">
        <v>709</v>
      </c>
      <c r="C130" t="s">
        <v>710</v>
      </c>
      <c r="D130" t="s">
        <v>1465</v>
      </c>
      <c r="E130" t="s">
        <v>1028</v>
      </c>
      <c r="F130" t="s">
        <v>1394</v>
      </c>
      <c r="G130" t="s">
        <v>1573</v>
      </c>
      <c r="H130" t="s">
        <v>2490</v>
      </c>
      <c r="I130" t="s">
        <v>59</v>
      </c>
    </row>
    <row r="131" spans="1:9">
      <c r="A131">
        <v>303499</v>
      </c>
      <c r="B131" t="s">
        <v>711</v>
      </c>
      <c r="C131" t="s">
        <v>712</v>
      </c>
      <c r="D131" t="s">
        <v>1465</v>
      </c>
      <c r="E131" t="s">
        <v>1289</v>
      </c>
      <c r="F131" t="s">
        <v>1398</v>
      </c>
      <c r="G131" t="s">
        <v>1569</v>
      </c>
      <c r="H131" t="s">
        <v>2490</v>
      </c>
      <c r="I131" t="s">
        <v>67</v>
      </c>
    </row>
    <row r="132" spans="1:9">
      <c r="A132">
        <v>274757</v>
      </c>
      <c r="B132" t="s">
        <v>713</v>
      </c>
      <c r="C132" t="s">
        <v>714</v>
      </c>
      <c r="D132" t="s">
        <v>1465</v>
      </c>
      <c r="E132" t="s">
        <v>700</v>
      </c>
      <c r="F132" t="s">
        <v>1394</v>
      </c>
      <c r="G132" t="s">
        <v>1573</v>
      </c>
      <c r="H132" t="s">
        <v>2490</v>
      </c>
      <c r="I132" t="s">
        <v>59</v>
      </c>
    </row>
    <row r="133" spans="1:9">
      <c r="A133">
        <v>105400</v>
      </c>
      <c r="B133" t="s">
        <v>715</v>
      </c>
      <c r="C133" t="s">
        <v>716</v>
      </c>
      <c r="D133" t="s">
        <v>1465</v>
      </c>
      <c r="E133" t="s">
        <v>961</v>
      </c>
      <c r="F133" t="s">
        <v>1394</v>
      </c>
      <c r="G133" t="s">
        <v>1586</v>
      </c>
      <c r="H133" t="s">
        <v>2490</v>
      </c>
      <c r="I133" t="s">
        <v>60</v>
      </c>
    </row>
    <row r="134" spans="1:9">
      <c r="A134">
        <v>278785</v>
      </c>
      <c r="B134" t="s">
        <v>717</v>
      </c>
      <c r="C134" t="s">
        <v>718</v>
      </c>
      <c r="D134" t="s">
        <v>1465</v>
      </c>
      <c r="E134" t="s">
        <v>1367</v>
      </c>
      <c r="F134" t="s">
        <v>610</v>
      </c>
      <c r="G134" t="s">
        <v>1574</v>
      </c>
      <c r="H134" t="s">
        <v>2490</v>
      </c>
      <c r="I134" t="s">
        <v>65</v>
      </c>
    </row>
    <row r="135" spans="1:9">
      <c r="A135">
        <v>194731</v>
      </c>
      <c r="B135" t="s">
        <v>719</v>
      </c>
      <c r="C135" t="s">
        <v>720</v>
      </c>
      <c r="D135" t="s">
        <v>1465</v>
      </c>
      <c r="E135" t="s">
        <v>648</v>
      </c>
      <c r="F135" t="s">
        <v>1402</v>
      </c>
      <c r="G135" t="s">
        <v>1565</v>
      </c>
      <c r="H135" t="s">
        <v>2490</v>
      </c>
      <c r="I135" t="s">
        <v>58</v>
      </c>
    </row>
    <row r="136" spans="1:9">
      <c r="A136">
        <v>274765</v>
      </c>
      <c r="B136" t="s">
        <v>721</v>
      </c>
      <c r="C136" t="s">
        <v>722</v>
      </c>
      <c r="D136" t="s">
        <v>1465</v>
      </c>
      <c r="E136" t="s">
        <v>1229</v>
      </c>
      <c r="F136" t="s">
        <v>1398</v>
      </c>
      <c r="G136" t="s">
        <v>1569</v>
      </c>
      <c r="H136" t="s">
        <v>2490</v>
      </c>
      <c r="I136" t="s">
        <v>67</v>
      </c>
    </row>
    <row r="137" spans="1:9">
      <c r="A137">
        <v>310935</v>
      </c>
      <c r="B137" t="s">
        <v>723</v>
      </c>
      <c r="C137" t="s">
        <v>724</v>
      </c>
      <c r="D137" t="s">
        <v>1465</v>
      </c>
      <c r="E137" t="s">
        <v>1367</v>
      </c>
      <c r="F137" t="s">
        <v>610</v>
      </c>
      <c r="G137" t="s">
        <v>1574</v>
      </c>
      <c r="H137" t="s">
        <v>2490</v>
      </c>
      <c r="I137" t="s">
        <v>65</v>
      </c>
    </row>
    <row r="138" spans="1:9">
      <c r="A138">
        <v>259994</v>
      </c>
      <c r="B138" t="s">
        <v>725</v>
      </c>
      <c r="C138" t="s">
        <v>726</v>
      </c>
      <c r="D138" t="s">
        <v>1465</v>
      </c>
      <c r="E138" t="s">
        <v>588</v>
      </c>
      <c r="F138" t="s">
        <v>1398</v>
      </c>
      <c r="G138" t="s">
        <v>1569</v>
      </c>
      <c r="H138" t="s">
        <v>2490</v>
      </c>
      <c r="I138" t="s">
        <v>67</v>
      </c>
    </row>
    <row r="139" spans="1:9">
      <c r="A139">
        <v>292230</v>
      </c>
      <c r="B139" t="s">
        <v>727</v>
      </c>
      <c r="C139" t="s">
        <v>728</v>
      </c>
      <c r="D139" t="s">
        <v>1465</v>
      </c>
      <c r="E139" t="s">
        <v>1361</v>
      </c>
      <c r="F139" t="s">
        <v>1405</v>
      </c>
      <c r="G139" t="s">
        <v>1574</v>
      </c>
      <c r="H139" t="s">
        <v>2490</v>
      </c>
      <c r="I139" t="s">
        <v>65</v>
      </c>
    </row>
    <row r="140" spans="1:9">
      <c r="A140">
        <v>299603</v>
      </c>
      <c r="B140" t="s">
        <v>729</v>
      </c>
      <c r="C140" t="s">
        <v>730</v>
      </c>
      <c r="D140" t="s">
        <v>1465</v>
      </c>
      <c r="E140" t="s">
        <v>1361</v>
      </c>
      <c r="F140" t="s">
        <v>1405</v>
      </c>
      <c r="G140" t="s">
        <v>1574</v>
      </c>
      <c r="H140" t="s">
        <v>2490</v>
      </c>
      <c r="I140" t="s">
        <v>65</v>
      </c>
    </row>
    <row r="141" spans="1:9">
      <c r="A141">
        <v>196095</v>
      </c>
      <c r="B141" t="s">
        <v>731</v>
      </c>
      <c r="C141" t="s">
        <v>1837</v>
      </c>
      <c r="D141" t="s">
        <v>1465</v>
      </c>
      <c r="E141" t="s">
        <v>700</v>
      </c>
      <c r="F141" t="s">
        <v>1394</v>
      </c>
      <c r="G141" t="s">
        <v>1573</v>
      </c>
      <c r="H141" t="s">
        <v>2490</v>
      </c>
      <c r="I141" t="s">
        <v>59</v>
      </c>
    </row>
    <row r="142" spans="1:9">
      <c r="A142">
        <v>293453</v>
      </c>
      <c r="B142" t="s">
        <v>732</v>
      </c>
      <c r="C142" t="s">
        <v>733</v>
      </c>
      <c r="D142" t="s">
        <v>1465</v>
      </c>
      <c r="E142" t="s">
        <v>1361</v>
      </c>
      <c r="F142" t="s">
        <v>1405</v>
      </c>
      <c r="G142" t="s">
        <v>1574</v>
      </c>
      <c r="H142" t="s">
        <v>2490</v>
      </c>
      <c r="I142" t="s">
        <v>65</v>
      </c>
    </row>
    <row r="143" spans="1:9">
      <c r="A143">
        <v>300109</v>
      </c>
      <c r="B143" t="s">
        <v>734</v>
      </c>
      <c r="C143" t="s">
        <v>735</v>
      </c>
      <c r="D143" t="s">
        <v>1465</v>
      </c>
      <c r="E143" t="s">
        <v>961</v>
      </c>
      <c r="F143" t="s">
        <v>1394</v>
      </c>
      <c r="G143" t="s">
        <v>1573</v>
      </c>
      <c r="H143" t="s">
        <v>2490</v>
      </c>
      <c r="I143" t="s">
        <v>59</v>
      </c>
    </row>
    <row r="144" spans="1:9">
      <c r="A144">
        <v>310711</v>
      </c>
      <c r="B144" t="s">
        <v>736</v>
      </c>
      <c r="C144" t="s">
        <v>737</v>
      </c>
      <c r="D144" t="s">
        <v>1465</v>
      </c>
      <c r="E144" t="s">
        <v>2491</v>
      </c>
      <c r="F144" t="s">
        <v>610</v>
      </c>
      <c r="G144" t="s">
        <v>1574</v>
      </c>
      <c r="H144" t="s">
        <v>2490</v>
      </c>
      <c r="I144" t="s">
        <v>65</v>
      </c>
    </row>
    <row r="145" spans="1:9">
      <c r="A145">
        <v>278709</v>
      </c>
      <c r="B145" t="s">
        <v>738</v>
      </c>
      <c r="C145" t="s">
        <v>739</v>
      </c>
      <c r="D145" t="s">
        <v>1465</v>
      </c>
      <c r="E145" t="s">
        <v>1223</v>
      </c>
      <c r="F145" t="s">
        <v>1399</v>
      </c>
      <c r="G145" t="s">
        <v>1576</v>
      </c>
      <c r="H145" t="s">
        <v>2490</v>
      </c>
      <c r="I145" t="s">
        <v>66</v>
      </c>
    </row>
    <row r="146" spans="1:9">
      <c r="A146">
        <v>145041</v>
      </c>
      <c r="B146" t="s">
        <v>740</v>
      </c>
      <c r="C146" t="s">
        <v>741</v>
      </c>
      <c r="D146" t="s">
        <v>1465</v>
      </c>
      <c r="E146" t="s">
        <v>951</v>
      </c>
      <c r="F146" t="s">
        <v>1402</v>
      </c>
      <c r="G146" t="s">
        <v>1569</v>
      </c>
      <c r="H146" t="s">
        <v>2490</v>
      </c>
      <c r="I146" t="s">
        <v>61</v>
      </c>
    </row>
    <row r="147" spans="1:9">
      <c r="A147">
        <v>231088</v>
      </c>
      <c r="B147" t="s">
        <v>742</v>
      </c>
      <c r="C147" t="s">
        <v>743</v>
      </c>
      <c r="D147" t="s">
        <v>1465</v>
      </c>
      <c r="E147" t="s">
        <v>604</v>
      </c>
      <c r="F147" t="s">
        <v>1399</v>
      </c>
      <c r="G147" t="s">
        <v>1570</v>
      </c>
      <c r="H147" t="s">
        <v>2490</v>
      </c>
      <c r="I147" t="s">
        <v>62</v>
      </c>
    </row>
    <row r="148" spans="1:9">
      <c r="A148">
        <v>194804</v>
      </c>
      <c r="B148" t="s">
        <v>1382</v>
      </c>
      <c r="C148" t="s">
        <v>1383</v>
      </c>
      <c r="D148" t="s">
        <v>1465</v>
      </c>
      <c r="E148" t="s">
        <v>1124</v>
      </c>
      <c r="F148" t="s">
        <v>1402</v>
      </c>
      <c r="G148" t="s">
        <v>1580</v>
      </c>
      <c r="H148" t="s">
        <v>2490</v>
      </c>
      <c r="I148" t="s">
        <v>61</v>
      </c>
    </row>
    <row r="149" spans="1:9">
      <c r="A149">
        <v>273687</v>
      </c>
      <c r="B149" t="s">
        <v>744</v>
      </c>
      <c r="C149" t="s">
        <v>745</v>
      </c>
      <c r="D149" t="s">
        <v>1465</v>
      </c>
      <c r="E149" t="s">
        <v>1223</v>
      </c>
      <c r="F149" t="s">
        <v>1399</v>
      </c>
      <c r="G149" t="s">
        <v>1576</v>
      </c>
      <c r="H149" t="s">
        <v>2490</v>
      </c>
      <c r="I149" t="s">
        <v>66</v>
      </c>
    </row>
    <row r="150" spans="1:9">
      <c r="A150">
        <v>172954</v>
      </c>
      <c r="B150" t="s">
        <v>746</v>
      </c>
      <c r="C150" t="s">
        <v>747</v>
      </c>
      <c r="D150" t="s">
        <v>1465</v>
      </c>
      <c r="E150" t="s">
        <v>1367</v>
      </c>
      <c r="F150" t="s">
        <v>610</v>
      </c>
      <c r="G150" t="s">
        <v>1587</v>
      </c>
      <c r="H150" t="s">
        <v>2490</v>
      </c>
      <c r="I150" t="s">
        <v>65</v>
      </c>
    </row>
    <row r="151" spans="1:9">
      <c r="A151">
        <v>77701</v>
      </c>
      <c r="B151" t="s">
        <v>748</v>
      </c>
      <c r="C151" t="s">
        <v>749</v>
      </c>
      <c r="D151" t="s">
        <v>1465</v>
      </c>
      <c r="E151" t="s">
        <v>1124</v>
      </c>
      <c r="F151" t="s">
        <v>1402</v>
      </c>
      <c r="G151" t="s">
        <v>1580</v>
      </c>
      <c r="H151" t="s">
        <v>2490</v>
      </c>
      <c r="I151" t="s">
        <v>61</v>
      </c>
    </row>
    <row r="152" spans="1:9">
      <c r="A152">
        <v>181312</v>
      </c>
      <c r="B152" t="s">
        <v>750</v>
      </c>
      <c r="C152" t="s">
        <v>751</v>
      </c>
      <c r="D152" t="s">
        <v>1464</v>
      </c>
      <c r="E152" t="s">
        <v>961</v>
      </c>
      <c r="F152" t="s">
        <v>1394</v>
      </c>
      <c r="G152" t="s">
        <v>1564</v>
      </c>
      <c r="H152" t="s">
        <v>2490</v>
      </c>
      <c r="I152" t="s">
        <v>1891</v>
      </c>
    </row>
    <row r="153" spans="1:9">
      <c r="A153">
        <v>194575</v>
      </c>
      <c r="B153" t="s">
        <v>752</v>
      </c>
      <c r="C153" t="s">
        <v>753</v>
      </c>
      <c r="D153" t="s">
        <v>1465</v>
      </c>
      <c r="E153" t="s">
        <v>1361</v>
      </c>
      <c r="F153" t="s">
        <v>1405</v>
      </c>
      <c r="G153" t="s">
        <v>1574</v>
      </c>
      <c r="H153" t="s">
        <v>2490</v>
      </c>
      <c r="I153" t="s">
        <v>65</v>
      </c>
    </row>
    <row r="154" spans="1:9">
      <c r="A154">
        <v>198043</v>
      </c>
      <c r="B154" t="s">
        <v>754</v>
      </c>
      <c r="C154" t="s">
        <v>755</v>
      </c>
      <c r="D154" t="s">
        <v>1465</v>
      </c>
      <c r="E154" t="s">
        <v>1223</v>
      </c>
      <c r="F154" t="s">
        <v>1399</v>
      </c>
      <c r="G154" t="s">
        <v>1576</v>
      </c>
      <c r="H154" t="s">
        <v>2490</v>
      </c>
      <c r="I154" t="s">
        <v>66</v>
      </c>
    </row>
    <row r="155" spans="1:9">
      <c r="A155">
        <v>173037</v>
      </c>
      <c r="B155" t="s">
        <v>756</v>
      </c>
      <c r="C155" t="s">
        <v>757</v>
      </c>
      <c r="D155" t="s">
        <v>1465</v>
      </c>
      <c r="E155" t="s">
        <v>2491</v>
      </c>
      <c r="F155" t="s">
        <v>610</v>
      </c>
      <c r="G155" t="s">
        <v>1574</v>
      </c>
      <c r="H155" t="s">
        <v>2490</v>
      </c>
      <c r="I155" t="s">
        <v>65</v>
      </c>
    </row>
    <row r="156" spans="1:9">
      <c r="A156">
        <v>100885</v>
      </c>
      <c r="B156" t="s">
        <v>758</v>
      </c>
      <c r="C156" t="s">
        <v>759</v>
      </c>
      <c r="D156" t="s">
        <v>1465</v>
      </c>
      <c r="E156" t="s">
        <v>2491</v>
      </c>
      <c r="F156" t="s">
        <v>610</v>
      </c>
      <c r="G156" t="s">
        <v>1566</v>
      </c>
      <c r="H156" t="s">
        <v>2490</v>
      </c>
      <c r="I156" t="s">
        <v>65</v>
      </c>
    </row>
    <row r="157" spans="1:9">
      <c r="A157">
        <v>241933</v>
      </c>
      <c r="B157" t="s">
        <v>760</v>
      </c>
      <c r="C157" t="s">
        <v>761</v>
      </c>
      <c r="D157" t="s">
        <v>1465</v>
      </c>
      <c r="E157" t="s">
        <v>588</v>
      </c>
      <c r="F157" t="s">
        <v>1398</v>
      </c>
      <c r="G157" t="s">
        <v>1569</v>
      </c>
      <c r="H157" t="s">
        <v>2490</v>
      </c>
      <c r="I157" t="s">
        <v>67</v>
      </c>
    </row>
    <row r="158" spans="1:9">
      <c r="A158">
        <v>273376</v>
      </c>
      <c r="B158" t="s">
        <v>762</v>
      </c>
      <c r="C158" t="s">
        <v>763</v>
      </c>
      <c r="D158" t="s">
        <v>1465</v>
      </c>
      <c r="E158" t="s">
        <v>1361</v>
      </c>
      <c r="F158" t="s">
        <v>1405</v>
      </c>
      <c r="G158" t="s">
        <v>1574</v>
      </c>
      <c r="H158" t="s">
        <v>2490</v>
      </c>
      <c r="I158" t="s">
        <v>65</v>
      </c>
    </row>
    <row r="159" spans="1:9">
      <c r="A159">
        <v>181984</v>
      </c>
      <c r="B159" t="s">
        <v>764</v>
      </c>
      <c r="C159" t="s">
        <v>765</v>
      </c>
      <c r="D159" t="s">
        <v>1465</v>
      </c>
      <c r="E159" t="s">
        <v>2491</v>
      </c>
      <c r="F159" t="s">
        <v>610</v>
      </c>
      <c r="G159" t="s">
        <v>1574</v>
      </c>
      <c r="H159" t="s">
        <v>2490</v>
      </c>
      <c r="I159" t="s">
        <v>65</v>
      </c>
    </row>
    <row r="160" spans="1:9">
      <c r="A160">
        <v>230571</v>
      </c>
      <c r="B160" t="s">
        <v>766</v>
      </c>
      <c r="C160" t="s">
        <v>767</v>
      </c>
      <c r="D160" t="s">
        <v>1465</v>
      </c>
      <c r="E160" t="s">
        <v>1361</v>
      </c>
      <c r="F160" t="s">
        <v>1405</v>
      </c>
      <c r="G160" t="s">
        <v>1574</v>
      </c>
      <c r="H160" t="s">
        <v>2490</v>
      </c>
      <c r="I160" t="s">
        <v>65</v>
      </c>
    </row>
    <row r="161" spans="1:9">
      <c r="A161">
        <v>224360</v>
      </c>
      <c r="B161" t="s">
        <v>768</v>
      </c>
      <c r="C161" t="s">
        <v>2310</v>
      </c>
      <c r="D161" t="s">
        <v>1465</v>
      </c>
      <c r="E161" t="s">
        <v>827</v>
      </c>
      <c r="F161" t="s">
        <v>1399</v>
      </c>
      <c r="G161" t="s">
        <v>1582</v>
      </c>
      <c r="H161" t="s">
        <v>2490</v>
      </c>
      <c r="I161" t="s">
        <v>66</v>
      </c>
    </row>
    <row r="162" spans="1:9">
      <c r="A162">
        <v>277339</v>
      </c>
      <c r="B162" t="s">
        <v>769</v>
      </c>
      <c r="C162" t="s">
        <v>770</v>
      </c>
      <c r="D162" t="s">
        <v>1465</v>
      </c>
      <c r="E162" t="s">
        <v>478</v>
      </c>
      <c r="F162" t="s">
        <v>1398</v>
      </c>
      <c r="G162" t="s">
        <v>1569</v>
      </c>
      <c r="H162" t="s">
        <v>2490</v>
      </c>
      <c r="I162" t="s">
        <v>67</v>
      </c>
    </row>
    <row r="163" spans="1:9">
      <c r="A163">
        <v>297622</v>
      </c>
      <c r="B163" t="s">
        <v>771</v>
      </c>
      <c r="C163" t="s">
        <v>772</v>
      </c>
      <c r="D163" t="s">
        <v>1465</v>
      </c>
      <c r="E163" t="s">
        <v>1207</v>
      </c>
      <c r="F163" t="s">
        <v>1405</v>
      </c>
      <c r="G163" t="s">
        <v>1574</v>
      </c>
      <c r="H163" t="s">
        <v>2490</v>
      </c>
      <c r="I163" t="s">
        <v>65</v>
      </c>
    </row>
    <row r="164" spans="1:9">
      <c r="A164">
        <v>145021</v>
      </c>
      <c r="B164" t="s">
        <v>773</v>
      </c>
      <c r="C164" t="s">
        <v>774</v>
      </c>
      <c r="D164" t="s">
        <v>1465</v>
      </c>
      <c r="E164" t="s">
        <v>1367</v>
      </c>
      <c r="F164" t="s">
        <v>610</v>
      </c>
      <c r="G164" t="s">
        <v>1583</v>
      </c>
      <c r="H164" t="s">
        <v>2490</v>
      </c>
      <c r="I164" t="s">
        <v>65</v>
      </c>
    </row>
    <row r="165" spans="1:9">
      <c r="A165">
        <v>196352</v>
      </c>
      <c r="B165" t="s">
        <v>775</v>
      </c>
      <c r="C165" t="s">
        <v>776</v>
      </c>
      <c r="D165" t="s">
        <v>1465</v>
      </c>
      <c r="E165" t="s">
        <v>943</v>
      </c>
      <c r="F165" t="s">
        <v>1402</v>
      </c>
      <c r="G165" t="s">
        <v>1575</v>
      </c>
      <c r="H165" t="s">
        <v>2490</v>
      </c>
      <c r="I165" t="s">
        <v>68</v>
      </c>
    </row>
    <row r="166" spans="1:9">
      <c r="A166">
        <v>111870</v>
      </c>
      <c r="B166" t="s">
        <v>777</v>
      </c>
      <c r="C166" t="s">
        <v>778</v>
      </c>
      <c r="D166" t="s">
        <v>1465</v>
      </c>
      <c r="E166" t="s">
        <v>801</v>
      </c>
      <c r="F166" t="s">
        <v>1405</v>
      </c>
      <c r="G166" t="s">
        <v>1587</v>
      </c>
      <c r="H166" t="s">
        <v>2490</v>
      </c>
      <c r="I166" t="s">
        <v>65</v>
      </c>
    </row>
    <row r="167" spans="1:9">
      <c r="A167">
        <v>311001</v>
      </c>
      <c r="B167" t="s">
        <v>779</v>
      </c>
      <c r="C167" t="s">
        <v>780</v>
      </c>
      <c r="D167" t="s">
        <v>1465</v>
      </c>
      <c r="E167" t="s">
        <v>801</v>
      </c>
      <c r="F167" t="s">
        <v>1405</v>
      </c>
      <c r="G167" t="s">
        <v>1574</v>
      </c>
      <c r="H167" t="s">
        <v>2490</v>
      </c>
      <c r="I167" t="s">
        <v>65</v>
      </c>
    </row>
    <row r="168" spans="1:9">
      <c r="A168">
        <v>229175</v>
      </c>
      <c r="B168" t="s">
        <v>781</v>
      </c>
      <c r="C168" t="s">
        <v>782</v>
      </c>
      <c r="D168" t="s">
        <v>1465</v>
      </c>
      <c r="E168" t="s">
        <v>1207</v>
      </c>
      <c r="F168" t="s">
        <v>1405</v>
      </c>
      <c r="G168" t="s">
        <v>1574</v>
      </c>
      <c r="H168" t="s">
        <v>2490</v>
      </c>
      <c r="I168" t="s">
        <v>65</v>
      </c>
    </row>
    <row r="169" spans="1:9">
      <c r="A169">
        <v>144302</v>
      </c>
      <c r="B169" t="s">
        <v>783</v>
      </c>
      <c r="C169" t="s">
        <v>784</v>
      </c>
      <c r="D169" t="s">
        <v>1465</v>
      </c>
      <c r="E169" t="s">
        <v>2492</v>
      </c>
      <c r="F169" t="s">
        <v>1399</v>
      </c>
      <c r="G169" t="s">
        <v>1570</v>
      </c>
      <c r="H169" t="s">
        <v>2490</v>
      </c>
      <c r="I169" t="s">
        <v>62</v>
      </c>
    </row>
    <row r="170" spans="1:9">
      <c r="A170">
        <v>310942</v>
      </c>
      <c r="B170" t="s">
        <v>785</v>
      </c>
      <c r="C170" t="s">
        <v>786</v>
      </c>
      <c r="D170" t="s">
        <v>1465</v>
      </c>
      <c r="E170" t="s">
        <v>801</v>
      </c>
      <c r="F170" t="s">
        <v>1405</v>
      </c>
      <c r="G170" t="s">
        <v>1574</v>
      </c>
      <c r="H170" t="s">
        <v>2490</v>
      </c>
      <c r="I170" t="s">
        <v>65</v>
      </c>
    </row>
    <row r="171" spans="1:9">
      <c r="A171">
        <v>278132</v>
      </c>
      <c r="B171" t="s">
        <v>787</v>
      </c>
      <c r="C171" t="s">
        <v>788</v>
      </c>
      <c r="D171" t="s">
        <v>1465</v>
      </c>
      <c r="E171" t="s">
        <v>700</v>
      </c>
      <c r="F171" t="s">
        <v>1394</v>
      </c>
      <c r="G171" t="s">
        <v>1573</v>
      </c>
      <c r="H171" t="s">
        <v>2490</v>
      </c>
      <c r="I171" t="s">
        <v>59</v>
      </c>
    </row>
    <row r="172" spans="1:9">
      <c r="A172">
        <v>112066</v>
      </c>
      <c r="B172" t="s">
        <v>789</v>
      </c>
      <c r="C172" t="s">
        <v>790</v>
      </c>
      <c r="D172" t="s">
        <v>1465</v>
      </c>
      <c r="E172" t="s">
        <v>943</v>
      </c>
      <c r="F172" t="s">
        <v>1402</v>
      </c>
      <c r="G172" t="s">
        <v>1575</v>
      </c>
      <c r="H172" t="s">
        <v>2490</v>
      </c>
      <c r="I172" t="s">
        <v>68</v>
      </c>
    </row>
    <row r="173" spans="1:9">
      <c r="A173">
        <v>274436</v>
      </c>
      <c r="B173" t="s">
        <v>791</v>
      </c>
      <c r="C173" t="s">
        <v>792</v>
      </c>
      <c r="D173" t="s">
        <v>1465</v>
      </c>
      <c r="E173" t="s">
        <v>1369</v>
      </c>
      <c r="F173" t="s">
        <v>1398</v>
      </c>
      <c r="G173" t="s">
        <v>1569</v>
      </c>
      <c r="H173" t="s">
        <v>2490</v>
      </c>
      <c r="I173" t="s">
        <v>67</v>
      </c>
    </row>
    <row r="174" spans="1:9">
      <c r="A174">
        <v>3701</v>
      </c>
      <c r="B174" t="s">
        <v>794</v>
      </c>
      <c r="C174" t="s">
        <v>795</v>
      </c>
      <c r="D174" t="s">
        <v>1465</v>
      </c>
      <c r="E174" t="s">
        <v>827</v>
      </c>
      <c r="F174" t="s">
        <v>1399</v>
      </c>
      <c r="G174" t="s">
        <v>1582</v>
      </c>
      <c r="H174" t="s">
        <v>2490</v>
      </c>
      <c r="I174" t="s">
        <v>64</v>
      </c>
    </row>
    <row r="175" spans="1:9">
      <c r="A175">
        <v>296952</v>
      </c>
      <c r="B175" t="s">
        <v>796</v>
      </c>
      <c r="C175" t="s">
        <v>797</v>
      </c>
      <c r="D175" t="s">
        <v>1465</v>
      </c>
      <c r="E175" t="s">
        <v>1207</v>
      </c>
      <c r="F175" t="s">
        <v>1405</v>
      </c>
      <c r="G175" t="s">
        <v>1574</v>
      </c>
      <c r="H175" t="s">
        <v>2490</v>
      </c>
      <c r="I175" t="s">
        <v>65</v>
      </c>
    </row>
    <row r="176" spans="1:9">
      <c r="A176">
        <v>197709</v>
      </c>
      <c r="B176" t="s">
        <v>798</v>
      </c>
      <c r="C176" t="s">
        <v>799</v>
      </c>
      <c r="D176" t="s">
        <v>1465</v>
      </c>
      <c r="E176" t="s">
        <v>1124</v>
      </c>
      <c r="F176" t="s">
        <v>1402</v>
      </c>
      <c r="G176" t="s">
        <v>1566</v>
      </c>
      <c r="H176" t="s">
        <v>2490</v>
      </c>
      <c r="I176" t="s">
        <v>61</v>
      </c>
    </row>
    <row r="177" spans="1:9">
      <c r="A177">
        <v>180359</v>
      </c>
      <c r="B177" t="s">
        <v>800</v>
      </c>
      <c r="C177" t="s">
        <v>801</v>
      </c>
      <c r="D177" t="s">
        <v>1467</v>
      </c>
      <c r="E177" t="s">
        <v>1405</v>
      </c>
      <c r="F177" t="s">
        <v>1404</v>
      </c>
      <c r="G177" t="s">
        <v>1451</v>
      </c>
      <c r="H177" t="s">
        <v>2490</v>
      </c>
      <c r="I177" t="s">
        <v>1891</v>
      </c>
    </row>
    <row r="178" spans="1:9">
      <c r="A178">
        <v>195501</v>
      </c>
      <c r="B178" t="s">
        <v>802</v>
      </c>
      <c r="C178" t="s">
        <v>803</v>
      </c>
      <c r="D178" t="s">
        <v>1465</v>
      </c>
      <c r="E178" t="s">
        <v>648</v>
      </c>
      <c r="F178" t="s">
        <v>1402</v>
      </c>
      <c r="G178" t="s">
        <v>1565</v>
      </c>
      <c r="H178" t="s">
        <v>2490</v>
      </c>
      <c r="I178" t="s">
        <v>58</v>
      </c>
    </row>
    <row r="179" spans="1:9">
      <c r="A179">
        <v>89352</v>
      </c>
      <c r="B179" t="s">
        <v>804</v>
      </c>
      <c r="C179" t="s">
        <v>805</v>
      </c>
      <c r="D179" t="s">
        <v>1465</v>
      </c>
      <c r="E179" t="s">
        <v>951</v>
      </c>
      <c r="F179" t="s">
        <v>1402</v>
      </c>
      <c r="G179" t="s">
        <v>1589</v>
      </c>
      <c r="H179" t="s">
        <v>2490</v>
      </c>
      <c r="I179" t="s">
        <v>61</v>
      </c>
    </row>
    <row r="180" spans="1:9">
      <c r="A180">
        <v>105543</v>
      </c>
      <c r="B180" t="s">
        <v>806</v>
      </c>
      <c r="C180" t="s">
        <v>807</v>
      </c>
      <c r="D180" t="s">
        <v>1465</v>
      </c>
      <c r="E180" t="s">
        <v>1124</v>
      </c>
      <c r="F180" t="s">
        <v>1402</v>
      </c>
      <c r="G180" t="s">
        <v>1564</v>
      </c>
      <c r="H180" t="s">
        <v>2490</v>
      </c>
      <c r="I180" t="s">
        <v>1891</v>
      </c>
    </row>
    <row r="181" spans="1:9">
      <c r="A181">
        <v>260142</v>
      </c>
      <c r="B181" t="s">
        <v>808</v>
      </c>
      <c r="C181" t="s">
        <v>809</v>
      </c>
      <c r="D181" t="s">
        <v>1465</v>
      </c>
      <c r="E181" t="s">
        <v>1367</v>
      </c>
      <c r="F181" t="s">
        <v>610</v>
      </c>
      <c r="G181" t="s">
        <v>1574</v>
      </c>
      <c r="H181" t="s">
        <v>2490</v>
      </c>
      <c r="I181" t="s">
        <v>65</v>
      </c>
    </row>
    <row r="182" spans="1:9">
      <c r="A182">
        <v>243352</v>
      </c>
      <c r="B182" t="s">
        <v>810</v>
      </c>
      <c r="C182" t="s">
        <v>811</v>
      </c>
      <c r="D182" t="s">
        <v>1465</v>
      </c>
      <c r="E182" t="s">
        <v>1289</v>
      </c>
      <c r="F182" t="s">
        <v>1398</v>
      </c>
      <c r="G182" t="s">
        <v>1569</v>
      </c>
      <c r="H182" t="s">
        <v>2490</v>
      </c>
      <c r="I182" t="s">
        <v>67</v>
      </c>
    </row>
    <row r="183" spans="1:9">
      <c r="A183">
        <v>265452</v>
      </c>
      <c r="B183" t="s">
        <v>812</v>
      </c>
      <c r="C183" t="s">
        <v>813</v>
      </c>
      <c r="D183" t="s">
        <v>1465</v>
      </c>
      <c r="E183" t="s">
        <v>1229</v>
      </c>
      <c r="F183" t="s">
        <v>1398</v>
      </c>
      <c r="G183" t="s">
        <v>1569</v>
      </c>
      <c r="H183" t="s">
        <v>2490</v>
      </c>
      <c r="I183" t="s">
        <v>67</v>
      </c>
    </row>
    <row r="184" spans="1:9">
      <c r="A184">
        <v>25741</v>
      </c>
      <c r="B184" t="s">
        <v>814</v>
      </c>
      <c r="C184" t="s">
        <v>815</v>
      </c>
      <c r="D184" t="s">
        <v>1465</v>
      </c>
      <c r="E184" t="s">
        <v>951</v>
      </c>
      <c r="F184" t="s">
        <v>1402</v>
      </c>
      <c r="G184" t="s">
        <v>1580</v>
      </c>
      <c r="H184" t="s">
        <v>2490</v>
      </c>
      <c r="I184" t="s">
        <v>61</v>
      </c>
    </row>
    <row r="185" spans="1:9">
      <c r="A185">
        <v>272447</v>
      </c>
      <c r="B185" t="s">
        <v>816</v>
      </c>
      <c r="C185" t="s">
        <v>817</v>
      </c>
      <c r="D185" t="s">
        <v>1465</v>
      </c>
      <c r="E185" t="s">
        <v>1361</v>
      </c>
      <c r="F185" t="s">
        <v>1405</v>
      </c>
      <c r="G185" t="s">
        <v>1574</v>
      </c>
      <c r="H185" t="s">
        <v>2490</v>
      </c>
      <c r="I185" t="s">
        <v>65</v>
      </c>
    </row>
    <row r="186" spans="1:9">
      <c r="A186">
        <v>279530</v>
      </c>
      <c r="B186" t="s">
        <v>818</v>
      </c>
      <c r="C186" t="s">
        <v>819</v>
      </c>
      <c r="D186" t="s">
        <v>1465</v>
      </c>
      <c r="E186" t="s">
        <v>2491</v>
      </c>
      <c r="F186" t="s">
        <v>610</v>
      </c>
      <c r="G186" t="s">
        <v>1574</v>
      </c>
      <c r="H186" t="s">
        <v>2490</v>
      </c>
      <c r="I186" t="s">
        <v>65</v>
      </c>
    </row>
    <row r="187" spans="1:9">
      <c r="A187">
        <v>274592</v>
      </c>
      <c r="B187" t="s">
        <v>820</v>
      </c>
      <c r="C187" t="s">
        <v>821</v>
      </c>
      <c r="D187" t="s">
        <v>1465</v>
      </c>
      <c r="E187" t="s">
        <v>1092</v>
      </c>
      <c r="F187" t="s">
        <v>1398</v>
      </c>
      <c r="G187" t="s">
        <v>1569</v>
      </c>
      <c r="H187" t="s">
        <v>2490</v>
      </c>
      <c r="I187" t="s">
        <v>67</v>
      </c>
    </row>
    <row r="188" spans="1:9">
      <c r="A188">
        <v>277589</v>
      </c>
      <c r="B188" t="s">
        <v>822</v>
      </c>
      <c r="C188" t="s">
        <v>823</v>
      </c>
      <c r="D188" t="s">
        <v>1465</v>
      </c>
      <c r="E188" t="s">
        <v>801</v>
      </c>
      <c r="F188" t="s">
        <v>1405</v>
      </c>
      <c r="G188" t="s">
        <v>1574</v>
      </c>
      <c r="H188" t="s">
        <v>2490</v>
      </c>
      <c r="I188" t="s">
        <v>65</v>
      </c>
    </row>
    <row r="189" spans="1:9">
      <c r="A189">
        <v>273256</v>
      </c>
      <c r="B189" t="s">
        <v>824</v>
      </c>
      <c r="C189" t="s">
        <v>825</v>
      </c>
      <c r="D189" t="s">
        <v>1465</v>
      </c>
      <c r="E189" t="s">
        <v>2491</v>
      </c>
      <c r="F189" t="s">
        <v>610</v>
      </c>
      <c r="G189" t="s">
        <v>1574</v>
      </c>
      <c r="H189" t="s">
        <v>2490</v>
      </c>
      <c r="I189" t="s">
        <v>65</v>
      </c>
    </row>
    <row r="190" spans="1:9">
      <c r="A190">
        <v>87359</v>
      </c>
      <c r="B190" t="s">
        <v>826</v>
      </c>
      <c r="C190" t="s">
        <v>827</v>
      </c>
      <c r="D190" t="s">
        <v>1467</v>
      </c>
      <c r="E190" t="s">
        <v>1399</v>
      </c>
      <c r="F190" t="s">
        <v>1404</v>
      </c>
      <c r="G190" t="s">
        <v>1451</v>
      </c>
      <c r="H190" t="s">
        <v>2490</v>
      </c>
      <c r="I190" t="s">
        <v>1891</v>
      </c>
    </row>
    <row r="191" spans="1:9">
      <c r="A191">
        <v>195307</v>
      </c>
      <c r="B191" t="s">
        <v>828</v>
      </c>
      <c r="C191" t="s">
        <v>829</v>
      </c>
      <c r="D191" t="s">
        <v>1465</v>
      </c>
      <c r="E191" t="s">
        <v>1082</v>
      </c>
      <c r="F191" t="s">
        <v>1402</v>
      </c>
      <c r="G191" t="s">
        <v>1565</v>
      </c>
      <c r="H191" t="s">
        <v>2490</v>
      </c>
      <c r="I191" t="s">
        <v>58</v>
      </c>
    </row>
    <row r="192" spans="1:9">
      <c r="A192">
        <v>198135</v>
      </c>
      <c r="B192" t="s">
        <v>1447</v>
      </c>
      <c r="C192" t="s">
        <v>1443</v>
      </c>
      <c r="D192" t="s">
        <v>1465</v>
      </c>
      <c r="E192" t="s">
        <v>648</v>
      </c>
      <c r="F192" t="s">
        <v>1402</v>
      </c>
      <c r="G192" t="s">
        <v>1565</v>
      </c>
      <c r="H192" t="s">
        <v>2490</v>
      </c>
      <c r="I192" t="s">
        <v>58</v>
      </c>
    </row>
    <row r="193" spans="1:9">
      <c r="A193">
        <v>278136</v>
      </c>
      <c r="B193" t="s">
        <v>830</v>
      </c>
      <c r="C193" t="s">
        <v>831</v>
      </c>
      <c r="D193" t="s">
        <v>1465</v>
      </c>
      <c r="E193" t="s">
        <v>700</v>
      </c>
      <c r="F193" t="s">
        <v>1394</v>
      </c>
      <c r="G193" t="s">
        <v>1573</v>
      </c>
      <c r="H193" t="s">
        <v>2490</v>
      </c>
      <c r="I193" t="s">
        <v>59</v>
      </c>
    </row>
    <row r="194" spans="1:9">
      <c r="A194">
        <v>291107</v>
      </c>
      <c r="B194" t="s">
        <v>832</v>
      </c>
      <c r="C194" t="s">
        <v>833</v>
      </c>
      <c r="D194" t="s">
        <v>1465</v>
      </c>
      <c r="E194" t="s">
        <v>514</v>
      </c>
      <c r="F194" t="s">
        <v>610</v>
      </c>
      <c r="G194" t="s">
        <v>1574</v>
      </c>
      <c r="H194" t="s">
        <v>2490</v>
      </c>
      <c r="I194" t="s">
        <v>65</v>
      </c>
    </row>
    <row r="195" spans="1:9">
      <c r="A195">
        <v>276020</v>
      </c>
      <c r="B195" t="s">
        <v>1457</v>
      </c>
      <c r="C195" t="s">
        <v>1454</v>
      </c>
      <c r="D195" t="s">
        <v>1465</v>
      </c>
      <c r="E195" t="s">
        <v>1369</v>
      </c>
      <c r="F195" t="s">
        <v>1398</v>
      </c>
      <c r="G195" t="s">
        <v>1569</v>
      </c>
      <c r="H195" t="s">
        <v>2490</v>
      </c>
      <c r="I195" t="s">
        <v>67</v>
      </c>
    </row>
    <row r="196" spans="1:9">
      <c r="A196">
        <v>221653</v>
      </c>
      <c r="B196" t="s">
        <v>834</v>
      </c>
      <c r="C196" t="s">
        <v>835</v>
      </c>
      <c r="D196" t="s">
        <v>1465</v>
      </c>
      <c r="E196" t="s">
        <v>1369</v>
      </c>
      <c r="F196" t="s">
        <v>1398</v>
      </c>
      <c r="G196" t="s">
        <v>1569</v>
      </c>
      <c r="H196" t="s">
        <v>2490</v>
      </c>
      <c r="I196" t="s">
        <v>67</v>
      </c>
    </row>
    <row r="197" spans="1:9">
      <c r="A197">
        <v>196243</v>
      </c>
      <c r="B197" t="s">
        <v>836</v>
      </c>
      <c r="C197" t="s">
        <v>837</v>
      </c>
      <c r="D197" t="s">
        <v>1464</v>
      </c>
      <c r="E197" t="s">
        <v>588</v>
      </c>
      <c r="F197" t="s">
        <v>1398</v>
      </c>
      <c r="G197" t="s">
        <v>1564</v>
      </c>
      <c r="H197" t="s">
        <v>2490</v>
      </c>
      <c r="I197" t="s">
        <v>1891</v>
      </c>
    </row>
    <row r="198" spans="1:9">
      <c r="A198">
        <v>145757</v>
      </c>
      <c r="B198" t="s">
        <v>838</v>
      </c>
      <c r="C198" t="s">
        <v>839</v>
      </c>
      <c r="D198" t="s">
        <v>1465</v>
      </c>
      <c r="E198" t="s">
        <v>1124</v>
      </c>
      <c r="F198" t="s">
        <v>1402</v>
      </c>
      <c r="G198" t="s">
        <v>1580</v>
      </c>
      <c r="H198" t="s">
        <v>2490</v>
      </c>
      <c r="I198" t="s">
        <v>61</v>
      </c>
    </row>
    <row r="199" spans="1:9">
      <c r="A199">
        <v>201220</v>
      </c>
      <c r="B199" t="s">
        <v>840</v>
      </c>
      <c r="C199" t="s">
        <v>841</v>
      </c>
      <c r="D199" t="s">
        <v>1465</v>
      </c>
      <c r="E199" t="s">
        <v>971</v>
      </c>
      <c r="F199" t="s">
        <v>1399</v>
      </c>
      <c r="G199" t="s">
        <v>1570</v>
      </c>
      <c r="H199" t="s">
        <v>2490</v>
      </c>
      <c r="I199" t="s">
        <v>62</v>
      </c>
    </row>
    <row r="200" spans="1:9">
      <c r="A200">
        <v>297912</v>
      </c>
      <c r="B200" t="s">
        <v>842</v>
      </c>
      <c r="C200" t="s">
        <v>843</v>
      </c>
      <c r="D200" t="s">
        <v>1465</v>
      </c>
      <c r="E200" t="s">
        <v>1367</v>
      </c>
      <c r="F200" t="s">
        <v>610</v>
      </c>
      <c r="G200" t="s">
        <v>1574</v>
      </c>
      <c r="H200" t="s">
        <v>2490</v>
      </c>
      <c r="I200" t="s">
        <v>65</v>
      </c>
    </row>
    <row r="201" spans="1:9">
      <c r="A201">
        <v>230776</v>
      </c>
      <c r="B201" t="s">
        <v>844</v>
      </c>
      <c r="C201" t="s">
        <v>845</v>
      </c>
      <c r="D201" t="s">
        <v>1465</v>
      </c>
      <c r="E201" t="s">
        <v>1207</v>
      </c>
      <c r="F201" t="s">
        <v>1405</v>
      </c>
      <c r="G201" t="s">
        <v>1574</v>
      </c>
      <c r="H201" t="s">
        <v>2490</v>
      </c>
      <c r="I201" t="s">
        <v>65</v>
      </c>
    </row>
    <row r="202" spans="1:9">
      <c r="A202">
        <v>102302</v>
      </c>
      <c r="B202" t="s">
        <v>846</v>
      </c>
      <c r="C202" t="s">
        <v>847</v>
      </c>
      <c r="D202" t="s">
        <v>1465</v>
      </c>
      <c r="E202" t="s">
        <v>1124</v>
      </c>
      <c r="F202" t="s">
        <v>1402</v>
      </c>
      <c r="G202" t="s">
        <v>1580</v>
      </c>
      <c r="H202" t="s">
        <v>2490</v>
      </c>
      <c r="I202" t="s">
        <v>61</v>
      </c>
    </row>
    <row r="203" spans="1:9">
      <c r="A203">
        <v>138166</v>
      </c>
      <c r="B203" t="s">
        <v>1374</v>
      </c>
      <c r="C203" t="s">
        <v>1375</v>
      </c>
      <c r="D203" t="s">
        <v>1465</v>
      </c>
      <c r="E203" t="s">
        <v>2492</v>
      </c>
      <c r="F203" t="s">
        <v>1399</v>
      </c>
      <c r="G203" t="s">
        <v>1570</v>
      </c>
      <c r="H203" t="s">
        <v>2490</v>
      </c>
      <c r="I203" t="s">
        <v>62</v>
      </c>
    </row>
    <row r="204" spans="1:9">
      <c r="A204">
        <v>278515</v>
      </c>
      <c r="B204" t="s">
        <v>848</v>
      </c>
      <c r="C204" t="s">
        <v>849</v>
      </c>
      <c r="D204" t="s">
        <v>1465</v>
      </c>
      <c r="E204" t="s">
        <v>1229</v>
      </c>
      <c r="F204" t="s">
        <v>1398</v>
      </c>
      <c r="G204" t="s">
        <v>1569</v>
      </c>
      <c r="H204" t="s">
        <v>2490</v>
      </c>
      <c r="I204" t="s">
        <v>67</v>
      </c>
    </row>
    <row r="205" spans="1:9">
      <c r="A205">
        <v>163207</v>
      </c>
      <c r="B205" t="s">
        <v>850</v>
      </c>
      <c r="C205" t="s">
        <v>851</v>
      </c>
      <c r="D205" t="s">
        <v>1465</v>
      </c>
      <c r="E205" t="s">
        <v>700</v>
      </c>
      <c r="F205" t="s">
        <v>1394</v>
      </c>
      <c r="G205" t="s">
        <v>1573</v>
      </c>
      <c r="H205" t="s">
        <v>2490</v>
      </c>
      <c r="I205" t="s">
        <v>59</v>
      </c>
    </row>
    <row r="206" spans="1:9">
      <c r="A206">
        <v>231757</v>
      </c>
      <c r="B206" t="s">
        <v>852</v>
      </c>
      <c r="C206" t="s">
        <v>1590</v>
      </c>
      <c r="D206" t="s">
        <v>1465</v>
      </c>
      <c r="E206" t="s">
        <v>514</v>
      </c>
      <c r="F206" t="s">
        <v>610</v>
      </c>
      <c r="G206" t="s">
        <v>1574</v>
      </c>
      <c r="H206" t="s">
        <v>2490</v>
      </c>
      <c r="I206" t="s">
        <v>65</v>
      </c>
    </row>
    <row r="207" spans="1:9">
      <c r="A207">
        <v>22023</v>
      </c>
      <c r="B207" t="s">
        <v>853</v>
      </c>
      <c r="C207" t="s">
        <v>854</v>
      </c>
      <c r="D207" t="s">
        <v>1465</v>
      </c>
      <c r="E207" t="s">
        <v>1124</v>
      </c>
      <c r="F207" t="s">
        <v>1402</v>
      </c>
      <c r="G207" t="s">
        <v>1588</v>
      </c>
      <c r="H207" t="s">
        <v>2490</v>
      </c>
      <c r="I207" t="s">
        <v>61</v>
      </c>
    </row>
    <row r="208" spans="1:9">
      <c r="A208">
        <v>65791</v>
      </c>
      <c r="B208" t="s">
        <v>855</v>
      </c>
      <c r="C208" t="s">
        <v>856</v>
      </c>
      <c r="D208" t="s">
        <v>1465</v>
      </c>
      <c r="E208" t="s">
        <v>1124</v>
      </c>
      <c r="F208" t="s">
        <v>1402</v>
      </c>
      <c r="G208" t="s">
        <v>1588</v>
      </c>
      <c r="H208" t="s">
        <v>2490</v>
      </c>
      <c r="I208" t="s">
        <v>61</v>
      </c>
    </row>
    <row r="209" spans="1:9">
      <c r="A209">
        <v>274576</v>
      </c>
      <c r="B209" t="s">
        <v>857</v>
      </c>
      <c r="C209" t="s">
        <v>858</v>
      </c>
      <c r="D209" t="s">
        <v>1465</v>
      </c>
      <c r="E209" t="s">
        <v>478</v>
      </c>
      <c r="F209" t="s">
        <v>1398</v>
      </c>
      <c r="G209" t="s">
        <v>1569</v>
      </c>
      <c r="H209" t="s">
        <v>2490</v>
      </c>
      <c r="I209" t="s">
        <v>67</v>
      </c>
    </row>
    <row r="210" spans="1:9">
      <c r="A210">
        <v>310717</v>
      </c>
      <c r="B210" t="s">
        <v>859</v>
      </c>
      <c r="C210" t="s">
        <v>860</v>
      </c>
      <c r="D210" t="s">
        <v>1465</v>
      </c>
      <c r="E210" t="s">
        <v>801</v>
      </c>
      <c r="F210" t="s">
        <v>1405</v>
      </c>
      <c r="G210" t="s">
        <v>1574</v>
      </c>
      <c r="H210" t="s">
        <v>2490</v>
      </c>
      <c r="I210" t="s">
        <v>65</v>
      </c>
    </row>
    <row r="211" spans="1:9">
      <c r="A211">
        <v>264953</v>
      </c>
      <c r="B211" t="s">
        <v>861</v>
      </c>
      <c r="C211" t="s">
        <v>862</v>
      </c>
      <c r="D211" t="s">
        <v>1465</v>
      </c>
      <c r="E211" t="s">
        <v>801</v>
      </c>
      <c r="F211" t="s">
        <v>1405</v>
      </c>
      <c r="G211" t="s">
        <v>1574</v>
      </c>
      <c r="H211" t="s">
        <v>2490</v>
      </c>
      <c r="I211" t="s">
        <v>65</v>
      </c>
    </row>
    <row r="212" spans="1:9">
      <c r="A212">
        <v>194470</v>
      </c>
      <c r="B212" t="s">
        <v>863</v>
      </c>
      <c r="C212" t="s">
        <v>864</v>
      </c>
      <c r="D212" t="s">
        <v>1466</v>
      </c>
      <c r="E212" t="s">
        <v>1092</v>
      </c>
      <c r="F212" t="s">
        <v>1398</v>
      </c>
      <c r="G212" t="s">
        <v>1568</v>
      </c>
      <c r="H212" t="s">
        <v>2490</v>
      </c>
      <c r="I212" t="s">
        <v>60</v>
      </c>
    </row>
    <row r="213" spans="1:9">
      <c r="A213">
        <v>65248</v>
      </c>
      <c r="B213" t="s">
        <v>865</v>
      </c>
      <c r="C213" t="s">
        <v>866</v>
      </c>
      <c r="D213" t="s">
        <v>1465</v>
      </c>
      <c r="E213" t="s">
        <v>1124</v>
      </c>
      <c r="F213" t="s">
        <v>1402</v>
      </c>
      <c r="G213" t="s">
        <v>1566</v>
      </c>
      <c r="H213" t="s">
        <v>2490</v>
      </c>
      <c r="I213" t="s">
        <v>61</v>
      </c>
    </row>
    <row r="214" spans="1:9">
      <c r="A214">
        <v>246264</v>
      </c>
      <c r="B214" t="s">
        <v>867</v>
      </c>
      <c r="C214" t="s">
        <v>868</v>
      </c>
      <c r="D214" t="s">
        <v>1465</v>
      </c>
      <c r="E214" t="s">
        <v>961</v>
      </c>
      <c r="F214" t="s">
        <v>1394</v>
      </c>
      <c r="G214" t="s">
        <v>1568</v>
      </c>
      <c r="H214" t="s">
        <v>2490</v>
      </c>
      <c r="I214" t="s">
        <v>59</v>
      </c>
    </row>
    <row r="215" spans="1:9">
      <c r="A215">
        <v>220961</v>
      </c>
      <c r="B215" t="s">
        <v>869</v>
      </c>
      <c r="C215" t="s">
        <v>870</v>
      </c>
      <c r="D215" t="s">
        <v>1465</v>
      </c>
      <c r="E215" t="s">
        <v>1361</v>
      </c>
      <c r="F215" t="s">
        <v>1405</v>
      </c>
      <c r="G215" t="s">
        <v>1574</v>
      </c>
      <c r="H215" t="s">
        <v>2490</v>
      </c>
      <c r="I215" t="s">
        <v>65</v>
      </c>
    </row>
    <row r="216" spans="1:9">
      <c r="A216">
        <v>194898</v>
      </c>
      <c r="B216" t="s">
        <v>871</v>
      </c>
      <c r="C216" t="s">
        <v>872</v>
      </c>
      <c r="D216" t="s">
        <v>1465</v>
      </c>
      <c r="E216" t="s">
        <v>1028</v>
      </c>
      <c r="F216" t="s">
        <v>1394</v>
      </c>
      <c r="G216" t="s">
        <v>1573</v>
      </c>
      <c r="H216" t="s">
        <v>2490</v>
      </c>
      <c r="I216" t="s">
        <v>59</v>
      </c>
    </row>
    <row r="217" spans="1:9">
      <c r="A217">
        <v>300127</v>
      </c>
      <c r="B217" t="s">
        <v>873</v>
      </c>
      <c r="C217" t="s">
        <v>874</v>
      </c>
      <c r="D217" t="s">
        <v>1465</v>
      </c>
      <c r="E217" t="s">
        <v>1223</v>
      </c>
      <c r="F217" t="s">
        <v>1399</v>
      </c>
      <c r="G217" t="s">
        <v>1576</v>
      </c>
      <c r="H217" t="s">
        <v>2490</v>
      </c>
      <c r="I217" t="s">
        <v>66</v>
      </c>
    </row>
    <row r="218" spans="1:9">
      <c r="A218">
        <v>196171</v>
      </c>
      <c r="B218" t="s">
        <v>875</v>
      </c>
      <c r="C218" t="s">
        <v>876</v>
      </c>
      <c r="D218" t="s">
        <v>1465</v>
      </c>
      <c r="E218" t="s">
        <v>1028</v>
      </c>
      <c r="F218" t="s">
        <v>1394</v>
      </c>
      <c r="G218" t="s">
        <v>1573</v>
      </c>
      <c r="H218" t="s">
        <v>2490</v>
      </c>
      <c r="I218" t="s">
        <v>59</v>
      </c>
    </row>
    <row r="219" spans="1:9">
      <c r="A219">
        <v>213035</v>
      </c>
      <c r="B219" t="s">
        <v>877</v>
      </c>
      <c r="C219" t="s">
        <v>878</v>
      </c>
      <c r="D219" t="s">
        <v>1465</v>
      </c>
      <c r="E219" t="s">
        <v>2492</v>
      </c>
      <c r="F219" t="s">
        <v>1399</v>
      </c>
      <c r="G219" t="s">
        <v>1570</v>
      </c>
      <c r="H219" t="s">
        <v>2490</v>
      </c>
      <c r="I219" t="s">
        <v>62</v>
      </c>
    </row>
    <row r="220" spans="1:9">
      <c r="A220">
        <v>277740</v>
      </c>
      <c r="B220" t="s">
        <v>879</v>
      </c>
      <c r="C220" t="s">
        <v>880</v>
      </c>
      <c r="D220" t="s">
        <v>1465</v>
      </c>
      <c r="E220" t="s">
        <v>1369</v>
      </c>
      <c r="F220" t="s">
        <v>1398</v>
      </c>
      <c r="G220" t="s">
        <v>1569</v>
      </c>
      <c r="H220" t="s">
        <v>2490</v>
      </c>
      <c r="I220" t="s">
        <v>67</v>
      </c>
    </row>
    <row r="221" spans="1:9">
      <c r="A221">
        <v>303505</v>
      </c>
      <c r="B221" t="s">
        <v>881</v>
      </c>
      <c r="C221" t="s">
        <v>882</v>
      </c>
      <c r="D221" t="s">
        <v>1465</v>
      </c>
      <c r="E221" t="s">
        <v>1289</v>
      </c>
      <c r="F221" t="s">
        <v>1398</v>
      </c>
      <c r="G221" t="s">
        <v>1569</v>
      </c>
      <c r="H221" t="s">
        <v>2490</v>
      </c>
      <c r="I221" t="s">
        <v>67</v>
      </c>
    </row>
    <row r="222" spans="1:9">
      <c r="A222">
        <v>138751</v>
      </c>
      <c r="B222" t="s">
        <v>883</v>
      </c>
      <c r="C222" t="s">
        <v>884</v>
      </c>
      <c r="D222" t="s">
        <v>1465</v>
      </c>
      <c r="E222" t="s">
        <v>1082</v>
      </c>
      <c r="F222" t="s">
        <v>1402</v>
      </c>
      <c r="G222" t="s">
        <v>1565</v>
      </c>
      <c r="H222" t="s">
        <v>2490</v>
      </c>
      <c r="I222" t="s">
        <v>58</v>
      </c>
    </row>
    <row r="223" spans="1:9">
      <c r="A223">
        <v>284509</v>
      </c>
      <c r="B223" t="s">
        <v>885</v>
      </c>
      <c r="C223" t="s">
        <v>886</v>
      </c>
      <c r="D223" t="s">
        <v>1465</v>
      </c>
      <c r="E223" t="s">
        <v>971</v>
      </c>
      <c r="F223" t="s">
        <v>1399</v>
      </c>
      <c r="G223" t="s">
        <v>1570</v>
      </c>
      <c r="H223" t="s">
        <v>2490</v>
      </c>
      <c r="I223" t="s">
        <v>62</v>
      </c>
    </row>
    <row r="224" spans="1:9">
      <c r="A224">
        <v>231318</v>
      </c>
      <c r="B224" t="s">
        <v>887</v>
      </c>
      <c r="C224" t="s">
        <v>888</v>
      </c>
      <c r="D224" t="s">
        <v>1465</v>
      </c>
      <c r="E224" t="s">
        <v>1223</v>
      </c>
      <c r="F224" t="s">
        <v>1399</v>
      </c>
      <c r="G224" t="s">
        <v>1576</v>
      </c>
      <c r="H224" t="s">
        <v>2490</v>
      </c>
      <c r="I224" t="s">
        <v>66</v>
      </c>
    </row>
    <row r="225" spans="1:9">
      <c r="A225">
        <v>221285</v>
      </c>
      <c r="B225" t="s">
        <v>889</v>
      </c>
      <c r="C225" t="s">
        <v>890</v>
      </c>
      <c r="D225" t="s">
        <v>1465</v>
      </c>
      <c r="E225" t="s">
        <v>801</v>
      </c>
      <c r="F225" t="s">
        <v>1405</v>
      </c>
      <c r="G225" t="s">
        <v>1574</v>
      </c>
      <c r="H225" t="s">
        <v>2490</v>
      </c>
      <c r="I225" t="s">
        <v>65</v>
      </c>
    </row>
    <row r="226" spans="1:9">
      <c r="A226">
        <v>214533</v>
      </c>
      <c r="B226" t="s">
        <v>891</v>
      </c>
      <c r="C226" t="s">
        <v>892</v>
      </c>
      <c r="D226" t="s">
        <v>1465</v>
      </c>
      <c r="E226" t="s">
        <v>1229</v>
      </c>
      <c r="F226" t="s">
        <v>1398</v>
      </c>
      <c r="G226" t="s">
        <v>1569</v>
      </c>
      <c r="H226" t="s">
        <v>2490</v>
      </c>
      <c r="I226" t="s">
        <v>67</v>
      </c>
    </row>
    <row r="227" spans="1:9">
      <c r="A227">
        <v>293172</v>
      </c>
      <c r="B227" t="s">
        <v>893</v>
      </c>
      <c r="C227" t="s">
        <v>1455</v>
      </c>
      <c r="D227" t="s">
        <v>1465</v>
      </c>
      <c r="E227" t="s">
        <v>1361</v>
      </c>
      <c r="F227" t="s">
        <v>1405</v>
      </c>
      <c r="G227" t="s">
        <v>1574</v>
      </c>
      <c r="H227" t="s">
        <v>2490</v>
      </c>
      <c r="I227" t="s">
        <v>65</v>
      </c>
    </row>
    <row r="228" spans="1:9">
      <c r="A228">
        <v>273864</v>
      </c>
      <c r="B228" t="s">
        <v>894</v>
      </c>
      <c r="C228" t="s">
        <v>895</v>
      </c>
      <c r="D228" t="s">
        <v>1465</v>
      </c>
      <c r="E228" t="s">
        <v>2491</v>
      </c>
      <c r="F228" t="s">
        <v>610</v>
      </c>
      <c r="G228" t="s">
        <v>1574</v>
      </c>
      <c r="H228" t="s">
        <v>2490</v>
      </c>
      <c r="I228" t="s">
        <v>65</v>
      </c>
    </row>
    <row r="229" spans="1:9">
      <c r="A229">
        <v>310857</v>
      </c>
      <c r="B229" t="s">
        <v>896</v>
      </c>
      <c r="C229" t="s">
        <v>897</v>
      </c>
      <c r="D229" t="s">
        <v>1465</v>
      </c>
      <c r="E229" t="s">
        <v>1289</v>
      </c>
      <c r="F229" t="s">
        <v>1398</v>
      </c>
      <c r="G229" t="s">
        <v>1569</v>
      </c>
      <c r="H229" t="s">
        <v>2490</v>
      </c>
      <c r="I229" t="s">
        <v>67</v>
      </c>
    </row>
    <row r="230" spans="1:9">
      <c r="A230">
        <v>183051</v>
      </c>
      <c r="B230" t="s">
        <v>898</v>
      </c>
      <c r="C230" t="s">
        <v>899</v>
      </c>
      <c r="D230" t="s">
        <v>1465</v>
      </c>
      <c r="E230" t="s">
        <v>943</v>
      </c>
      <c r="F230" t="s">
        <v>1402</v>
      </c>
      <c r="G230" t="s">
        <v>1567</v>
      </c>
      <c r="H230" t="s">
        <v>2490</v>
      </c>
      <c r="I230" t="s">
        <v>61</v>
      </c>
    </row>
    <row r="231" spans="1:9">
      <c r="A231">
        <v>272851</v>
      </c>
      <c r="B231" t="s">
        <v>900</v>
      </c>
      <c r="C231" t="s">
        <v>901</v>
      </c>
      <c r="D231" t="s">
        <v>1465</v>
      </c>
      <c r="E231" t="s">
        <v>801</v>
      </c>
      <c r="F231" t="s">
        <v>1405</v>
      </c>
      <c r="G231" t="s">
        <v>1574</v>
      </c>
      <c r="H231" t="s">
        <v>2490</v>
      </c>
      <c r="I231" t="s">
        <v>65</v>
      </c>
    </row>
    <row r="232" spans="1:9">
      <c r="A232">
        <v>31351</v>
      </c>
      <c r="B232" t="s">
        <v>902</v>
      </c>
      <c r="C232" t="s">
        <v>903</v>
      </c>
      <c r="D232" t="s">
        <v>1465</v>
      </c>
      <c r="E232" t="s">
        <v>827</v>
      </c>
      <c r="F232" t="s">
        <v>1399</v>
      </c>
      <c r="G232" t="s">
        <v>1591</v>
      </c>
      <c r="H232" t="s">
        <v>2490</v>
      </c>
      <c r="I232" t="s">
        <v>64</v>
      </c>
    </row>
    <row r="233" spans="1:9">
      <c r="A233">
        <v>299100</v>
      </c>
      <c r="B233" t="s">
        <v>904</v>
      </c>
      <c r="C233" t="s">
        <v>905</v>
      </c>
      <c r="D233" t="s">
        <v>1465</v>
      </c>
      <c r="E233" t="s">
        <v>971</v>
      </c>
      <c r="F233" t="s">
        <v>1399</v>
      </c>
      <c r="G233" t="s">
        <v>1570</v>
      </c>
      <c r="H233" t="s">
        <v>2490</v>
      </c>
      <c r="I233" t="s">
        <v>62</v>
      </c>
    </row>
    <row r="234" spans="1:9">
      <c r="A234">
        <v>239680</v>
      </c>
      <c r="B234" t="s">
        <v>906</v>
      </c>
      <c r="C234" t="s">
        <v>907</v>
      </c>
      <c r="D234" t="s">
        <v>1464</v>
      </c>
      <c r="E234" t="s">
        <v>1367</v>
      </c>
      <c r="F234" t="s">
        <v>610</v>
      </c>
      <c r="G234" t="s">
        <v>1564</v>
      </c>
      <c r="H234" t="s">
        <v>2490</v>
      </c>
      <c r="I234" t="s">
        <v>1891</v>
      </c>
    </row>
    <row r="235" spans="1:9">
      <c r="A235">
        <v>158650</v>
      </c>
      <c r="B235" t="s">
        <v>908</v>
      </c>
      <c r="C235" t="s">
        <v>909</v>
      </c>
      <c r="D235" t="s">
        <v>1465</v>
      </c>
      <c r="E235" t="s">
        <v>2492</v>
      </c>
      <c r="F235" t="s">
        <v>1399</v>
      </c>
      <c r="G235" t="s">
        <v>1570</v>
      </c>
      <c r="H235" t="s">
        <v>2490</v>
      </c>
      <c r="I235" t="s">
        <v>62</v>
      </c>
    </row>
    <row r="236" spans="1:9">
      <c r="A236">
        <v>299083</v>
      </c>
      <c r="B236" t="s">
        <v>910</v>
      </c>
      <c r="C236" t="s">
        <v>911</v>
      </c>
      <c r="D236" t="s">
        <v>1465</v>
      </c>
      <c r="E236" t="s">
        <v>1367</v>
      </c>
      <c r="F236" t="s">
        <v>610</v>
      </c>
      <c r="G236" t="s">
        <v>1574</v>
      </c>
      <c r="H236" t="s">
        <v>2490</v>
      </c>
      <c r="I236" t="s">
        <v>65</v>
      </c>
    </row>
    <row r="237" spans="1:9">
      <c r="A237">
        <v>221506</v>
      </c>
      <c r="B237" t="s">
        <v>912</v>
      </c>
      <c r="C237" t="s">
        <v>913</v>
      </c>
      <c r="D237" t="s">
        <v>1465</v>
      </c>
      <c r="E237" t="s">
        <v>801</v>
      </c>
      <c r="F237" t="s">
        <v>1405</v>
      </c>
      <c r="G237" t="s">
        <v>1574</v>
      </c>
      <c r="H237" t="s">
        <v>2490</v>
      </c>
      <c r="I237" t="s">
        <v>65</v>
      </c>
    </row>
    <row r="238" spans="1:9">
      <c r="A238">
        <v>293853</v>
      </c>
      <c r="B238" t="s">
        <v>914</v>
      </c>
      <c r="C238" t="s">
        <v>915</v>
      </c>
      <c r="D238" t="s">
        <v>1465</v>
      </c>
      <c r="E238" t="s">
        <v>1361</v>
      </c>
      <c r="F238" t="s">
        <v>1405</v>
      </c>
      <c r="G238" t="s">
        <v>1574</v>
      </c>
      <c r="H238" t="s">
        <v>2490</v>
      </c>
      <c r="I238" t="s">
        <v>65</v>
      </c>
    </row>
    <row r="239" spans="1:9">
      <c r="A239">
        <v>291087</v>
      </c>
      <c r="B239" t="s">
        <v>916</v>
      </c>
      <c r="C239" t="s">
        <v>917</v>
      </c>
      <c r="D239" t="s">
        <v>1465</v>
      </c>
      <c r="E239" t="s">
        <v>1361</v>
      </c>
      <c r="F239" t="s">
        <v>1405</v>
      </c>
      <c r="G239" t="s">
        <v>1574</v>
      </c>
      <c r="H239" t="s">
        <v>2490</v>
      </c>
      <c r="I239" t="s">
        <v>65</v>
      </c>
    </row>
    <row r="240" spans="1:9">
      <c r="A240">
        <v>274247</v>
      </c>
      <c r="B240" t="s">
        <v>918</v>
      </c>
      <c r="C240" t="s">
        <v>919</v>
      </c>
      <c r="D240" t="s">
        <v>1465</v>
      </c>
      <c r="E240" t="s">
        <v>700</v>
      </c>
      <c r="F240" t="s">
        <v>1394</v>
      </c>
      <c r="G240" t="s">
        <v>1573</v>
      </c>
      <c r="H240" t="s">
        <v>2490</v>
      </c>
      <c r="I240" t="s">
        <v>59</v>
      </c>
    </row>
    <row r="241" spans="1:9">
      <c r="A241">
        <v>81899</v>
      </c>
      <c r="B241" t="s">
        <v>920</v>
      </c>
      <c r="C241" t="s">
        <v>921</v>
      </c>
      <c r="D241" t="s">
        <v>1465</v>
      </c>
      <c r="E241" t="s">
        <v>1124</v>
      </c>
      <c r="F241" t="s">
        <v>1402</v>
      </c>
      <c r="G241" t="s">
        <v>1571</v>
      </c>
      <c r="H241" t="s">
        <v>2490</v>
      </c>
      <c r="I241" t="s">
        <v>61</v>
      </c>
    </row>
    <row r="242" spans="1:9">
      <c r="A242">
        <v>195034</v>
      </c>
      <c r="B242" t="s">
        <v>922</v>
      </c>
      <c r="C242" t="s">
        <v>923</v>
      </c>
      <c r="D242" t="s">
        <v>1466</v>
      </c>
      <c r="E242" t="s">
        <v>1289</v>
      </c>
      <c r="F242" t="s">
        <v>1398</v>
      </c>
      <c r="G242" t="s">
        <v>1568</v>
      </c>
      <c r="H242" t="s">
        <v>2490</v>
      </c>
      <c r="I242" t="s">
        <v>60</v>
      </c>
    </row>
    <row r="243" spans="1:9">
      <c r="A243">
        <v>195435</v>
      </c>
      <c r="B243" t="s">
        <v>924</v>
      </c>
      <c r="C243" t="s">
        <v>925</v>
      </c>
      <c r="D243" t="s">
        <v>1465</v>
      </c>
      <c r="E243" t="s">
        <v>951</v>
      </c>
      <c r="F243" t="s">
        <v>1402</v>
      </c>
      <c r="G243" t="s">
        <v>1566</v>
      </c>
      <c r="H243" t="s">
        <v>2490</v>
      </c>
      <c r="I243" t="s">
        <v>61</v>
      </c>
    </row>
    <row r="244" spans="1:9">
      <c r="A244">
        <v>260830</v>
      </c>
      <c r="B244" t="s">
        <v>926</v>
      </c>
      <c r="C244" t="s">
        <v>927</v>
      </c>
      <c r="D244" t="s">
        <v>1465</v>
      </c>
      <c r="E244" t="s">
        <v>801</v>
      </c>
      <c r="F244" t="s">
        <v>1405</v>
      </c>
      <c r="G244" t="s">
        <v>1574</v>
      </c>
      <c r="H244" t="s">
        <v>2490</v>
      </c>
      <c r="I244" t="s">
        <v>65</v>
      </c>
    </row>
    <row r="245" spans="1:9">
      <c r="A245">
        <v>196111</v>
      </c>
      <c r="B245" t="s">
        <v>930</v>
      </c>
      <c r="C245" t="s">
        <v>931</v>
      </c>
      <c r="D245" t="s">
        <v>1465</v>
      </c>
      <c r="E245" t="s">
        <v>700</v>
      </c>
      <c r="F245" t="s">
        <v>1394</v>
      </c>
      <c r="G245" t="s">
        <v>1592</v>
      </c>
      <c r="H245" t="s">
        <v>2490</v>
      </c>
      <c r="I245" t="s">
        <v>59</v>
      </c>
    </row>
    <row r="246" spans="1:9">
      <c r="A246">
        <v>198211</v>
      </c>
      <c r="B246" t="s">
        <v>1480</v>
      </c>
      <c r="C246" t="s">
        <v>1470</v>
      </c>
      <c r="D246" t="s">
        <v>1465</v>
      </c>
      <c r="E246" t="s">
        <v>951</v>
      </c>
      <c r="F246" t="s">
        <v>1402</v>
      </c>
      <c r="G246" t="s">
        <v>1593</v>
      </c>
      <c r="H246" t="s">
        <v>2490</v>
      </c>
      <c r="I246" t="s">
        <v>61</v>
      </c>
    </row>
    <row r="247" spans="1:9">
      <c r="A247">
        <v>303501</v>
      </c>
      <c r="B247" t="s">
        <v>932</v>
      </c>
      <c r="C247" t="s">
        <v>933</v>
      </c>
      <c r="D247" t="s">
        <v>1465</v>
      </c>
      <c r="E247" t="s">
        <v>588</v>
      </c>
      <c r="F247" t="s">
        <v>1398</v>
      </c>
      <c r="G247" t="s">
        <v>1569</v>
      </c>
      <c r="H247" t="s">
        <v>2490</v>
      </c>
      <c r="I247" t="s">
        <v>67</v>
      </c>
    </row>
    <row r="248" spans="1:9">
      <c r="A248">
        <v>312890</v>
      </c>
      <c r="B248" t="s">
        <v>1481</v>
      </c>
      <c r="C248" t="s">
        <v>1471</v>
      </c>
      <c r="D248" t="s">
        <v>1465</v>
      </c>
      <c r="E248" t="s">
        <v>1229</v>
      </c>
      <c r="F248" t="s">
        <v>1398</v>
      </c>
      <c r="G248" t="s">
        <v>1569</v>
      </c>
      <c r="H248" t="s">
        <v>2490</v>
      </c>
      <c r="I248" t="s">
        <v>67</v>
      </c>
    </row>
    <row r="249" spans="1:9">
      <c r="A249">
        <v>229517</v>
      </c>
      <c r="B249" t="s">
        <v>934</v>
      </c>
      <c r="C249" t="s">
        <v>935</v>
      </c>
      <c r="D249" t="s">
        <v>1465</v>
      </c>
      <c r="E249" t="s">
        <v>1207</v>
      </c>
      <c r="F249" t="s">
        <v>1405</v>
      </c>
      <c r="G249" t="s">
        <v>1574</v>
      </c>
      <c r="H249" t="s">
        <v>2490</v>
      </c>
      <c r="I249" t="s">
        <v>65</v>
      </c>
    </row>
    <row r="250" spans="1:9">
      <c r="A250">
        <v>231112</v>
      </c>
      <c r="B250" t="s">
        <v>936</v>
      </c>
      <c r="C250" t="s">
        <v>937</v>
      </c>
      <c r="D250" t="s">
        <v>1465</v>
      </c>
      <c r="E250" t="s">
        <v>514</v>
      </c>
      <c r="F250" t="s">
        <v>610</v>
      </c>
      <c r="G250" t="s">
        <v>1574</v>
      </c>
      <c r="H250" t="s">
        <v>2490</v>
      </c>
      <c r="I250" t="s">
        <v>65</v>
      </c>
    </row>
    <row r="251" spans="1:9">
      <c r="A251">
        <v>274699</v>
      </c>
      <c r="B251" t="s">
        <v>938</v>
      </c>
      <c r="C251" t="s">
        <v>939</v>
      </c>
      <c r="D251" t="s">
        <v>1465</v>
      </c>
      <c r="E251" t="s">
        <v>801</v>
      </c>
      <c r="F251" t="s">
        <v>1405</v>
      </c>
      <c r="G251" t="s">
        <v>1574</v>
      </c>
      <c r="H251" t="s">
        <v>2490</v>
      </c>
      <c r="I251" t="s">
        <v>65</v>
      </c>
    </row>
    <row r="252" spans="1:9">
      <c r="A252">
        <v>229220</v>
      </c>
      <c r="B252" t="s">
        <v>940</v>
      </c>
      <c r="C252" t="s">
        <v>941</v>
      </c>
      <c r="D252" t="s">
        <v>1465</v>
      </c>
      <c r="E252" t="s">
        <v>1207</v>
      </c>
      <c r="F252" t="s">
        <v>1405</v>
      </c>
      <c r="G252" t="s">
        <v>1574</v>
      </c>
      <c r="H252" t="s">
        <v>2490</v>
      </c>
      <c r="I252" t="s">
        <v>65</v>
      </c>
    </row>
    <row r="253" spans="1:9">
      <c r="A253">
        <v>181509</v>
      </c>
      <c r="B253" t="s">
        <v>942</v>
      </c>
      <c r="C253" t="s">
        <v>943</v>
      </c>
      <c r="D253" t="s">
        <v>1467</v>
      </c>
      <c r="E253" t="s">
        <v>1402</v>
      </c>
      <c r="F253" t="s">
        <v>1404</v>
      </c>
      <c r="G253" t="s">
        <v>1451</v>
      </c>
      <c r="H253" t="s">
        <v>2490</v>
      </c>
      <c r="I253" t="s">
        <v>1891</v>
      </c>
    </row>
    <row r="254" spans="1:9">
      <c r="A254">
        <v>230883</v>
      </c>
      <c r="B254" t="s">
        <v>944</v>
      </c>
      <c r="C254" t="s">
        <v>945</v>
      </c>
      <c r="D254" t="s">
        <v>1465</v>
      </c>
      <c r="E254" t="s">
        <v>1289</v>
      </c>
      <c r="F254" t="s">
        <v>1398</v>
      </c>
      <c r="G254" t="s">
        <v>1569</v>
      </c>
      <c r="H254" t="s">
        <v>2490</v>
      </c>
      <c r="I254" t="s">
        <v>1891</v>
      </c>
    </row>
    <row r="255" spans="1:9">
      <c r="A255">
        <v>299082</v>
      </c>
      <c r="B255" t="s">
        <v>946</v>
      </c>
      <c r="C255" t="s">
        <v>947</v>
      </c>
      <c r="D255" t="s">
        <v>1465</v>
      </c>
      <c r="E255" t="s">
        <v>478</v>
      </c>
      <c r="F255" t="s">
        <v>1398</v>
      </c>
      <c r="G255" t="s">
        <v>1569</v>
      </c>
      <c r="H255" t="s">
        <v>2490</v>
      </c>
      <c r="I255" t="s">
        <v>67</v>
      </c>
    </row>
    <row r="256" spans="1:9">
      <c r="A256">
        <v>242877</v>
      </c>
      <c r="B256" t="s">
        <v>948</v>
      </c>
      <c r="C256" t="s">
        <v>949</v>
      </c>
      <c r="D256" t="s">
        <v>1465</v>
      </c>
      <c r="E256" t="s">
        <v>2492</v>
      </c>
      <c r="F256" t="s">
        <v>1399</v>
      </c>
      <c r="G256" t="s">
        <v>1570</v>
      </c>
      <c r="H256" t="s">
        <v>2490</v>
      </c>
      <c r="I256" t="s">
        <v>62</v>
      </c>
    </row>
    <row r="257" spans="1:9">
      <c r="A257">
        <v>86406</v>
      </c>
      <c r="B257" t="s">
        <v>950</v>
      </c>
      <c r="C257" t="s">
        <v>951</v>
      </c>
      <c r="D257" t="s">
        <v>1467</v>
      </c>
      <c r="E257" t="s">
        <v>1402</v>
      </c>
      <c r="F257" t="s">
        <v>1404</v>
      </c>
      <c r="G257" t="s">
        <v>1451</v>
      </c>
      <c r="H257" t="s">
        <v>2490</v>
      </c>
      <c r="I257" t="s">
        <v>1891</v>
      </c>
    </row>
    <row r="258" spans="1:9">
      <c r="A258">
        <v>234888</v>
      </c>
      <c r="B258" t="s">
        <v>952</v>
      </c>
      <c r="C258" t="s">
        <v>953</v>
      </c>
      <c r="D258" t="s">
        <v>1465</v>
      </c>
      <c r="E258" t="s">
        <v>1229</v>
      </c>
      <c r="F258" t="s">
        <v>1398</v>
      </c>
      <c r="G258" t="s">
        <v>1569</v>
      </c>
      <c r="H258" t="s">
        <v>2490</v>
      </c>
      <c r="I258" t="s">
        <v>67</v>
      </c>
    </row>
    <row r="259" spans="1:9">
      <c r="A259">
        <v>103566</v>
      </c>
      <c r="B259" t="s">
        <v>954</v>
      </c>
      <c r="C259" t="s">
        <v>955</v>
      </c>
      <c r="D259" t="s">
        <v>1466</v>
      </c>
      <c r="E259" t="s">
        <v>1229</v>
      </c>
      <c r="F259" t="s">
        <v>1398</v>
      </c>
      <c r="G259" t="s">
        <v>1568</v>
      </c>
      <c r="H259" t="s">
        <v>2490</v>
      </c>
      <c r="I259" t="s">
        <v>60</v>
      </c>
    </row>
    <row r="260" spans="1:9">
      <c r="A260">
        <v>118549</v>
      </c>
      <c r="B260" t="s">
        <v>956</v>
      </c>
      <c r="C260" t="s">
        <v>957</v>
      </c>
      <c r="D260" t="s">
        <v>1465</v>
      </c>
      <c r="E260" t="s">
        <v>1223</v>
      </c>
      <c r="F260" t="s">
        <v>1399</v>
      </c>
      <c r="G260" t="s">
        <v>1576</v>
      </c>
      <c r="H260" t="s">
        <v>2490</v>
      </c>
      <c r="I260" t="s">
        <v>66</v>
      </c>
    </row>
    <row r="261" spans="1:9">
      <c r="A261">
        <v>107006</v>
      </c>
      <c r="B261" t="s">
        <v>958</v>
      </c>
      <c r="C261" t="s">
        <v>959</v>
      </c>
      <c r="D261" t="s">
        <v>1465</v>
      </c>
      <c r="E261" t="s">
        <v>1124</v>
      </c>
      <c r="F261" t="s">
        <v>1402</v>
      </c>
      <c r="G261" t="s">
        <v>1566</v>
      </c>
      <c r="H261" t="s">
        <v>2490</v>
      </c>
      <c r="I261" t="s">
        <v>61</v>
      </c>
    </row>
    <row r="262" spans="1:9">
      <c r="A262">
        <v>175574</v>
      </c>
      <c r="B262" t="s">
        <v>960</v>
      </c>
      <c r="C262" t="s">
        <v>961</v>
      </c>
      <c r="D262" t="s">
        <v>1467</v>
      </c>
      <c r="E262" t="s">
        <v>1394</v>
      </c>
      <c r="F262" t="s">
        <v>1404</v>
      </c>
      <c r="G262" t="s">
        <v>1451</v>
      </c>
      <c r="H262" t="s">
        <v>2490</v>
      </c>
      <c r="I262" t="s">
        <v>1891</v>
      </c>
    </row>
    <row r="263" spans="1:9">
      <c r="A263">
        <v>160314</v>
      </c>
      <c r="B263" t="s">
        <v>962</v>
      </c>
      <c r="C263" t="s">
        <v>963</v>
      </c>
      <c r="D263" t="s">
        <v>1465</v>
      </c>
      <c r="E263" t="s">
        <v>1361</v>
      </c>
      <c r="F263" t="s">
        <v>1405</v>
      </c>
      <c r="G263" t="s">
        <v>1574</v>
      </c>
      <c r="H263" t="s">
        <v>2490</v>
      </c>
      <c r="I263" t="s">
        <v>65</v>
      </c>
    </row>
    <row r="264" spans="1:9">
      <c r="A264">
        <v>242494</v>
      </c>
      <c r="B264" t="s">
        <v>964</v>
      </c>
      <c r="C264" t="s">
        <v>965</v>
      </c>
      <c r="D264" t="s">
        <v>1465</v>
      </c>
      <c r="E264" t="s">
        <v>971</v>
      </c>
      <c r="F264" t="s">
        <v>1399</v>
      </c>
      <c r="G264" t="s">
        <v>1570</v>
      </c>
      <c r="H264" t="s">
        <v>2490</v>
      </c>
      <c r="I264" t="s">
        <v>62</v>
      </c>
    </row>
    <row r="265" spans="1:9">
      <c r="A265">
        <v>109840</v>
      </c>
      <c r="B265" t="s">
        <v>966</v>
      </c>
      <c r="C265" t="s">
        <v>967</v>
      </c>
      <c r="D265" t="s">
        <v>1465</v>
      </c>
      <c r="E265" t="s">
        <v>827</v>
      </c>
      <c r="F265" t="s">
        <v>1399</v>
      </c>
      <c r="G265" t="s">
        <v>1591</v>
      </c>
      <c r="H265" t="s">
        <v>2490</v>
      </c>
      <c r="I265" t="s">
        <v>64</v>
      </c>
    </row>
    <row r="266" spans="1:9">
      <c r="A266">
        <v>194503</v>
      </c>
      <c r="B266" t="s">
        <v>968</v>
      </c>
      <c r="C266" t="s">
        <v>969</v>
      </c>
      <c r="D266" t="s">
        <v>1465</v>
      </c>
      <c r="E266" t="s">
        <v>700</v>
      </c>
      <c r="F266" t="s">
        <v>1394</v>
      </c>
      <c r="G266" t="s">
        <v>1573</v>
      </c>
      <c r="H266" t="s">
        <v>2490</v>
      </c>
      <c r="I266" t="s">
        <v>59</v>
      </c>
    </row>
    <row r="267" spans="1:9">
      <c r="A267">
        <v>134090</v>
      </c>
      <c r="B267" t="s">
        <v>970</v>
      </c>
      <c r="C267" t="s">
        <v>971</v>
      </c>
      <c r="D267" t="s">
        <v>1467</v>
      </c>
      <c r="E267" t="s">
        <v>1399</v>
      </c>
      <c r="F267" t="s">
        <v>1404</v>
      </c>
      <c r="G267" t="s">
        <v>1451</v>
      </c>
      <c r="H267" t="s">
        <v>2490</v>
      </c>
      <c r="I267" t="s">
        <v>1891</v>
      </c>
    </row>
    <row r="268" spans="1:9">
      <c r="A268">
        <v>229229</v>
      </c>
      <c r="B268" t="s">
        <v>972</v>
      </c>
      <c r="C268" t="s">
        <v>973</v>
      </c>
      <c r="D268" t="s">
        <v>1465</v>
      </c>
      <c r="E268" t="s">
        <v>1207</v>
      </c>
      <c r="F268" t="s">
        <v>1405</v>
      </c>
      <c r="G268" t="s">
        <v>1574</v>
      </c>
      <c r="H268" t="s">
        <v>2490</v>
      </c>
      <c r="I268" t="s">
        <v>65</v>
      </c>
    </row>
    <row r="269" spans="1:9">
      <c r="A269">
        <v>180839</v>
      </c>
      <c r="B269" t="s">
        <v>974</v>
      </c>
      <c r="C269" t="s">
        <v>975</v>
      </c>
      <c r="D269" t="s">
        <v>1465</v>
      </c>
      <c r="E269" t="s">
        <v>514</v>
      </c>
      <c r="F269" t="s">
        <v>610</v>
      </c>
      <c r="G269" t="s">
        <v>1594</v>
      </c>
      <c r="H269" t="s">
        <v>2490</v>
      </c>
      <c r="I269" t="s">
        <v>65</v>
      </c>
    </row>
    <row r="270" spans="1:9">
      <c r="A270">
        <v>263664</v>
      </c>
      <c r="B270" t="s">
        <v>976</v>
      </c>
      <c r="C270" t="s">
        <v>977</v>
      </c>
      <c r="D270" t="s">
        <v>1465</v>
      </c>
      <c r="E270" t="s">
        <v>1092</v>
      </c>
      <c r="F270" t="s">
        <v>1398</v>
      </c>
      <c r="G270" t="s">
        <v>1569</v>
      </c>
      <c r="H270" t="s">
        <v>2490</v>
      </c>
      <c r="I270" t="s">
        <v>67</v>
      </c>
    </row>
    <row r="271" spans="1:9">
      <c r="A271">
        <v>221595</v>
      </c>
      <c r="B271" t="s">
        <v>978</v>
      </c>
      <c r="C271" t="s">
        <v>979</v>
      </c>
      <c r="D271" t="s">
        <v>1465</v>
      </c>
      <c r="E271" t="s">
        <v>1229</v>
      </c>
      <c r="F271" t="s">
        <v>1398</v>
      </c>
      <c r="G271" t="s">
        <v>1569</v>
      </c>
      <c r="H271" t="s">
        <v>2490</v>
      </c>
      <c r="I271" t="s">
        <v>67</v>
      </c>
    </row>
    <row r="272" spans="1:9">
      <c r="A272">
        <v>311040</v>
      </c>
      <c r="B272" t="s">
        <v>980</v>
      </c>
      <c r="C272" t="s">
        <v>981</v>
      </c>
      <c r="D272" t="s">
        <v>1465</v>
      </c>
      <c r="E272" t="s">
        <v>961</v>
      </c>
      <c r="F272" t="s">
        <v>1394</v>
      </c>
      <c r="G272" t="s">
        <v>1573</v>
      </c>
      <c r="H272" t="s">
        <v>2490</v>
      </c>
      <c r="I272" t="s">
        <v>59</v>
      </c>
    </row>
    <row r="273" spans="1:9">
      <c r="A273">
        <v>221724</v>
      </c>
      <c r="B273" t="s">
        <v>982</v>
      </c>
      <c r="C273" t="s">
        <v>983</v>
      </c>
      <c r="D273" t="s">
        <v>1465</v>
      </c>
      <c r="E273" t="s">
        <v>2492</v>
      </c>
      <c r="F273" t="s">
        <v>1399</v>
      </c>
      <c r="G273" t="s">
        <v>1570</v>
      </c>
      <c r="H273" t="s">
        <v>2490</v>
      </c>
      <c r="I273" t="s">
        <v>62</v>
      </c>
    </row>
    <row r="274" spans="1:9">
      <c r="A274">
        <v>229312</v>
      </c>
      <c r="B274" t="s">
        <v>984</v>
      </c>
      <c r="C274" t="s">
        <v>985</v>
      </c>
      <c r="D274" t="s">
        <v>1465</v>
      </c>
      <c r="E274" t="s">
        <v>1124</v>
      </c>
      <c r="F274" t="s">
        <v>1402</v>
      </c>
      <c r="G274" t="s">
        <v>1588</v>
      </c>
      <c r="H274" t="s">
        <v>2490</v>
      </c>
      <c r="I274" t="s">
        <v>61</v>
      </c>
    </row>
    <row r="275" spans="1:9">
      <c r="A275">
        <v>299154</v>
      </c>
      <c r="B275" t="s">
        <v>1372</v>
      </c>
      <c r="C275" t="s">
        <v>1373</v>
      </c>
      <c r="D275" t="s">
        <v>1465</v>
      </c>
      <c r="E275" t="s">
        <v>1207</v>
      </c>
      <c r="F275" t="s">
        <v>1405</v>
      </c>
      <c r="G275" t="s">
        <v>1566</v>
      </c>
      <c r="H275" t="s">
        <v>2490</v>
      </c>
      <c r="I275" t="s">
        <v>65</v>
      </c>
    </row>
    <row r="276" spans="1:9">
      <c r="A276">
        <v>194969</v>
      </c>
      <c r="B276" t="s">
        <v>987</v>
      </c>
      <c r="C276" t="s">
        <v>988</v>
      </c>
      <c r="D276" t="s">
        <v>1465</v>
      </c>
      <c r="E276" t="s">
        <v>648</v>
      </c>
      <c r="F276" t="s">
        <v>1402</v>
      </c>
      <c r="G276" t="s">
        <v>1565</v>
      </c>
      <c r="H276" t="s">
        <v>2490</v>
      </c>
      <c r="I276" t="s">
        <v>58</v>
      </c>
    </row>
    <row r="277" spans="1:9">
      <c r="A277">
        <v>195460</v>
      </c>
      <c r="B277" t="s">
        <v>989</v>
      </c>
      <c r="C277" t="s">
        <v>990</v>
      </c>
      <c r="D277" t="s">
        <v>1465</v>
      </c>
      <c r="E277" t="s">
        <v>961</v>
      </c>
      <c r="F277" t="s">
        <v>1394</v>
      </c>
      <c r="G277" t="s">
        <v>1573</v>
      </c>
      <c r="H277" t="s">
        <v>2490</v>
      </c>
      <c r="I277" t="s">
        <v>59</v>
      </c>
    </row>
    <row r="278" spans="1:9">
      <c r="A278">
        <v>185118</v>
      </c>
      <c r="B278" t="s">
        <v>1446</v>
      </c>
      <c r="C278" t="s">
        <v>1442</v>
      </c>
      <c r="D278" t="s">
        <v>1464</v>
      </c>
      <c r="E278" t="s">
        <v>801</v>
      </c>
      <c r="F278" t="s">
        <v>1405</v>
      </c>
      <c r="G278" t="s">
        <v>1564</v>
      </c>
      <c r="H278" t="s">
        <v>2490</v>
      </c>
      <c r="I278" t="s">
        <v>1891</v>
      </c>
    </row>
    <row r="279" spans="1:9">
      <c r="A279">
        <v>45741</v>
      </c>
      <c r="B279" t="s">
        <v>991</v>
      </c>
      <c r="C279" t="s">
        <v>992</v>
      </c>
      <c r="D279" t="s">
        <v>1465</v>
      </c>
      <c r="E279" t="s">
        <v>1124</v>
      </c>
      <c r="F279" t="s">
        <v>1402</v>
      </c>
      <c r="G279" t="s">
        <v>1588</v>
      </c>
      <c r="H279" t="s">
        <v>2490</v>
      </c>
      <c r="I279" t="s">
        <v>61</v>
      </c>
    </row>
    <row r="280" spans="1:9">
      <c r="A280">
        <v>81491</v>
      </c>
      <c r="B280" t="s">
        <v>993</v>
      </c>
      <c r="C280" t="s">
        <v>994</v>
      </c>
      <c r="D280" t="s">
        <v>1465</v>
      </c>
      <c r="E280" t="s">
        <v>514</v>
      </c>
      <c r="F280" t="s">
        <v>610</v>
      </c>
      <c r="G280" t="s">
        <v>1574</v>
      </c>
      <c r="H280" t="s">
        <v>2490</v>
      </c>
      <c r="I280" t="s">
        <v>65</v>
      </c>
    </row>
    <row r="281" spans="1:9">
      <c r="A281">
        <v>275850</v>
      </c>
      <c r="B281" t="s">
        <v>995</v>
      </c>
      <c r="C281" t="s">
        <v>996</v>
      </c>
      <c r="D281" t="s">
        <v>1465</v>
      </c>
      <c r="E281" t="s">
        <v>1229</v>
      </c>
      <c r="F281" t="s">
        <v>1398</v>
      </c>
      <c r="G281" t="s">
        <v>1569</v>
      </c>
      <c r="H281" t="s">
        <v>2490</v>
      </c>
      <c r="I281" t="s">
        <v>67</v>
      </c>
    </row>
    <row r="282" spans="1:9">
      <c r="A282">
        <v>299672</v>
      </c>
      <c r="B282" t="s">
        <v>997</v>
      </c>
      <c r="C282" t="s">
        <v>998</v>
      </c>
      <c r="D282" t="s">
        <v>1465</v>
      </c>
      <c r="E282" t="s">
        <v>648</v>
      </c>
      <c r="F282" t="s">
        <v>1402</v>
      </c>
      <c r="G282" t="s">
        <v>1565</v>
      </c>
      <c r="H282" t="s">
        <v>2490</v>
      </c>
      <c r="I282" t="s">
        <v>58</v>
      </c>
    </row>
    <row r="283" spans="1:9">
      <c r="A283">
        <v>299166</v>
      </c>
      <c r="B283" t="s">
        <v>999</v>
      </c>
      <c r="C283" t="s">
        <v>1000</v>
      </c>
      <c r="D283" t="s">
        <v>1465</v>
      </c>
      <c r="E283" t="s">
        <v>1092</v>
      </c>
      <c r="F283" t="s">
        <v>1398</v>
      </c>
      <c r="G283" t="s">
        <v>1569</v>
      </c>
      <c r="H283" t="s">
        <v>2490</v>
      </c>
      <c r="I283" t="s">
        <v>67</v>
      </c>
    </row>
    <row r="284" spans="1:9">
      <c r="A284">
        <v>197499</v>
      </c>
      <c r="B284" t="s">
        <v>1001</v>
      </c>
      <c r="C284" t="s">
        <v>1002</v>
      </c>
      <c r="D284" t="s">
        <v>1465</v>
      </c>
      <c r="E284" t="s">
        <v>1124</v>
      </c>
      <c r="F284" t="s">
        <v>1402</v>
      </c>
      <c r="G284" t="s">
        <v>1588</v>
      </c>
      <c r="H284" t="s">
        <v>2490</v>
      </c>
      <c r="I284" t="s">
        <v>61</v>
      </c>
    </row>
    <row r="285" spans="1:9">
      <c r="A285">
        <v>175494</v>
      </c>
      <c r="B285" t="s">
        <v>1003</v>
      </c>
      <c r="C285" t="s">
        <v>1004</v>
      </c>
      <c r="D285" t="s">
        <v>1465</v>
      </c>
      <c r="E285" t="s">
        <v>971</v>
      </c>
      <c r="F285" t="s">
        <v>1399</v>
      </c>
      <c r="G285" t="s">
        <v>1570</v>
      </c>
      <c r="H285" t="s">
        <v>2490</v>
      </c>
      <c r="I285" t="s">
        <v>62</v>
      </c>
    </row>
    <row r="286" spans="1:9">
      <c r="A286">
        <v>242695</v>
      </c>
      <c r="B286" t="s">
        <v>1005</v>
      </c>
      <c r="C286" t="s">
        <v>1006</v>
      </c>
      <c r="D286" t="s">
        <v>1465</v>
      </c>
      <c r="E286" t="s">
        <v>1223</v>
      </c>
      <c r="F286" t="s">
        <v>1399</v>
      </c>
      <c r="G286" t="s">
        <v>1576</v>
      </c>
      <c r="H286" t="s">
        <v>2490</v>
      </c>
      <c r="I286" t="s">
        <v>66</v>
      </c>
    </row>
    <row r="287" spans="1:9">
      <c r="A287">
        <v>220964</v>
      </c>
      <c r="B287" t="s">
        <v>1007</v>
      </c>
      <c r="C287" t="s">
        <v>1008</v>
      </c>
      <c r="D287" t="s">
        <v>1465</v>
      </c>
      <c r="E287" t="s">
        <v>801</v>
      </c>
      <c r="F287" t="s">
        <v>1405</v>
      </c>
      <c r="G287" t="s">
        <v>1574</v>
      </c>
      <c r="H287" t="s">
        <v>2490</v>
      </c>
      <c r="I287" t="s">
        <v>65</v>
      </c>
    </row>
    <row r="288" spans="1:9">
      <c r="A288">
        <v>275778</v>
      </c>
      <c r="B288" t="s">
        <v>1009</v>
      </c>
      <c r="C288" t="s">
        <v>1010</v>
      </c>
      <c r="D288" t="s">
        <v>1465</v>
      </c>
      <c r="E288" t="s">
        <v>1092</v>
      </c>
      <c r="F288" t="s">
        <v>1398</v>
      </c>
      <c r="G288" t="s">
        <v>1569</v>
      </c>
      <c r="H288" t="s">
        <v>2490</v>
      </c>
      <c r="I288" t="s">
        <v>67</v>
      </c>
    </row>
    <row r="289" spans="1:9">
      <c r="A289">
        <v>303339</v>
      </c>
      <c r="B289" t="s">
        <v>1011</v>
      </c>
      <c r="C289" t="s">
        <v>1012</v>
      </c>
      <c r="D289" t="s">
        <v>1465</v>
      </c>
      <c r="E289" t="s">
        <v>700</v>
      </c>
      <c r="F289" t="s">
        <v>1394</v>
      </c>
      <c r="G289" t="s">
        <v>1573</v>
      </c>
      <c r="H289" t="s">
        <v>2490</v>
      </c>
      <c r="I289" t="s">
        <v>59</v>
      </c>
    </row>
    <row r="290" spans="1:9">
      <c r="A290">
        <v>229313</v>
      </c>
      <c r="B290" t="s">
        <v>1013</v>
      </c>
      <c r="C290" t="s">
        <v>1014</v>
      </c>
      <c r="D290" t="s">
        <v>1465</v>
      </c>
      <c r="E290" t="s">
        <v>700</v>
      </c>
      <c r="F290" t="s">
        <v>1394</v>
      </c>
      <c r="G290" t="s">
        <v>1573</v>
      </c>
      <c r="H290" t="s">
        <v>2490</v>
      </c>
      <c r="I290" t="s">
        <v>59</v>
      </c>
    </row>
    <row r="291" spans="1:9">
      <c r="A291">
        <v>303473</v>
      </c>
      <c r="B291" t="s">
        <v>1015</v>
      </c>
      <c r="C291" t="s">
        <v>1016</v>
      </c>
      <c r="D291" t="s">
        <v>1465</v>
      </c>
      <c r="E291" t="s">
        <v>588</v>
      </c>
      <c r="F291" t="s">
        <v>1398</v>
      </c>
      <c r="G291" t="s">
        <v>1569</v>
      </c>
      <c r="H291" t="s">
        <v>2490</v>
      </c>
      <c r="I291" t="s">
        <v>67</v>
      </c>
    </row>
    <row r="292" spans="1:9">
      <c r="A292">
        <v>82204</v>
      </c>
      <c r="B292" t="s">
        <v>1017</v>
      </c>
      <c r="C292" t="s">
        <v>1018</v>
      </c>
      <c r="D292" t="s">
        <v>1465</v>
      </c>
      <c r="E292" t="s">
        <v>1124</v>
      </c>
      <c r="F292" t="s">
        <v>1402</v>
      </c>
      <c r="G292" t="s">
        <v>1564</v>
      </c>
      <c r="H292" t="s">
        <v>2490</v>
      </c>
      <c r="I292" t="s">
        <v>1891</v>
      </c>
    </row>
    <row r="293" spans="1:9">
      <c r="A293">
        <v>276092</v>
      </c>
      <c r="B293" t="s">
        <v>1019</v>
      </c>
      <c r="C293" t="s">
        <v>1020</v>
      </c>
      <c r="D293" t="s">
        <v>1465</v>
      </c>
      <c r="E293" t="s">
        <v>1028</v>
      </c>
      <c r="F293" t="s">
        <v>1394</v>
      </c>
      <c r="G293" t="s">
        <v>1573</v>
      </c>
      <c r="H293" t="s">
        <v>2490</v>
      </c>
      <c r="I293" t="s">
        <v>59</v>
      </c>
    </row>
    <row r="294" spans="1:9">
      <c r="A294">
        <v>147448</v>
      </c>
      <c r="B294" t="s">
        <v>1021</v>
      </c>
      <c r="C294" t="s">
        <v>1022</v>
      </c>
      <c r="D294" t="s">
        <v>1465</v>
      </c>
      <c r="E294" t="s">
        <v>951</v>
      </c>
      <c r="F294" t="s">
        <v>1402</v>
      </c>
      <c r="G294" t="s">
        <v>1589</v>
      </c>
      <c r="H294" t="s">
        <v>2490</v>
      </c>
      <c r="I294" t="s">
        <v>61</v>
      </c>
    </row>
    <row r="295" spans="1:9">
      <c r="A295">
        <v>231731</v>
      </c>
      <c r="B295" t="s">
        <v>1023</v>
      </c>
      <c r="C295" t="s">
        <v>1024</v>
      </c>
      <c r="D295" t="s">
        <v>1465</v>
      </c>
      <c r="E295" t="s">
        <v>1369</v>
      </c>
      <c r="F295" t="s">
        <v>1398</v>
      </c>
      <c r="G295" t="s">
        <v>1569</v>
      </c>
      <c r="H295" t="s">
        <v>2490</v>
      </c>
      <c r="I295" t="s">
        <v>67</v>
      </c>
    </row>
    <row r="296" spans="1:9">
      <c r="A296">
        <v>105413</v>
      </c>
      <c r="B296" t="s">
        <v>1025</v>
      </c>
      <c r="C296" t="s">
        <v>1026</v>
      </c>
      <c r="D296" t="s">
        <v>1465</v>
      </c>
      <c r="E296" t="s">
        <v>1124</v>
      </c>
      <c r="F296" t="s">
        <v>1402</v>
      </c>
      <c r="G296" t="s">
        <v>1595</v>
      </c>
      <c r="H296" t="s">
        <v>2490</v>
      </c>
      <c r="I296" t="s">
        <v>61</v>
      </c>
    </row>
    <row r="297" spans="1:9">
      <c r="A297">
        <v>102892</v>
      </c>
      <c r="B297" t="s">
        <v>1027</v>
      </c>
      <c r="C297" t="s">
        <v>1028</v>
      </c>
      <c r="D297" t="s">
        <v>1467</v>
      </c>
      <c r="E297" t="s">
        <v>1394</v>
      </c>
      <c r="F297" t="s">
        <v>1404</v>
      </c>
      <c r="G297" t="s">
        <v>1451</v>
      </c>
      <c r="H297" t="s">
        <v>2490</v>
      </c>
      <c r="I297" t="s">
        <v>1891</v>
      </c>
    </row>
    <row r="298" spans="1:9">
      <c r="A298">
        <v>197711</v>
      </c>
      <c r="B298" t="s">
        <v>1029</v>
      </c>
      <c r="C298" t="s">
        <v>1030</v>
      </c>
      <c r="D298" t="s">
        <v>1465</v>
      </c>
      <c r="E298" t="s">
        <v>951</v>
      </c>
      <c r="F298" t="s">
        <v>1402</v>
      </c>
      <c r="G298" t="s">
        <v>1566</v>
      </c>
      <c r="H298" t="s">
        <v>2490</v>
      </c>
      <c r="I298" t="s">
        <v>61</v>
      </c>
    </row>
    <row r="299" spans="1:9">
      <c r="A299">
        <v>107740</v>
      </c>
      <c r="B299" t="s">
        <v>1031</v>
      </c>
      <c r="C299" t="s">
        <v>1032</v>
      </c>
      <c r="D299" t="s">
        <v>1465</v>
      </c>
      <c r="E299" t="s">
        <v>951</v>
      </c>
      <c r="F299" t="s">
        <v>1402</v>
      </c>
      <c r="G299" t="s">
        <v>1566</v>
      </c>
      <c r="H299" t="s">
        <v>2490</v>
      </c>
      <c r="I299" t="s">
        <v>61</v>
      </c>
    </row>
    <row r="300" spans="1:9">
      <c r="A300">
        <v>100597</v>
      </c>
      <c r="B300" t="s">
        <v>1033</v>
      </c>
      <c r="C300" t="s">
        <v>1034</v>
      </c>
      <c r="D300" t="s">
        <v>1465</v>
      </c>
      <c r="E300" t="s">
        <v>1124</v>
      </c>
      <c r="F300" t="s">
        <v>1402</v>
      </c>
      <c r="G300" t="s">
        <v>1596</v>
      </c>
      <c r="H300" t="s">
        <v>2490</v>
      </c>
      <c r="I300" t="s">
        <v>61</v>
      </c>
    </row>
    <row r="301" spans="1:9">
      <c r="A301">
        <v>196262</v>
      </c>
      <c r="B301" t="s">
        <v>1376</v>
      </c>
      <c r="C301" t="s">
        <v>1377</v>
      </c>
      <c r="D301" t="s">
        <v>1465</v>
      </c>
      <c r="E301" t="s">
        <v>961</v>
      </c>
      <c r="F301" t="s">
        <v>1394</v>
      </c>
      <c r="G301" t="s">
        <v>1592</v>
      </c>
      <c r="H301" t="s">
        <v>2490</v>
      </c>
      <c r="I301" t="s">
        <v>59</v>
      </c>
    </row>
    <row r="302" spans="1:9">
      <c r="A302">
        <v>122473</v>
      </c>
      <c r="B302" t="s">
        <v>1035</v>
      </c>
      <c r="C302" t="s">
        <v>1036</v>
      </c>
      <c r="D302" t="s">
        <v>1465</v>
      </c>
      <c r="E302" t="s">
        <v>1289</v>
      </c>
      <c r="F302" t="s">
        <v>1398</v>
      </c>
      <c r="G302" t="s">
        <v>1569</v>
      </c>
      <c r="H302" t="s">
        <v>2490</v>
      </c>
      <c r="I302" t="s">
        <v>67</v>
      </c>
    </row>
    <row r="303" spans="1:9">
      <c r="A303">
        <v>121122</v>
      </c>
      <c r="B303" t="s">
        <v>1037</v>
      </c>
      <c r="C303" t="s">
        <v>1038</v>
      </c>
      <c r="D303" t="s">
        <v>1465</v>
      </c>
      <c r="E303" t="s">
        <v>827</v>
      </c>
      <c r="F303" t="s">
        <v>1399</v>
      </c>
      <c r="G303" t="s">
        <v>1591</v>
      </c>
      <c r="H303" t="s">
        <v>2490</v>
      </c>
      <c r="I303" t="s">
        <v>64</v>
      </c>
    </row>
    <row r="304" spans="1:9">
      <c r="A304">
        <v>273000</v>
      </c>
      <c r="B304" t="s">
        <v>1039</v>
      </c>
      <c r="C304" t="s">
        <v>1040</v>
      </c>
      <c r="D304" t="s">
        <v>1465</v>
      </c>
      <c r="E304" t="s">
        <v>1289</v>
      </c>
      <c r="F304" t="s">
        <v>1398</v>
      </c>
      <c r="G304" t="s">
        <v>1578</v>
      </c>
      <c r="H304" t="s">
        <v>2490</v>
      </c>
      <c r="I304" t="s">
        <v>67</v>
      </c>
    </row>
    <row r="305" spans="1:9">
      <c r="A305">
        <v>273669</v>
      </c>
      <c r="B305" t="s">
        <v>1041</v>
      </c>
      <c r="C305" t="s">
        <v>1042</v>
      </c>
      <c r="D305" t="s">
        <v>1465</v>
      </c>
      <c r="E305" t="s">
        <v>1028</v>
      </c>
      <c r="F305" t="s">
        <v>1394</v>
      </c>
      <c r="G305" t="s">
        <v>1573</v>
      </c>
      <c r="H305" t="s">
        <v>2490</v>
      </c>
      <c r="I305" t="s">
        <v>59</v>
      </c>
    </row>
    <row r="306" spans="1:9">
      <c r="A306">
        <v>291012</v>
      </c>
      <c r="B306" t="s">
        <v>1043</v>
      </c>
      <c r="C306" t="s">
        <v>1044</v>
      </c>
      <c r="D306" t="s">
        <v>1465</v>
      </c>
      <c r="E306" t="s">
        <v>478</v>
      </c>
      <c r="F306" t="s">
        <v>1398</v>
      </c>
      <c r="G306" t="s">
        <v>1569</v>
      </c>
      <c r="H306" t="s">
        <v>2490</v>
      </c>
      <c r="I306" t="s">
        <v>67</v>
      </c>
    </row>
    <row r="307" spans="1:9">
      <c r="A307">
        <v>240699</v>
      </c>
      <c r="B307" t="s">
        <v>1045</v>
      </c>
      <c r="C307" t="s">
        <v>1046</v>
      </c>
      <c r="D307" t="s">
        <v>1465</v>
      </c>
      <c r="E307" t="s">
        <v>514</v>
      </c>
      <c r="F307" t="s">
        <v>610</v>
      </c>
      <c r="G307" t="s">
        <v>1574</v>
      </c>
      <c r="H307" t="s">
        <v>2490</v>
      </c>
      <c r="I307" t="s">
        <v>65</v>
      </c>
    </row>
    <row r="308" spans="1:9">
      <c r="A308">
        <v>276415</v>
      </c>
      <c r="B308" t="s">
        <v>1047</v>
      </c>
      <c r="C308" t="s">
        <v>1048</v>
      </c>
      <c r="D308" t="s">
        <v>1465</v>
      </c>
      <c r="E308" t="s">
        <v>1367</v>
      </c>
      <c r="F308" t="s">
        <v>610</v>
      </c>
      <c r="G308" t="s">
        <v>1574</v>
      </c>
      <c r="H308" t="s">
        <v>2490</v>
      </c>
      <c r="I308" t="s">
        <v>65</v>
      </c>
    </row>
    <row r="309" spans="1:9">
      <c r="A309">
        <v>276411</v>
      </c>
      <c r="B309" t="s">
        <v>1049</v>
      </c>
      <c r="C309" t="s">
        <v>1050</v>
      </c>
      <c r="D309" t="s">
        <v>1465</v>
      </c>
      <c r="E309" t="s">
        <v>1369</v>
      </c>
      <c r="F309" t="s">
        <v>1398</v>
      </c>
      <c r="G309" t="s">
        <v>1577</v>
      </c>
      <c r="H309" t="s">
        <v>2490</v>
      </c>
      <c r="I309" t="s">
        <v>67</v>
      </c>
    </row>
    <row r="310" spans="1:9">
      <c r="A310">
        <v>194883</v>
      </c>
      <c r="B310" t="s">
        <v>1051</v>
      </c>
      <c r="C310" t="s">
        <v>1052</v>
      </c>
      <c r="D310" t="s">
        <v>1465</v>
      </c>
      <c r="E310" t="s">
        <v>1369</v>
      </c>
      <c r="F310" t="s">
        <v>1398</v>
      </c>
      <c r="G310" t="s">
        <v>1578</v>
      </c>
      <c r="H310" t="s">
        <v>2490</v>
      </c>
      <c r="I310" t="s">
        <v>67</v>
      </c>
    </row>
    <row r="311" spans="1:9">
      <c r="A311">
        <v>195401</v>
      </c>
      <c r="B311" t="s">
        <v>1053</v>
      </c>
      <c r="C311" t="s">
        <v>1054</v>
      </c>
      <c r="D311" t="s">
        <v>1465</v>
      </c>
      <c r="E311" t="s">
        <v>2491</v>
      </c>
      <c r="F311" t="s">
        <v>610</v>
      </c>
      <c r="G311" t="s">
        <v>1583</v>
      </c>
      <c r="H311" t="s">
        <v>2490</v>
      </c>
      <c r="I311" t="s">
        <v>65</v>
      </c>
    </row>
    <row r="312" spans="1:9">
      <c r="A312">
        <v>273667</v>
      </c>
      <c r="B312" t="s">
        <v>1055</v>
      </c>
      <c r="C312" t="s">
        <v>1056</v>
      </c>
      <c r="D312" t="s">
        <v>1465</v>
      </c>
      <c r="E312" t="s">
        <v>648</v>
      </c>
      <c r="F312" t="s">
        <v>1402</v>
      </c>
      <c r="G312" t="s">
        <v>1565</v>
      </c>
      <c r="H312" t="s">
        <v>2490</v>
      </c>
      <c r="I312" t="s">
        <v>58</v>
      </c>
    </row>
    <row r="313" spans="1:9">
      <c r="A313">
        <v>196254</v>
      </c>
      <c r="B313" t="s">
        <v>1057</v>
      </c>
      <c r="C313" t="s">
        <v>1058</v>
      </c>
      <c r="D313" t="s">
        <v>1465</v>
      </c>
      <c r="E313" t="s">
        <v>1028</v>
      </c>
      <c r="F313" t="s">
        <v>1394</v>
      </c>
      <c r="G313" t="s">
        <v>1573</v>
      </c>
      <c r="H313" t="s">
        <v>2490</v>
      </c>
      <c r="I313" t="s">
        <v>59</v>
      </c>
    </row>
    <row r="314" spans="1:9">
      <c r="A314">
        <v>291005</v>
      </c>
      <c r="B314" t="s">
        <v>1059</v>
      </c>
      <c r="C314" t="s">
        <v>1060</v>
      </c>
      <c r="D314" t="s">
        <v>1465</v>
      </c>
      <c r="E314" t="s">
        <v>514</v>
      </c>
      <c r="F314" t="s">
        <v>610</v>
      </c>
      <c r="G314" t="s">
        <v>1574</v>
      </c>
      <c r="H314" t="s">
        <v>2490</v>
      </c>
      <c r="I314" t="s">
        <v>65</v>
      </c>
    </row>
    <row r="315" spans="1:9">
      <c r="A315">
        <v>137378</v>
      </c>
      <c r="B315" t="s">
        <v>1061</v>
      </c>
      <c r="C315" t="s">
        <v>1062</v>
      </c>
      <c r="D315" t="s">
        <v>1465</v>
      </c>
      <c r="E315" t="s">
        <v>943</v>
      </c>
      <c r="F315" t="s">
        <v>1402</v>
      </c>
      <c r="G315" t="s">
        <v>1575</v>
      </c>
      <c r="H315" t="s">
        <v>2490</v>
      </c>
      <c r="I315" t="s">
        <v>68</v>
      </c>
    </row>
    <row r="316" spans="1:9">
      <c r="A316">
        <v>298787</v>
      </c>
      <c r="B316" t="s">
        <v>1063</v>
      </c>
      <c r="C316" t="s">
        <v>1064</v>
      </c>
      <c r="D316" t="s">
        <v>1465</v>
      </c>
      <c r="E316" t="s">
        <v>1369</v>
      </c>
      <c r="F316" t="s">
        <v>1398</v>
      </c>
      <c r="G316" t="s">
        <v>1569</v>
      </c>
      <c r="H316" t="s">
        <v>2490</v>
      </c>
      <c r="I316" t="s">
        <v>67</v>
      </c>
    </row>
    <row r="317" spans="1:9">
      <c r="A317">
        <v>43485</v>
      </c>
      <c r="B317" t="s">
        <v>1065</v>
      </c>
      <c r="C317" t="s">
        <v>1066</v>
      </c>
      <c r="D317" t="s">
        <v>1465</v>
      </c>
      <c r="E317" t="s">
        <v>943</v>
      </c>
      <c r="F317" t="s">
        <v>1402</v>
      </c>
      <c r="G317" t="s">
        <v>1567</v>
      </c>
      <c r="H317" t="s">
        <v>2490</v>
      </c>
      <c r="I317" t="s">
        <v>61</v>
      </c>
    </row>
    <row r="318" spans="1:9">
      <c r="A318">
        <v>65895</v>
      </c>
      <c r="B318" t="s">
        <v>1067</v>
      </c>
      <c r="C318" t="s">
        <v>1068</v>
      </c>
      <c r="D318" t="s">
        <v>1465</v>
      </c>
      <c r="E318" t="s">
        <v>951</v>
      </c>
      <c r="F318" t="s">
        <v>1402</v>
      </c>
      <c r="G318" t="s">
        <v>1588</v>
      </c>
      <c r="H318" t="s">
        <v>2490</v>
      </c>
      <c r="I318" t="s">
        <v>61</v>
      </c>
    </row>
    <row r="319" spans="1:9">
      <c r="A319">
        <v>25745</v>
      </c>
      <c r="B319" t="s">
        <v>1069</v>
      </c>
      <c r="C319" t="s">
        <v>1070</v>
      </c>
      <c r="D319" t="s">
        <v>1465</v>
      </c>
      <c r="E319" t="s">
        <v>1124</v>
      </c>
      <c r="F319" t="s">
        <v>1402</v>
      </c>
      <c r="G319" t="s">
        <v>1572</v>
      </c>
      <c r="H319" t="s">
        <v>2490</v>
      </c>
      <c r="I319" t="s">
        <v>61</v>
      </c>
    </row>
    <row r="320" spans="1:9">
      <c r="A320">
        <v>172936</v>
      </c>
      <c r="B320" t="s">
        <v>1071</v>
      </c>
      <c r="C320" t="s">
        <v>1072</v>
      </c>
      <c r="D320" t="s">
        <v>1465</v>
      </c>
      <c r="E320" t="s">
        <v>827</v>
      </c>
      <c r="F320" t="s">
        <v>1399</v>
      </c>
      <c r="G320" t="s">
        <v>1591</v>
      </c>
      <c r="H320" t="s">
        <v>2490</v>
      </c>
      <c r="I320" t="s">
        <v>64</v>
      </c>
    </row>
    <row r="321" spans="1:9">
      <c r="A321">
        <v>272980</v>
      </c>
      <c r="B321" t="s">
        <v>1073</v>
      </c>
      <c r="C321" t="s">
        <v>1074</v>
      </c>
      <c r="D321" t="s">
        <v>1465</v>
      </c>
      <c r="E321" t="s">
        <v>514</v>
      </c>
      <c r="F321" t="s">
        <v>610</v>
      </c>
      <c r="G321" t="s">
        <v>1574</v>
      </c>
      <c r="H321" t="s">
        <v>2490</v>
      </c>
      <c r="I321" t="s">
        <v>65</v>
      </c>
    </row>
    <row r="322" spans="1:9">
      <c r="A322">
        <v>292097</v>
      </c>
      <c r="B322" t="s">
        <v>1075</v>
      </c>
      <c r="C322" t="s">
        <v>1076</v>
      </c>
      <c r="D322" t="s">
        <v>1465</v>
      </c>
      <c r="E322" t="s">
        <v>478</v>
      </c>
      <c r="F322" t="s">
        <v>1398</v>
      </c>
      <c r="G322" t="s">
        <v>1569</v>
      </c>
      <c r="H322" t="s">
        <v>2490</v>
      </c>
      <c r="I322" t="s">
        <v>67</v>
      </c>
    </row>
    <row r="323" spans="1:9">
      <c r="A323">
        <v>272998</v>
      </c>
      <c r="B323" t="s">
        <v>1077</v>
      </c>
      <c r="C323" t="s">
        <v>1078</v>
      </c>
      <c r="D323" t="s">
        <v>1465</v>
      </c>
      <c r="E323" t="s">
        <v>1367</v>
      </c>
      <c r="F323" t="s">
        <v>610</v>
      </c>
      <c r="G323" t="s">
        <v>1566</v>
      </c>
      <c r="H323" t="s">
        <v>2490</v>
      </c>
      <c r="I323" t="s">
        <v>65</v>
      </c>
    </row>
    <row r="324" spans="1:9">
      <c r="A324">
        <v>275927</v>
      </c>
      <c r="B324" t="s">
        <v>1445</v>
      </c>
      <c r="C324" t="s">
        <v>1441</v>
      </c>
      <c r="D324" t="s">
        <v>1465</v>
      </c>
      <c r="E324" t="s">
        <v>1092</v>
      </c>
      <c r="F324" t="s">
        <v>1398</v>
      </c>
      <c r="G324" t="s">
        <v>1569</v>
      </c>
      <c r="H324" t="s">
        <v>2490</v>
      </c>
      <c r="I324" t="s">
        <v>67</v>
      </c>
    </row>
    <row r="325" spans="1:9">
      <c r="A325">
        <v>112140</v>
      </c>
      <c r="B325" t="s">
        <v>1079</v>
      </c>
      <c r="C325" t="s">
        <v>1080</v>
      </c>
      <c r="D325" t="s">
        <v>1465</v>
      </c>
      <c r="E325" t="s">
        <v>514</v>
      </c>
      <c r="F325" t="s">
        <v>610</v>
      </c>
      <c r="G325" t="s">
        <v>1597</v>
      </c>
      <c r="H325" t="s">
        <v>2490</v>
      </c>
      <c r="I325" t="s">
        <v>65</v>
      </c>
    </row>
    <row r="326" spans="1:9">
      <c r="A326">
        <v>143030</v>
      </c>
      <c r="B326" t="s">
        <v>1081</v>
      </c>
      <c r="C326" t="s">
        <v>1082</v>
      </c>
      <c r="D326" t="s">
        <v>1467</v>
      </c>
      <c r="E326" t="s">
        <v>1402</v>
      </c>
      <c r="F326" t="s">
        <v>1404</v>
      </c>
      <c r="G326" t="s">
        <v>1451</v>
      </c>
      <c r="H326" t="s">
        <v>2490</v>
      </c>
      <c r="I326" t="s">
        <v>1891</v>
      </c>
    </row>
    <row r="327" spans="1:9">
      <c r="A327">
        <v>278687</v>
      </c>
      <c r="B327" t="s">
        <v>1083</v>
      </c>
      <c r="C327" t="s">
        <v>1084</v>
      </c>
      <c r="D327" t="s">
        <v>1465</v>
      </c>
      <c r="E327" t="s">
        <v>1082</v>
      </c>
      <c r="F327" t="s">
        <v>1402</v>
      </c>
      <c r="G327" t="s">
        <v>1565</v>
      </c>
      <c r="H327" t="s">
        <v>2490</v>
      </c>
      <c r="I327" t="s">
        <v>58</v>
      </c>
    </row>
    <row r="328" spans="1:9">
      <c r="A328">
        <v>229172</v>
      </c>
      <c r="B328" t="s">
        <v>1085</v>
      </c>
      <c r="C328" t="s">
        <v>1086</v>
      </c>
      <c r="D328" t="s">
        <v>1465</v>
      </c>
      <c r="E328" t="s">
        <v>2491</v>
      </c>
      <c r="F328" t="s">
        <v>610</v>
      </c>
      <c r="G328" t="s">
        <v>1574</v>
      </c>
      <c r="H328" t="s">
        <v>2490</v>
      </c>
      <c r="I328" t="s">
        <v>65</v>
      </c>
    </row>
    <row r="329" spans="1:9">
      <c r="A329">
        <v>105786</v>
      </c>
      <c r="B329" t="s">
        <v>1087</v>
      </c>
      <c r="C329" t="s">
        <v>1088</v>
      </c>
      <c r="D329" t="s">
        <v>1465</v>
      </c>
      <c r="E329" t="s">
        <v>1367</v>
      </c>
      <c r="F329" t="s">
        <v>610</v>
      </c>
      <c r="G329" t="s">
        <v>1574</v>
      </c>
      <c r="H329" t="s">
        <v>2490</v>
      </c>
      <c r="I329" t="s">
        <v>65</v>
      </c>
    </row>
    <row r="330" spans="1:9">
      <c r="A330">
        <v>197198</v>
      </c>
      <c r="B330" t="s">
        <v>1089</v>
      </c>
      <c r="C330" t="s">
        <v>1090</v>
      </c>
      <c r="D330" t="s">
        <v>1465</v>
      </c>
      <c r="E330" t="s">
        <v>951</v>
      </c>
      <c r="F330" t="s">
        <v>1402</v>
      </c>
      <c r="G330" t="s">
        <v>1566</v>
      </c>
      <c r="H330" t="s">
        <v>2490</v>
      </c>
      <c r="I330" t="s">
        <v>61</v>
      </c>
    </row>
    <row r="331" spans="1:9">
      <c r="A331">
        <v>312894</v>
      </c>
      <c r="B331" t="s">
        <v>1482</v>
      </c>
      <c r="C331" t="s">
        <v>1472</v>
      </c>
      <c r="D331" t="s">
        <v>1465</v>
      </c>
      <c r="E331" t="s">
        <v>1369</v>
      </c>
      <c r="F331" t="s">
        <v>1398</v>
      </c>
      <c r="G331" t="s">
        <v>1569</v>
      </c>
      <c r="H331" t="s">
        <v>2490</v>
      </c>
      <c r="I331" t="s">
        <v>67</v>
      </c>
    </row>
    <row r="332" spans="1:9">
      <c r="A332">
        <v>8829</v>
      </c>
      <c r="B332" t="s">
        <v>1091</v>
      </c>
      <c r="C332" t="s">
        <v>1092</v>
      </c>
      <c r="D332" t="s">
        <v>1467</v>
      </c>
      <c r="E332" t="s">
        <v>1398</v>
      </c>
      <c r="F332" t="s">
        <v>1404</v>
      </c>
      <c r="G332" t="s">
        <v>1451</v>
      </c>
      <c r="H332" t="s">
        <v>2490</v>
      </c>
      <c r="I332" t="s">
        <v>1891</v>
      </c>
    </row>
    <row r="333" spans="1:9">
      <c r="A333">
        <v>138591</v>
      </c>
      <c r="B333" t="s">
        <v>1093</v>
      </c>
      <c r="C333" t="s">
        <v>1094</v>
      </c>
      <c r="D333" t="s">
        <v>1465</v>
      </c>
      <c r="E333" t="s">
        <v>961</v>
      </c>
      <c r="F333" t="s">
        <v>1394</v>
      </c>
      <c r="G333" t="s">
        <v>1573</v>
      </c>
      <c r="H333" t="s">
        <v>2490</v>
      </c>
      <c r="I333" t="s">
        <v>59</v>
      </c>
    </row>
    <row r="334" spans="1:9">
      <c r="A334">
        <v>275864</v>
      </c>
      <c r="B334" t="s">
        <v>1095</v>
      </c>
      <c r="C334" t="s">
        <v>1096</v>
      </c>
      <c r="D334" t="s">
        <v>1465</v>
      </c>
      <c r="E334" t="s">
        <v>1223</v>
      </c>
      <c r="F334" t="s">
        <v>1399</v>
      </c>
      <c r="G334" t="s">
        <v>1576</v>
      </c>
      <c r="H334" t="s">
        <v>2490</v>
      </c>
      <c r="I334" t="s">
        <v>66</v>
      </c>
    </row>
    <row r="335" spans="1:9">
      <c r="A335">
        <v>300562</v>
      </c>
      <c r="B335" t="s">
        <v>1097</v>
      </c>
      <c r="C335" t="s">
        <v>1098</v>
      </c>
      <c r="D335" t="s">
        <v>1465</v>
      </c>
      <c r="E335" t="s">
        <v>514</v>
      </c>
      <c r="F335" t="s">
        <v>610</v>
      </c>
      <c r="G335" t="s">
        <v>1574</v>
      </c>
      <c r="H335" t="s">
        <v>2490</v>
      </c>
      <c r="I335" t="s">
        <v>65</v>
      </c>
    </row>
    <row r="336" spans="1:9">
      <c r="A336">
        <v>80330</v>
      </c>
      <c r="B336" t="s">
        <v>1099</v>
      </c>
      <c r="C336" t="s">
        <v>1100</v>
      </c>
      <c r="D336" t="s">
        <v>1465</v>
      </c>
      <c r="E336" t="s">
        <v>951</v>
      </c>
      <c r="F336" t="s">
        <v>1402</v>
      </c>
      <c r="G336" t="s">
        <v>1598</v>
      </c>
      <c r="H336" t="s">
        <v>2490</v>
      </c>
      <c r="I336" t="s">
        <v>61</v>
      </c>
    </row>
    <row r="337" spans="1:9">
      <c r="A337">
        <v>245709</v>
      </c>
      <c r="B337" t="s">
        <v>1101</v>
      </c>
      <c r="C337" t="s">
        <v>1102</v>
      </c>
      <c r="D337" t="s">
        <v>1465</v>
      </c>
      <c r="E337" t="s">
        <v>604</v>
      </c>
      <c r="F337" t="s">
        <v>1399</v>
      </c>
      <c r="G337" t="s">
        <v>1570</v>
      </c>
      <c r="H337" t="s">
        <v>2490</v>
      </c>
      <c r="I337" t="s">
        <v>62</v>
      </c>
    </row>
    <row r="338" spans="1:9">
      <c r="A338">
        <v>242686</v>
      </c>
      <c r="B338" t="s">
        <v>1103</v>
      </c>
      <c r="C338" t="s">
        <v>1104</v>
      </c>
      <c r="D338" t="s">
        <v>1465</v>
      </c>
      <c r="E338" t="s">
        <v>1028</v>
      </c>
      <c r="F338" t="s">
        <v>1394</v>
      </c>
      <c r="G338" t="s">
        <v>1573</v>
      </c>
      <c r="H338" t="s">
        <v>2490</v>
      </c>
      <c r="I338" t="s">
        <v>59</v>
      </c>
    </row>
    <row r="339" spans="1:9">
      <c r="A339">
        <v>195110</v>
      </c>
      <c r="B339" t="s">
        <v>1105</v>
      </c>
      <c r="C339" t="s">
        <v>1106</v>
      </c>
      <c r="D339" t="s">
        <v>1465</v>
      </c>
      <c r="E339" t="s">
        <v>1028</v>
      </c>
      <c r="F339" t="s">
        <v>1394</v>
      </c>
      <c r="G339" t="s">
        <v>1573</v>
      </c>
      <c r="H339" t="s">
        <v>2490</v>
      </c>
      <c r="I339" t="s">
        <v>59</v>
      </c>
    </row>
    <row r="340" spans="1:9">
      <c r="A340">
        <v>143241</v>
      </c>
      <c r="B340" t="s">
        <v>1107</v>
      </c>
      <c r="C340" t="s">
        <v>1108</v>
      </c>
      <c r="D340" t="s">
        <v>1473</v>
      </c>
      <c r="E340" t="s">
        <v>961</v>
      </c>
      <c r="F340" t="s">
        <v>1394</v>
      </c>
      <c r="G340" t="s">
        <v>1568</v>
      </c>
      <c r="H340" t="s">
        <v>2490</v>
      </c>
      <c r="I340" t="s">
        <v>60</v>
      </c>
    </row>
    <row r="341" spans="1:9">
      <c r="A341">
        <v>279021</v>
      </c>
      <c r="B341" t="s">
        <v>1109</v>
      </c>
      <c r="C341" t="s">
        <v>1110</v>
      </c>
      <c r="D341" t="s">
        <v>1465</v>
      </c>
      <c r="E341" t="s">
        <v>648</v>
      </c>
      <c r="F341" t="s">
        <v>1402</v>
      </c>
      <c r="G341" t="s">
        <v>1565</v>
      </c>
      <c r="H341" t="s">
        <v>2490</v>
      </c>
      <c r="I341" t="s">
        <v>58</v>
      </c>
    </row>
    <row r="342" spans="1:9">
      <c r="A342">
        <v>293170</v>
      </c>
      <c r="B342" t="s">
        <v>1111</v>
      </c>
      <c r="C342" t="s">
        <v>1112</v>
      </c>
      <c r="D342" t="s">
        <v>1465</v>
      </c>
      <c r="E342" t="s">
        <v>514</v>
      </c>
      <c r="F342" t="s">
        <v>610</v>
      </c>
      <c r="G342" t="s">
        <v>1574</v>
      </c>
      <c r="H342" t="s">
        <v>2490</v>
      </c>
      <c r="I342" t="s">
        <v>65</v>
      </c>
    </row>
    <row r="343" spans="1:9">
      <c r="A343">
        <v>183747</v>
      </c>
      <c r="B343" t="s">
        <v>1113</v>
      </c>
      <c r="C343" t="s">
        <v>1114</v>
      </c>
      <c r="D343" t="s">
        <v>1465</v>
      </c>
      <c r="E343" t="s">
        <v>827</v>
      </c>
      <c r="F343" t="s">
        <v>1399</v>
      </c>
      <c r="G343" t="s">
        <v>1582</v>
      </c>
      <c r="H343" t="s">
        <v>2490</v>
      </c>
      <c r="I343" t="s">
        <v>64</v>
      </c>
    </row>
    <row r="344" spans="1:9">
      <c r="A344">
        <v>221714</v>
      </c>
      <c r="B344" t="s">
        <v>1115</v>
      </c>
      <c r="C344" t="s">
        <v>1116</v>
      </c>
      <c r="D344" t="s">
        <v>1465</v>
      </c>
      <c r="E344" t="s">
        <v>604</v>
      </c>
      <c r="F344" t="s">
        <v>1399</v>
      </c>
      <c r="G344" t="s">
        <v>1570</v>
      </c>
      <c r="H344" t="s">
        <v>2490</v>
      </c>
      <c r="I344" t="s">
        <v>62</v>
      </c>
    </row>
    <row r="345" spans="1:9">
      <c r="A345">
        <v>310912</v>
      </c>
      <c r="B345" t="s">
        <v>1117</v>
      </c>
      <c r="C345" t="s">
        <v>1118</v>
      </c>
      <c r="D345" t="s">
        <v>1465</v>
      </c>
      <c r="E345" t="s">
        <v>478</v>
      </c>
      <c r="F345" t="s">
        <v>1398</v>
      </c>
      <c r="G345" t="s">
        <v>1569</v>
      </c>
      <c r="H345" t="s">
        <v>2490</v>
      </c>
      <c r="I345" t="s">
        <v>67</v>
      </c>
    </row>
    <row r="346" spans="1:9">
      <c r="A346">
        <v>272696</v>
      </c>
      <c r="B346" t="s">
        <v>1119</v>
      </c>
      <c r="C346" t="s">
        <v>1120</v>
      </c>
      <c r="D346" t="s">
        <v>1465</v>
      </c>
      <c r="E346" t="s">
        <v>943</v>
      </c>
      <c r="F346" t="s">
        <v>1402</v>
      </c>
      <c r="G346" t="s">
        <v>1575</v>
      </c>
      <c r="H346" t="s">
        <v>2490</v>
      </c>
      <c r="I346" t="s">
        <v>68</v>
      </c>
    </row>
    <row r="347" spans="1:9">
      <c r="A347">
        <v>199101</v>
      </c>
      <c r="B347" t="s">
        <v>1121</v>
      </c>
      <c r="C347" t="s">
        <v>1122</v>
      </c>
      <c r="D347" t="s">
        <v>1465</v>
      </c>
      <c r="E347" t="s">
        <v>514</v>
      </c>
      <c r="F347" t="s">
        <v>610</v>
      </c>
      <c r="G347" t="s">
        <v>1574</v>
      </c>
      <c r="H347" t="s">
        <v>2490</v>
      </c>
      <c r="I347" t="s">
        <v>65</v>
      </c>
    </row>
    <row r="348" spans="1:9">
      <c r="A348">
        <v>106999</v>
      </c>
      <c r="B348" t="s">
        <v>1123</v>
      </c>
      <c r="C348" t="s">
        <v>1124</v>
      </c>
      <c r="D348" t="s">
        <v>1467</v>
      </c>
      <c r="E348" t="s">
        <v>1402</v>
      </c>
      <c r="F348" t="s">
        <v>1404</v>
      </c>
      <c r="G348" t="s">
        <v>1451</v>
      </c>
      <c r="H348" t="s">
        <v>2490</v>
      </c>
      <c r="I348" t="s">
        <v>1891</v>
      </c>
    </row>
    <row r="349" spans="1:9">
      <c r="A349">
        <v>194467</v>
      </c>
      <c r="B349" t="s">
        <v>1125</v>
      </c>
      <c r="C349" t="s">
        <v>1126</v>
      </c>
      <c r="D349" t="s">
        <v>1465</v>
      </c>
      <c r="E349" t="s">
        <v>1361</v>
      </c>
      <c r="F349" t="s">
        <v>1405</v>
      </c>
      <c r="G349" t="s">
        <v>1574</v>
      </c>
      <c r="H349" t="s">
        <v>2490</v>
      </c>
      <c r="I349" t="s">
        <v>65</v>
      </c>
    </row>
    <row r="350" spans="1:9">
      <c r="A350">
        <v>221413</v>
      </c>
      <c r="B350" t="s">
        <v>1127</v>
      </c>
      <c r="C350" t="s">
        <v>1128</v>
      </c>
      <c r="D350" t="s">
        <v>1465</v>
      </c>
      <c r="E350" t="s">
        <v>700</v>
      </c>
      <c r="F350" t="s">
        <v>1394</v>
      </c>
      <c r="G350" t="s">
        <v>1573</v>
      </c>
      <c r="H350" t="s">
        <v>2490</v>
      </c>
      <c r="I350" t="s">
        <v>59</v>
      </c>
    </row>
    <row r="351" spans="1:9">
      <c r="A351">
        <v>278920</v>
      </c>
      <c r="B351" t="s">
        <v>1129</v>
      </c>
      <c r="C351" t="s">
        <v>1130</v>
      </c>
      <c r="D351" t="s">
        <v>1465</v>
      </c>
      <c r="E351" t="s">
        <v>1367</v>
      </c>
      <c r="F351" t="s">
        <v>610</v>
      </c>
      <c r="G351" t="s">
        <v>1574</v>
      </c>
      <c r="H351" t="s">
        <v>2490</v>
      </c>
      <c r="I351" t="s">
        <v>65</v>
      </c>
    </row>
    <row r="352" spans="1:9">
      <c r="A352">
        <v>187975</v>
      </c>
      <c r="B352" t="s">
        <v>1131</v>
      </c>
      <c r="C352" t="s">
        <v>1132</v>
      </c>
      <c r="D352" t="s">
        <v>1465</v>
      </c>
      <c r="E352" t="s">
        <v>1028</v>
      </c>
      <c r="F352" t="s">
        <v>1394</v>
      </c>
      <c r="G352" t="s">
        <v>1586</v>
      </c>
      <c r="H352" t="s">
        <v>2490</v>
      </c>
      <c r="I352" t="s">
        <v>60</v>
      </c>
    </row>
    <row r="353" spans="1:9">
      <c r="A353">
        <v>158826</v>
      </c>
      <c r="B353" t="s">
        <v>1133</v>
      </c>
      <c r="C353" t="s">
        <v>1134</v>
      </c>
      <c r="D353" t="s">
        <v>1465</v>
      </c>
      <c r="E353" t="s">
        <v>951</v>
      </c>
      <c r="F353" t="s">
        <v>1402</v>
      </c>
      <c r="G353" t="s">
        <v>1588</v>
      </c>
      <c r="H353" t="s">
        <v>2490</v>
      </c>
      <c r="I353" t="s">
        <v>68</v>
      </c>
    </row>
    <row r="354" spans="1:9">
      <c r="A354">
        <v>100826</v>
      </c>
      <c r="B354" t="s">
        <v>1135</v>
      </c>
      <c r="C354" t="s">
        <v>1136</v>
      </c>
      <c r="D354" t="s">
        <v>1465</v>
      </c>
      <c r="E354" t="s">
        <v>951</v>
      </c>
      <c r="F354" t="s">
        <v>1402</v>
      </c>
      <c r="G354" t="s">
        <v>1566</v>
      </c>
      <c r="H354" t="s">
        <v>2490</v>
      </c>
      <c r="I354" t="s">
        <v>61</v>
      </c>
    </row>
    <row r="355" spans="1:9">
      <c r="A355">
        <v>274212</v>
      </c>
      <c r="B355" t="s">
        <v>1137</v>
      </c>
      <c r="C355" t="s">
        <v>1138</v>
      </c>
      <c r="D355" t="s">
        <v>1465</v>
      </c>
      <c r="E355" t="s">
        <v>700</v>
      </c>
      <c r="F355" t="s">
        <v>1394</v>
      </c>
      <c r="G355" t="s">
        <v>1573</v>
      </c>
      <c r="H355" t="s">
        <v>2490</v>
      </c>
      <c r="I355" t="s">
        <v>59</v>
      </c>
    </row>
    <row r="356" spans="1:9">
      <c r="A356">
        <v>245760</v>
      </c>
      <c r="B356" t="s">
        <v>1139</v>
      </c>
      <c r="C356" t="s">
        <v>1140</v>
      </c>
      <c r="D356" t="s">
        <v>1465</v>
      </c>
      <c r="E356" t="s">
        <v>604</v>
      </c>
      <c r="F356" t="s">
        <v>1399</v>
      </c>
      <c r="G356" t="s">
        <v>1570</v>
      </c>
      <c r="H356" t="s">
        <v>2490</v>
      </c>
      <c r="I356" t="s">
        <v>62</v>
      </c>
    </row>
    <row r="357" spans="1:9">
      <c r="A357">
        <v>180358</v>
      </c>
      <c r="B357" t="s">
        <v>1141</v>
      </c>
      <c r="C357" t="s">
        <v>1142</v>
      </c>
      <c r="D357" t="s">
        <v>1466</v>
      </c>
      <c r="E357" t="s">
        <v>971</v>
      </c>
      <c r="F357" t="s">
        <v>1399</v>
      </c>
      <c r="G357" t="s">
        <v>1568</v>
      </c>
      <c r="H357" t="s">
        <v>2490</v>
      </c>
      <c r="I357" t="s">
        <v>62</v>
      </c>
    </row>
    <row r="358" spans="1:9">
      <c r="A358">
        <v>194720</v>
      </c>
      <c r="B358" t="s">
        <v>1143</v>
      </c>
      <c r="C358" t="s">
        <v>1144</v>
      </c>
      <c r="D358" t="s">
        <v>1465</v>
      </c>
      <c r="E358" t="s">
        <v>1092</v>
      </c>
      <c r="F358" t="s">
        <v>1398</v>
      </c>
      <c r="G358" t="s">
        <v>1569</v>
      </c>
      <c r="H358" t="s">
        <v>2490</v>
      </c>
      <c r="I358" t="s">
        <v>1891</v>
      </c>
    </row>
    <row r="359" spans="1:9">
      <c r="A359">
        <v>231117</v>
      </c>
      <c r="B359" t="s">
        <v>1145</v>
      </c>
      <c r="C359" t="s">
        <v>1146</v>
      </c>
      <c r="D359" t="s">
        <v>1465</v>
      </c>
      <c r="E359" t="s">
        <v>971</v>
      </c>
      <c r="F359" t="s">
        <v>1399</v>
      </c>
      <c r="G359" t="s">
        <v>1570</v>
      </c>
      <c r="H359" t="s">
        <v>2490</v>
      </c>
      <c r="I359" t="s">
        <v>62</v>
      </c>
    </row>
    <row r="360" spans="1:9">
      <c r="A360">
        <v>273305</v>
      </c>
      <c r="B360" t="s">
        <v>1147</v>
      </c>
      <c r="C360" t="s">
        <v>1148</v>
      </c>
      <c r="D360" t="s">
        <v>1465</v>
      </c>
      <c r="E360" t="s">
        <v>1289</v>
      </c>
      <c r="F360" t="s">
        <v>1398</v>
      </c>
      <c r="G360" t="s">
        <v>1569</v>
      </c>
      <c r="H360" t="s">
        <v>2490</v>
      </c>
      <c r="I360" t="s">
        <v>67</v>
      </c>
    </row>
    <row r="361" spans="1:9">
      <c r="A361">
        <v>147845</v>
      </c>
      <c r="B361" t="s">
        <v>1149</v>
      </c>
      <c r="C361" t="s">
        <v>1150</v>
      </c>
      <c r="D361" t="s">
        <v>1465</v>
      </c>
      <c r="E361" t="s">
        <v>943</v>
      </c>
      <c r="F361" t="s">
        <v>1402</v>
      </c>
      <c r="G361" t="s">
        <v>1575</v>
      </c>
      <c r="H361" t="s">
        <v>2490</v>
      </c>
      <c r="I361" t="s">
        <v>68</v>
      </c>
    </row>
    <row r="362" spans="1:9">
      <c r="A362">
        <v>138357</v>
      </c>
      <c r="B362" t="s">
        <v>1151</v>
      </c>
      <c r="C362" t="s">
        <v>1152</v>
      </c>
      <c r="D362" t="s">
        <v>1465</v>
      </c>
      <c r="E362" t="s">
        <v>971</v>
      </c>
      <c r="F362" t="s">
        <v>1399</v>
      </c>
      <c r="G362" t="s">
        <v>1570</v>
      </c>
      <c r="H362" t="s">
        <v>2490</v>
      </c>
      <c r="I362" t="s">
        <v>62</v>
      </c>
    </row>
    <row r="363" spans="1:9">
      <c r="A363">
        <v>265219</v>
      </c>
      <c r="B363" t="s">
        <v>1153</v>
      </c>
      <c r="C363" t="s">
        <v>1154</v>
      </c>
      <c r="D363" t="s">
        <v>1465</v>
      </c>
      <c r="E363" t="s">
        <v>588</v>
      </c>
      <c r="F363" t="s">
        <v>1398</v>
      </c>
      <c r="G363" t="s">
        <v>1569</v>
      </c>
      <c r="H363" t="s">
        <v>2490</v>
      </c>
      <c r="I363" t="s">
        <v>67</v>
      </c>
    </row>
    <row r="364" spans="1:9">
      <c r="A364">
        <v>221414</v>
      </c>
      <c r="B364" t="s">
        <v>1155</v>
      </c>
      <c r="C364" t="s">
        <v>1156</v>
      </c>
      <c r="D364" t="s">
        <v>1464</v>
      </c>
      <c r="E364" t="s">
        <v>514</v>
      </c>
      <c r="F364" t="s">
        <v>610</v>
      </c>
      <c r="G364" t="s">
        <v>1564</v>
      </c>
      <c r="H364" t="s">
        <v>2490</v>
      </c>
      <c r="I364" t="s">
        <v>1891</v>
      </c>
    </row>
    <row r="365" spans="1:9">
      <c r="A365">
        <v>231187</v>
      </c>
      <c r="B365" t="s">
        <v>1157</v>
      </c>
      <c r="C365" t="s">
        <v>1158</v>
      </c>
      <c r="D365" t="s">
        <v>1465</v>
      </c>
      <c r="E365" t="s">
        <v>2491</v>
      </c>
      <c r="F365" t="s">
        <v>610</v>
      </c>
      <c r="G365" t="s">
        <v>1574</v>
      </c>
      <c r="H365" t="s">
        <v>2490</v>
      </c>
      <c r="I365" t="s">
        <v>65</v>
      </c>
    </row>
    <row r="366" spans="1:9">
      <c r="A366">
        <v>100615</v>
      </c>
      <c r="B366" t="s">
        <v>1159</v>
      </c>
      <c r="C366" t="s">
        <v>1160</v>
      </c>
      <c r="D366" t="s">
        <v>1465</v>
      </c>
      <c r="E366" t="s">
        <v>951</v>
      </c>
      <c r="F366" t="s">
        <v>1402</v>
      </c>
      <c r="G366" t="s">
        <v>1588</v>
      </c>
      <c r="H366" t="s">
        <v>2490</v>
      </c>
      <c r="I366" t="s">
        <v>61</v>
      </c>
    </row>
    <row r="367" spans="1:9">
      <c r="A367">
        <v>168530</v>
      </c>
      <c r="B367" t="s">
        <v>1161</v>
      </c>
      <c r="C367" t="s">
        <v>1162</v>
      </c>
      <c r="D367" t="s">
        <v>1465</v>
      </c>
      <c r="E367" t="s">
        <v>827</v>
      </c>
      <c r="F367" t="s">
        <v>1399</v>
      </c>
      <c r="G367" t="s">
        <v>1591</v>
      </c>
      <c r="H367" t="s">
        <v>2490</v>
      </c>
      <c r="I367" t="s">
        <v>62</v>
      </c>
    </row>
    <row r="368" spans="1:9">
      <c r="A368">
        <v>182008</v>
      </c>
      <c r="B368" t="s">
        <v>1163</v>
      </c>
      <c r="C368" t="s">
        <v>1164</v>
      </c>
      <c r="D368" t="s">
        <v>1465</v>
      </c>
      <c r="E368" t="s">
        <v>1367</v>
      </c>
      <c r="F368" t="s">
        <v>610</v>
      </c>
      <c r="G368" t="s">
        <v>1587</v>
      </c>
      <c r="H368" t="s">
        <v>2490</v>
      </c>
      <c r="I368" t="s">
        <v>65</v>
      </c>
    </row>
    <row r="369" spans="1:9">
      <c r="A369">
        <v>230872</v>
      </c>
      <c r="B369" t="s">
        <v>1165</v>
      </c>
      <c r="C369" t="s">
        <v>1166</v>
      </c>
      <c r="D369" t="s">
        <v>1465</v>
      </c>
      <c r="E369" t="s">
        <v>478</v>
      </c>
      <c r="F369" t="s">
        <v>1398</v>
      </c>
      <c r="G369" t="s">
        <v>1569</v>
      </c>
      <c r="H369" t="s">
        <v>2490</v>
      </c>
      <c r="I369" t="s">
        <v>67</v>
      </c>
    </row>
    <row r="370" spans="1:9">
      <c r="A370">
        <v>290737</v>
      </c>
      <c r="B370" t="s">
        <v>1167</v>
      </c>
      <c r="C370" t="s">
        <v>1168</v>
      </c>
      <c r="D370" t="s">
        <v>1465</v>
      </c>
      <c r="E370" t="s">
        <v>1207</v>
      </c>
      <c r="F370" t="s">
        <v>1405</v>
      </c>
      <c r="G370" t="s">
        <v>1574</v>
      </c>
      <c r="H370" t="s">
        <v>2490</v>
      </c>
      <c r="I370" t="s">
        <v>65</v>
      </c>
    </row>
    <row r="371" spans="1:9">
      <c r="A371">
        <v>310849</v>
      </c>
      <c r="B371" t="s">
        <v>1169</v>
      </c>
      <c r="C371" t="s">
        <v>1170</v>
      </c>
      <c r="D371" t="s">
        <v>1465</v>
      </c>
      <c r="E371" t="s">
        <v>604</v>
      </c>
      <c r="F371" t="s">
        <v>1399</v>
      </c>
      <c r="G371" t="s">
        <v>1570</v>
      </c>
      <c r="H371" t="s">
        <v>2490</v>
      </c>
      <c r="I371" t="s">
        <v>62</v>
      </c>
    </row>
    <row r="372" spans="1:9">
      <c r="A372">
        <v>250171</v>
      </c>
      <c r="B372" t="s">
        <v>1171</v>
      </c>
      <c r="C372" t="s">
        <v>1172</v>
      </c>
      <c r="D372" t="s">
        <v>1465</v>
      </c>
      <c r="E372" t="s">
        <v>1361</v>
      </c>
      <c r="F372" t="s">
        <v>1405</v>
      </c>
      <c r="G372" t="s">
        <v>1574</v>
      </c>
      <c r="H372" t="s">
        <v>2490</v>
      </c>
      <c r="I372" t="s">
        <v>65</v>
      </c>
    </row>
    <row r="373" spans="1:9">
      <c r="A373">
        <v>65251</v>
      </c>
      <c r="B373" t="s">
        <v>1173</v>
      </c>
      <c r="C373" t="s">
        <v>1174</v>
      </c>
      <c r="D373" t="s">
        <v>1465</v>
      </c>
      <c r="E373" t="s">
        <v>951</v>
      </c>
      <c r="F373" t="s">
        <v>1402</v>
      </c>
      <c r="G373" t="s">
        <v>1566</v>
      </c>
      <c r="H373" t="s">
        <v>2490</v>
      </c>
      <c r="I373" t="s">
        <v>61</v>
      </c>
    </row>
    <row r="374" spans="1:9">
      <c r="A374">
        <v>289802</v>
      </c>
      <c r="B374" t="s">
        <v>1879</v>
      </c>
      <c r="C374" t="s">
        <v>1878</v>
      </c>
      <c r="D374" t="s">
        <v>1465</v>
      </c>
      <c r="E374" t="s">
        <v>1092</v>
      </c>
      <c r="F374" t="s">
        <v>1398</v>
      </c>
      <c r="G374" t="s">
        <v>1569</v>
      </c>
      <c r="H374" t="s">
        <v>2490</v>
      </c>
      <c r="I374" t="s">
        <v>67</v>
      </c>
    </row>
    <row r="375" spans="1:9">
      <c r="A375">
        <v>104264</v>
      </c>
      <c r="B375" t="s">
        <v>1175</v>
      </c>
      <c r="C375" t="s">
        <v>1176</v>
      </c>
      <c r="D375" t="s">
        <v>1465</v>
      </c>
      <c r="E375" t="s">
        <v>951</v>
      </c>
      <c r="F375" t="s">
        <v>1402</v>
      </c>
      <c r="G375" t="s">
        <v>1566</v>
      </c>
      <c r="H375" t="s">
        <v>2490</v>
      </c>
      <c r="I375" t="s">
        <v>61</v>
      </c>
    </row>
    <row r="376" spans="1:9">
      <c r="A376">
        <v>278690</v>
      </c>
      <c r="B376" t="s">
        <v>1177</v>
      </c>
      <c r="C376" t="s">
        <v>1178</v>
      </c>
      <c r="D376" t="s">
        <v>1465</v>
      </c>
      <c r="E376" t="s">
        <v>1082</v>
      </c>
      <c r="F376" t="s">
        <v>1402</v>
      </c>
      <c r="G376" t="s">
        <v>1565</v>
      </c>
      <c r="H376" t="s">
        <v>2490</v>
      </c>
      <c r="I376" t="s">
        <v>58</v>
      </c>
    </row>
    <row r="377" spans="1:9">
      <c r="A377">
        <v>298993</v>
      </c>
      <c r="B377" t="s">
        <v>1179</v>
      </c>
      <c r="C377" t="s">
        <v>1180</v>
      </c>
      <c r="D377" t="s">
        <v>1465</v>
      </c>
      <c r="E377" t="s">
        <v>1207</v>
      </c>
      <c r="F377" t="s">
        <v>1405</v>
      </c>
      <c r="G377" t="s">
        <v>1574</v>
      </c>
      <c r="H377" t="s">
        <v>2490</v>
      </c>
      <c r="I377" t="s">
        <v>65</v>
      </c>
    </row>
    <row r="378" spans="1:9">
      <c r="A378">
        <v>233010</v>
      </c>
      <c r="B378" t="s">
        <v>1181</v>
      </c>
      <c r="C378" t="s">
        <v>1182</v>
      </c>
      <c r="D378" t="s">
        <v>1465</v>
      </c>
      <c r="E378" t="s">
        <v>514</v>
      </c>
      <c r="F378" t="s">
        <v>610</v>
      </c>
      <c r="G378" t="s">
        <v>1574</v>
      </c>
      <c r="H378" t="s">
        <v>2490</v>
      </c>
      <c r="I378" t="s">
        <v>65</v>
      </c>
    </row>
    <row r="379" spans="1:9">
      <c r="A379">
        <v>234395</v>
      </c>
      <c r="B379" t="s">
        <v>1183</v>
      </c>
      <c r="C379" t="s">
        <v>1184</v>
      </c>
      <c r="D379" t="s">
        <v>1465</v>
      </c>
      <c r="E379" t="s">
        <v>1367</v>
      </c>
      <c r="F379" t="s">
        <v>610</v>
      </c>
      <c r="G379" t="s">
        <v>1574</v>
      </c>
      <c r="H379" t="s">
        <v>2490</v>
      </c>
      <c r="I379" t="s">
        <v>65</v>
      </c>
    </row>
    <row r="380" spans="1:9">
      <c r="A380">
        <v>220965</v>
      </c>
      <c r="B380" t="s">
        <v>1185</v>
      </c>
      <c r="C380" t="s">
        <v>1186</v>
      </c>
      <c r="D380" t="s">
        <v>1465</v>
      </c>
      <c r="E380" t="s">
        <v>2491</v>
      </c>
      <c r="F380" t="s">
        <v>610</v>
      </c>
      <c r="G380" t="s">
        <v>1574</v>
      </c>
      <c r="H380" t="s">
        <v>2490</v>
      </c>
      <c r="I380" t="s">
        <v>65</v>
      </c>
    </row>
    <row r="381" spans="1:9">
      <c r="A381">
        <v>86780</v>
      </c>
      <c r="B381" t="s">
        <v>1187</v>
      </c>
      <c r="C381" t="s">
        <v>1188</v>
      </c>
      <c r="D381" t="s">
        <v>1465</v>
      </c>
      <c r="E381" t="s">
        <v>951</v>
      </c>
      <c r="F381" t="s">
        <v>1402</v>
      </c>
      <c r="G381" t="s">
        <v>1599</v>
      </c>
      <c r="H381" t="s">
        <v>2490</v>
      </c>
      <c r="I381" t="s">
        <v>61</v>
      </c>
    </row>
    <row r="382" spans="1:9">
      <c r="A382">
        <v>272791</v>
      </c>
      <c r="B382" t="s">
        <v>1189</v>
      </c>
      <c r="C382" t="s">
        <v>1190</v>
      </c>
      <c r="D382" t="s">
        <v>1465</v>
      </c>
      <c r="E382" t="s">
        <v>801</v>
      </c>
      <c r="F382" t="s">
        <v>1405</v>
      </c>
      <c r="G382" t="s">
        <v>1574</v>
      </c>
      <c r="H382" t="s">
        <v>2490</v>
      </c>
      <c r="I382" t="s">
        <v>65</v>
      </c>
    </row>
    <row r="383" spans="1:9">
      <c r="A383">
        <v>310818</v>
      </c>
      <c r="B383" t="s">
        <v>1191</v>
      </c>
      <c r="C383" t="s">
        <v>1192</v>
      </c>
      <c r="D383" t="s">
        <v>1465</v>
      </c>
      <c r="E383" t="s">
        <v>1092</v>
      </c>
      <c r="F383" t="s">
        <v>1398</v>
      </c>
      <c r="G383" t="s">
        <v>1569</v>
      </c>
      <c r="H383" t="s">
        <v>2490</v>
      </c>
      <c r="I383" t="s">
        <v>67</v>
      </c>
    </row>
    <row r="384" spans="1:9">
      <c r="A384">
        <v>106249</v>
      </c>
      <c r="B384" t="s">
        <v>1193</v>
      </c>
      <c r="C384" t="s">
        <v>1194</v>
      </c>
      <c r="D384" t="s">
        <v>1465</v>
      </c>
      <c r="E384" t="s">
        <v>943</v>
      </c>
      <c r="F384" t="s">
        <v>1402</v>
      </c>
      <c r="G384" t="s">
        <v>1575</v>
      </c>
      <c r="H384" t="s">
        <v>2490</v>
      </c>
      <c r="I384" t="s">
        <v>68</v>
      </c>
    </row>
    <row r="385" spans="1:9">
      <c r="A385">
        <v>275769</v>
      </c>
      <c r="B385" t="s">
        <v>1195</v>
      </c>
      <c r="C385" t="s">
        <v>1194</v>
      </c>
      <c r="D385" t="s">
        <v>1465</v>
      </c>
      <c r="E385" t="s">
        <v>1289</v>
      </c>
      <c r="F385" t="s">
        <v>1398</v>
      </c>
      <c r="G385" t="s">
        <v>1569</v>
      </c>
      <c r="H385" t="s">
        <v>2490</v>
      </c>
      <c r="I385" t="s">
        <v>67</v>
      </c>
    </row>
    <row r="386" spans="1:9">
      <c r="A386">
        <v>90121</v>
      </c>
      <c r="B386" t="s">
        <v>1196</v>
      </c>
      <c r="C386" t="s">
        <v>1197</v>
      </c>
      <c r="D386" t="s">
        <v>1465</v>
      </c>
      <c r="E386" t="s">
        <v>827</v>
      </c>
      <c r="F386" t="s">
        <v>1399</v>
      </c>
      <c r="G386" t="s">
        <v>1582</v>
      </c>
      <c r="H386" t="s">
        <v>2490</v>
      </c>
      <c r="I386" t="s">
        <v>64</v>
      </c>
    </row>
    <row r="387" spans="1:9">
      <c r="A387">
        <v>194579</v>
      </c>
      <c r="B387" t="s">
        <v>1198</v>
      </c>
      <c r="C387" t="s">
        <v>1199</v>
      </c>
      <c r="D387" t="s">
        <v>1465</v>
      </c>
      <c r="E387" t="s">
        <v>1229</v>
      </c>
      <c r="F387" t="s">
        <v>1398</v>
      </c>
      <c r="G387" t="s">
        <v>1564</v>
      </c>
      <c r="H387" t="s">
        <v>2490</v>
      </c>
      <c r="I387" t="s">
        <v>1891</v>
      </c>
    </row>
    <row r="388" spans="1:9">
      <c r="A388">
        <v>273666</v>
      </c>
      <c r="B388" t="s">
        <v>1200</v>
      </c>
      <c r="C388" t="s">
        <v>1201</v>
      </c>
      <c r="D388" t="s">
        <v>1465</v>
      </c>
      <c r="E388" t="s">
        <v>514</v>
      </c>
      <c r="F388" t="s">
        <v>610</v>
      </c>
      <c r="G388" t="s">
        <v>1597</v>
      </c>
      <c r="H388" t="s">
        <v>2490</v>
      </c>
      <c r="I388" t="s">
        <v>65</v>
      </c>
    </row>
    <row r="389" spans="1:9">
      <c r="A389">
        <v>300566</v>
      </c>
      <c r="B389" t="s">
        <v>1202</v>
      </c>
      <c r="C389" t="s">
        <v>1203</v>
      </c>
      <c r="D389" t="s">
        <v>1465</v>
      </c>
      <c r="E389" t="s">
        <v>1361</v>
      </c>
      <c r="F389" t="s">
        <v>1405</v>
      </c>
      <c r="G389" t="s">
        <v>1574</v>
      </c>
      <c r="H389" t="s">
        <v>2490</v>
      </c>
      <c r="I389" t="s">
        <v>65</v>
      </c>
    </row>
    <row r="390" spans="1:9">
      <c r="A390">
        <v>144924</v>
      </c>
      <c r="B390" t="s">
        <v>1204</v>
      </c>
      <c r="C390" t="s">
        <v>1205</v>
      </c>
      <c r="D390" t="s">
        <v>1465</v>
      </c>
      <c r="E390" t="s">
        <v>943</v>
      </c>
      <c r="F390" t="s">
        <v>1402</v>
      </c>
      <c r="G390" t="s">
        <v>1575</v>
      </c>
      <c r="H390" t="s">
        <v>2490</v>
      </c>
      <c r="I390" t="s">
        <v>68</v>
      </c>
    </row>
    <row r="391" spans="1:9">
      <c r="A391">
        <v>111769</v>
      </c>
      <c r="B391" t="s">
        <v>1206</v>
      </c>
      <c r="C391" t="s">
        <v>1207</v>
      </c>
      <c r="D391" t="s">
        <v>1467</v>
      </c>
      <c r="E391" t="s">
        <v>1405</v>
      </c>
      <c r="F391" t="s">
        <v>1404</v>
      </c>
      <c r="G391" t="s">
        <v>1451</v>
      </c>
      <c r="H391" t="s">
        <v>2490</v>
      </c>
      <c r="I391" t="s">
        <v>1891</v>
      </c>
    </row>
    <row r="392" spans="1:9">
      <c r="A392">
        <v>248372</v>
      </c>
      <c r="B392" t="s">
        <v>1208</v>
      </c>
      <c r="C392" t="s">
        <v>1209</v>
      </c>
      <c r="D392" t="s">
        <v>1465</v>
      </c>
      <c r="E392" t="s">
        <v>1289</v>
      </c>
      <c r="F392" t="s">
        <v>1398</v>
      </c>
      <c r="G392" t="s">
        <v>1569</v>
      </c>
      <c r="H392" t="s">
        <v>2490</v>
      </c>
      <c r="I392" t="s">
        <v>67</v>
      </c>
    </row>
    <row r="393" spans="1:9">
      <c r="A393">
        <v>198037</v>
      </c>
      <c r="B393" t="s">
        <v>1210</v>
      </c>
      <c r="C393" t="s">
        <v>1211</v>
      </c>
      <c r="D393" t="s">
        <v>1465</v>
      </c>
      <c r="E393" t="s">
        <v>700</v>
      </c>
      <c r="F393" t="s">
        <v>1394</v>
      </c>
      <c r="G393" t="s">
        <v>1573</v>
      </c>
      <c r="H393" t="s">
        <v>2490</v>
      </c>
      <c r="I393" t="s">
        <v>59</v>
      </c>
    </row>
    <row r="394" spans="1:9">
      <c r="A394">
        <v>195312</v>
      </c>
      <c r="B394" t="s">
        <v>1212</v>
      </c>
      <c r="C394" t="s">
        <v>1213</v>
      </c>
      <c r="D394" t="s">
        <v>1465</v>
      </c>
      <c r="E394" t="s">
        <v>2491</v>
      </c>
      <c r="F394" t="s">
        <v>610</v>
      </c>
      <c r="G394" t="s">
        <v>1574</v>
      </c>
      <c r="H394" t="s">
        <v>2490</v>
      </c>
      <c r="I394" t="s">
        <v>65</v>
      </c>
    </row>
    <row r="395" spans="1:9">
      <c r="A395">
        <v>86460</v>
      </c>
      <c r="B395" t="s">
        <v>1214</v>
      </c>
      <c r="C395" t="s">
        <v>1215</v>
      </c>
      <c r="D395" t="s">
        <v>1465</v>
      </c>
      <c r="E395" t="s">
        <v>1082</v>
      </c>
      <c r="F395" t="s">
        <v>1402</v>
      </c>
      <c r="G395" t="s">
        <v>1565</v>
      </c>
      <c r="H395" t="s">
        <v>2490</v>
      </c>
      <c r="I395" t="s">
        <v>58</v>
      </c>
    </row>
    <row r="396" spans="1:9">
      <c r="A396">
        <v>221848</v>
      </c>
      <c r="B396" t="s">
        <v>1216</v>
      </c>
      <c r="C396" t="s">
        <v>1217</v>
      </c>
      <c r="D396" t="s">
        <v>1465</v>
      </c>
      <c r="E396" t="s">
        <v>1092</v>
      </c>
      <c r="F396" t="s">
        <v>1398</v>
      </c>
      <c r="G396" t="s">
        <v>1569</v>
      </c>
      <c r="H396" t="s">
        <v>2490</v>
      </c>
      <c r="I396" t="s">
        <v>67</v>
      </c>
    </row>
    <row r="397" spans="1:9">
      <c r="A397">
        <v>105100</v>
      </c>
      <c r="B397" t="s">
        <v>1218</v>
      </c>
      <c r="C397" t="s">
        <v>1219</v>
      </c>
      <c r="D397" t="s">
        <v>1465</v>
      </c>
      <c r="E397" t="s">
        <v>1124</v>
      </c>
      <c r="F397" t="s">
        <v>1402</v>
      </c>
      <c r="G397" t="s">
        <v>1580</v>
      </c>
      <c r="H397" t="s">
        <v>2490</v>
      </c>
      <c r="I397" t="s">
        <v>61</v>
      </c>
    </row>
    <row r="398" spans="1:9">
      <c r="A398">
        <v>300112</v>
      </c>
      <c r="B398" t="s">
        <v>1220</v>
      </c>
      <c r="C398" t="s">
        <v>1221</v>
      </c>
      <c r="D398" t="s">
        <v>1465</v>
      </c>
      <c r="E398" t="s">
        <v>1082</v>
      </c>
      <c r="F398" t="s">
        <v>1402</v>
      </c>
      <c r="G398" t="s">
        <v>1565</v>
      </c>
      <c r="H398" t="s">
        <v>2490</v>
      </c>
      <c r="I398" t="s">
        <v>58</v>
      </c>
    </row>
    <row r="399" spans="1:9">
      <c r="A399">
        <v>82162</v>
      </c>
      <c r="B399" t="s">
        <v>1222</v>
      </c>
      <c r="C399" t="s">
        <v>1223</v>
      </c>
      <c r="D399" t="s">
        <v>1467</v>
      </c>
      <c r="E399" t="s">
        <v>1399</v>
      </c>
      <c r="F399" t="s">
        <v>1404</v>
      </c>
      <c r="G399" t="s">
        <v>1451</v>
      </c>
      <c r="H399" t="s">
        <v>2490</v>
      </c>
      <c r="I399" t="s">
        <v>1891</v>
      </c>
    </row>
    <row r="400" spans="1:9">
      <c r="A400">
        <v>80707</v>
      </c>
      <c r="B400" t="s">
        <v>1483</v>
      </c>
      <c r="C400" t="s">
        <v>1474</v>
      </c>
      <c r="D400" t="s">
        <v>1465</v>
      </c>
      <c r="E400" t="s">
        <v>951</v>
      </c>
      <c r="F400" t="s">
        <v>1402</v>
      </c>
      <c r="G400" t="s">
        <v>1593</v>
      </c>
      <c r="H400" t="s">
        <v>2490</v>
      </c>
      <c r="I400" t="s">
        <v>61</v>
      </c>
    </row>
    <row r="401" spans="1:9">
      <c r="A401">
        <v>231079</v>
      </c>
      <c r="B401" t="s">
        <v>1224</v>
      </c>
      <c r="C401" t="s">
        <v>1225</v>
      </c>
      <c r="D401" t="s">
        <v>1465</v>
      </c>
      <c r="E401" t="s">
        <v>951</v>
      </c>
      <c r="F401" t="s">
        <v>1402</v>
      </c>
      <c r="G401" t="s">
        <v>1566</v>
      </c>
      <c r="H401" t="s">
        <v>2490</v>
      </c>
      <c r="I401" t="s">
        <v>61</v>
      </c>
    </row>
    <row r="402" spans="1:9">
      <c r="A402">
        <v>194990</v>
      </c>
      <c r="B402" t="s">
        <v>1226</v>
      </c>
      <c r="C402" t="s">
        <v>1227</v>
      </c>
      <c r="D402" t="s">
        <v>1465</v>
      </c>
      <c r="E402" t="s">
        <v>1082</v>
      </c>
      <c r="F402" t="s">
        <v>1402</v>
      </c>
      <c r="G402" t="s">
        <v>1565</v>
      </c>
      <c r="H402" t="s">
        <v>2490</v>
      </c>
      <c r="I402" t="s">
        <v>58</v>
      </c>
    </row>
    <row r="403" spans="1:9">
      <c r="A403">
        <v>138930</v>
      </c>
      <c r="B403" t="s">
        <v>1228</v>
      </c>
      <c r="C403" t="s">
        <v>1229</v>
      </c>
      <c r="D403" t="s">
        <v>1467</v>
      </c>
      <c r="E403" t="s">
        <v>1398</v>
      </c>
      <c r="F403" t="s">
        <v>1404</v>
      </c>
      <c r="G403" t="s">
        <v>1451</v>
      </c>
      <c r="H403" t="s">
        <v>2490</v>
      </c>
      <c r="I403" t="s">
        <v>1891</v>
      </c>
    </row>
    <row r="404" spans="1:9">
      <c r="A404">
        <v>195300</v>
      </c>
      <c r="B404" t="s">
        <v>1230</v>
      </c>
      <c r="C404" t="s">
        <v>1231</v>
      </c>
      <c r="D404" t="s">
        <v>1465</v>
      </c>
      <c r="E404" t="s">
        <v>2491</v>
      </c>
      <c r="F404" t="s">
        <v>610</v>
      </c>
      <c r="G404" t="s">
        <v>1574</v>
      </c>
      <c r="H404" t="s">
        <v>2490</v>
      </c>
      <c r="I404" t="s">
        <v>65</v>
      </c>
    </row>
    <row r="405" spans="1:9">
      <c r="A405">
        <v>275004</v>
      </c>
      <c r="B405" t="s">
        <v>1232</v>
      </c>
      <c r="C405" t="s">
        <v>1233</v>
      </c>
      <c r="D405" t="s">
        <v>1465</v>
      </c>
      <c r="E405" t="s">
        <v>700</v>
      </c>
      <c r="F405" t="s">
        <v>1394</v>
      </c>
      <c r="G405" t="s">
        <v>1573</v>
      </c>
      <c r="H405" t="s">
        <v>2490</v>
      </c>
      <c r="I405" t="s">
        <v>59</v>
      </c>
    </row>
    <row r="406" spans="1:9">
      <c r="A406">
        <v>274218</v>
      </c>
      <c r="B406" t="s">
        <v>1234</v>
      </c>
      <c r="C406" t="s">
        <v>1235</v>
      </c>
      <c r="D406" t="s">
        <v>1465</v>
      </c>
      <c r="E406" t="s">
        <v>700</v>
      </c>
      <c r="F406" t="s">
        <v>1394</v>
      </c>
      <c r="G406" t="s">
        <v>1573</v>
      </c>
      <c r="H406" t="s">
        <v>2490</v>
      </c>
      <c r="I406" t="s">
        <v>59</v>
      </c>
    </row>
    <row r="407" spans="1:9">
      <c r="A407">
        <v>222339</v>
      </c>
      <c r="B407" t="s">
        <v>1236</v>
      </c>
      <c r="C407" t="s">
        <v>1237</v>
      </c>
      <c r="D407" t="s">
        <v>1464</v>
      </c>
      <c r="E407" t="s">
        <v>1369</v>
      </c>
      <c r="F407" t="s">
        <v>1398</v>
      </c>
      <c r="G407" t="s">
        <v>1564</v>
      </c>
      <c r="H407" t="s">
        <v>2490</v>
      </c>
      <c r="I407" t="s">
        <v>1891</v>
      </c>
    </row>
    <row r="408" spans="1:9">
      <c r="A408">
        <v>310915</v>
      </c>
      <c r="B408" t="s">
        <v>1238</v>
      </c>
      <c r="C408" t="s">
        <v>1239</v>
      </c>
      <c r="D408" t="s">
        <v>1465</v>
      </c>
      <c r="E408" t="s">
        <v>1367</v>
      </c>
      <c r="F408" t="s">
        <v>610</v>
      </c>
      <c r="G408" t="s">
        <v>1574</v>
      </c>
      <c r="H408" t="s">
        <v>2490</v>
      </c>
      <c r="I408" t="s">
        <v>65</v>
      </c>
    </row>
    <row r="409" spans="1:9">
      <c r="A409">
        <v>195002</v>
      </c>
      <c r="B409" t="s">
        <v>1240</v>
      </c>
      <c r="C409" t="s">
        <v>1241</v>
      </c>
      <c r="D409" t="s">
        <v>1465</v>
      </c>
      <c r="E409" t="s">
        <v>1223</v>
      </c>
      <c r="F409" t="s">
        <v>1399</v>
      </c>
      <c r="G409" t="s">
        <v>1576</v>
      </c>
      <c r="H409" t="s">
        <v>2490</v>
      </c>
      <c r="I409" t="s">
        <v>66</v>
      </c>
    </row>
    <row r="410" spans="1:9">
      <c r="A410">
        <v>189075</v>
      </c>
      <c r="B410" t="s">
        <v>1242</v>
      </c>
      <c r="C410" t="s">
        <v>1243</v>
      </c>
      <c r="D410" t="s">
        <v>1465</v>
      </c>
      <c r="E410" t="s">
        <v>1124</v>
      </c>
      <c r="F410" t="s">
        <v>1402</v>
      </c>
      <c r="G410" t="s">
        <v>1566</v>
      </c>
      <c r="H410" t="s">
        <v>2490</v>
      </c>
      <c r="I410" t="s">
        <v>61</v>
      </c>
    </row>
    <row r="411" spans="1:9">
      <c r="A411">
        <v>118493</v>
      </c>
      <c r="B411" t="s">
        <v>1244</v>
      </c>
      <c r="C411" t="s">
        <v>1245</v>
      </c>
      <c r="D411" t="s">
        <v>1465</v>
      </c>
      <c r="E411" t="s">
        <v>943</v>
      </c>
      <c r="F411" t="s">
        <v>1402</v>
      </c>
      <c r="G411" t="s">
        <v>1575</v>
      </c>
      <c r="H411" t="s">
        <v>2490</v>
      </c>
      <c r="I411" t="s">
        <v>68</v>
      </c>
    </row>
    <row r="412" spans="1:9">
      <c r="A412">
        <v>107060</v>
      </c>
      <c r="B412" t="s">
        <v>1246</v>
      </c>
      <c r="C412" t="s">
        <v>1247</v>
      </c>
      <c r="D412" t="s">
        <v>1465</v>
      </c>
      <c r="E412" t="s">
        <v>951</v>
      </c>
      <c r="F412" t="s">
        <v>1402</v>
      </c>
      <c r="G412" t="s">
        <v>1566</v>
      </c>
      <c r="H412" t="s">
        <v>2490</v>
      </c>
      <c r="I412" t="s">
        <v>61</v>
      </c>
    </row>
    <row r="413" spans="1:9">
      <c r="A413">
        <v>81939</v>
      </c>
      <c r="B413" t="s">
        <v>1248</v>
      </c>
      <c r="C413" t="s">
        <v>1249</v>
      </c>
      <c r="D413" t="s">
        <v>1465</v>
      </c>
      <c r="E413" t="s">
        <v>951</v>
      </c>
      <c r="F413" t="s">
        <v>1402</v>
      </c>
      <c r="G413" t="s">
        <v>1580</v>
      </c>
      <c r="H413" t="s">
        <v>2490</v>
      </c>
      <c r="I413" t="s">
        <v>61</v>
      </c>
    </row>
    <row r="414" spans="1:9">
      <c r="A414">
        <v>100677</v>
      </c>
      <c r="B414" t="s">
        <v>1250</v>
      </c>
      <c r="C414" t="s">
        <v>1251</v>
      </c>
      <c r="D414" t="s">
        <v>1465</v>
      </c>
      <c r="E414" t="s">
        <v>801</v>
      </c>
      <c r="F414" t="s">
        <v>1405</v>
      </c>
      <c r="G414" t="s">
        <v>1600</v>
      </c>
      <c r="H414" t="s">
        <v>2490</v>
      </c>
      <c r="I414" t="s">
        <v>65</v>
      </c>
    </row>
    <row r="415" spans="1:9">
      <c r="A415">
        <v>292759</v>
      </c>
      <c r="B415" t="s">
        <v>1252</v>
      </c>
      <c r="C415" t="s">
        <v>1253</v>
      </c>
      <c r="D415" t="s">
        <v>1465</v>
      </c>
      <c r="E415" t="s">
        <v>951</v>
      </c>
      <c r="F415" t="s">
        <v>1402</v>
      </c>
      <c r="G415" t="s">
        <v>1566</v>
      </c>
      <c r="H415" t="s">
        <v>2490</v>
      </c>
      <c r="I415" t="s">
        <v>61</v>
      </c>
    </row>
    <row r="416" spans="1:9">
      <c r="A416">
        <v>310943</v>
      </c>
      <c r="B416" t="s">
        <v>1254</v>
      </c>
      <c r="C416" t="s">
        <v>1255</v>
      </c>
      <c r="D416" t="s">
        <v>1465</v>
      </c>
      <c r="E416" t="s">
        <v>801</v>
      </c>
      <c r="F416" t="s">
        <v>1405</v>
      </c>
      <c r="G416" t="s">
        <v>1574</v>
      </c>
      <c r="H416" t="s">
        <v>2490</v>
      </c>
      <c r="I416" t="s">
        <v>65</v>
      </c>
    </row>
    <row r="417" spans="1:9">
      <c r="A417">
        <v>239902</v>
      </c>
      <c r="B417" t="s">
        <v>1256</v>
      </c>
      <c r="C417" t="s">
        <v>1257</v>
      </c>
      <c r="D417" t="s">
        <v>1465</v>
      </c>
      <c r="E417" t="s">
        <v>604</v>
      </c>
      <c r="F417" t="s">
        <v>1399</v>
      </c>
      <c r="G417" t="s">
        <v>1570</v>
      </c>
      <c r="H417" t="s">
        <v>2490</v>
      </c>
      <c r="I417" t="s">
        <v>62</v>
      </c>
    </row>
    <row r="418" spans="1:9">
      <c r="A418">
        <v>185126</v>
      </c>
      <c r="B418" t="s">
        <v>1258</v>
      </c>
      <c r="C418" t="s">
        <v>1259</v>
      </c>
      <c r="D418" t="s">
        <v>1465</v>
      </c>
      <c r="E418" t="s">
        <v>604</v>
      </c>
      <c r="F418" t="s">
        <v>1399</v>
      </c>
      <c r="G418" t="s">
        <v>1564</v>
      </c>
      <c r="H418" t="s">
        <v>2490</v>
      </c>
      <c r="I418" t="s">
        <v>1891</v>
      </c>
    </row>
    <row r="419" spans="1:9">
      <c r="A419">
        <v>293715</v>
      </c>
      <c r="B419" t="s">
        <v>1260</v>
      </c>
      <c r="C419" t="s">
        <v>1261</v>
      </c>
      <c r="D419" t="s">
        <v>1465</v>
      </c>
      <c r="E419" t="s">
        <v>1207</v>
      </c>
      <c r="F419" t="s">
        <v>1405</v>
      </c>
      <c r="G419" t="s">
        <v>1574</v>
      </c>
      <c r="H419" t="s">
        <v>2490</v>
      </c>
      <c r="I419" t="s">
        <v>65</v>
      </c>
    </row>
    <row r="420" spans="1:9">
      <c r="A420">
        <v>62549</v>
      </c>
      <c r="B420" t="s">
        <v>1484</v>
      </c>
      <c r="C420" t="s">
        <v>1475</v>
      </c>
      <c r="D420" t="s">
        <v>1465</v>
      </c>
      <c r="E420" t="s">
        <v>951</v>
      </c>
      <c r="F420" t="s">
        <v>1402</v>
      </c>
      <c r="G420" t="s">
        <v>1593</v>
      </c>
      <c r="H420" t="s">
        <v>2490</v>
      </c>
      <c r="I420" t="s">
        <v>61</v>
      </c>
    </row>
    <row r="421" spans="1:9">
      <c r="A421">
        <v>274080</v>
      </c>
      <c r="B421" t="s">
        <v>1262</v>
      </c>
      <c r="C421" t="s">
        <v>1263</v>
      </c>
      <c r="D421" t="s">
        <v>1465</v>
      </c>
      <c r="E421" t="s">
        <v>588</v>
      </c>
      <c r="F421" t="s">
        <v>1398</v>
      </c>
      <c r="G421" t="s">
        <v>1569</v>
      </c>
      <c r="H421" t="s">
        <v>2490</v>
      </c>
      <c r="I421" t="s">
        <v>67</v>
      </c>
    </row>
    <row r="422" spans="1:9">
      <c r="A422">
        <v>221031</v>
      </c>
      <c r="B422" t="s">
        <v>1264</v>
      </c>
      <c r="C422" t="s">
        <v>1265</v>
      </c>
      <c r="D422" t="s">
        <v>1465</v>
      </c>
      <c r="E422" t="s">
        <v>648</v>
      </c>
      <c r="F422" t="s">
        <v>1402</v>
      </c>
      <c r="G422" t="s">
        <v>1565</v>
      </c>
      <c r="H422" t="s">
        <v>2490</v>
      </c>
      <c r="I422" t="s">
        <v>58</v>
      </c>
    </row>
    <row r="423" spans="1:9">
      <c r="A423">
        <v>276312</v>
      </c>
      <c r="B423" t="s">
        <v>1266</v>
      </c>
      <c r="C423" t="s">
        <v>1267</v>
      </c>
      <c r="D423" t="s">
        <v>1465</v>
      </c>
      <c r="E423" t="s">
        <v>588</v>
      </c>
      <c r="F423" t="s">
        <v>1398</v>
      </c>
      <c r="G423" t="s">
        <v>1569</v>
      </c>
      <c r="H423" t="s">
        <v>2490</v>
      </c>
      <c r="I423" t="s">
        <v>67</v>
      </c>
    </row>
    <row r="424" spans="1:9">
      <c r="A424">
        <v>149738</v>
      </c>
      <c r="B424" t="s">
        <v>1268</v>
      </c>
      <c r="C424" t="s">
        <v>1269</v>
      </c>
      <c r="D424" t="s">
        <v>1465</v>
      </c>
      <c r="E424" t="s">
        <v>1361</v>
      </c>
      <c r="F424" t="s">
        <v>1405</v>
      </c>
      <c r="G424" t="s">
        <v>1597</v>
      </c>
      <c r="H424" t="s">
        <v>2490</v>
      </c>
      <c r="I424" t="s">
        <v>65</v>
      </c>
    </row>
    <row r="425" spans="1:9">
      <c r="A425">
        <v>276423</v>
      </c>
      <c r="B425" t="s">
        <v>1270</v>
      </c>
      <c r="C425" t="s">
        <v>1271</v>
      </c>
      <c r="D425" t="s">
        <v>1465</v>
      </c>
      <c r="E425" t="s">
        <v>1369</v>
      </c>
      <c r="F425" t="s">
        <v>1398</v>
      </c>
      <c r="G425" t="s">
        <v>1569</v>
      </c>
      <c r="H425" t="s">
        <v>2490</v>
      </c>
      <c r="I425" t="s">
        <v>67</v>
      </c>
    </row>
    <row r="426" spans="1:9">
      <c r="A426">
        <v>303637</v>
      </c>
      <c r="B426" t="s">
        <v>1272</v>
      </c>
      <c r="C426" t="s">
        <v>1273</v>
      </c>
      <c r="D426" t="s">
        <v>1465</v>
      </c>
      <c r="E426" t="s">
        <v>971</v>
      </c>
      <c r="F426" t="s">
        <v>1399</v>
      </c>
      <c r="G426" t="s">
        <v>1570</v>
      </c>
      <c r="H426" t="s">
        <v>2490</v>
      </c>
      <c r="I426" t="s">
        <v>62</v>
      </c>
    </row>
    <row r="427" spans="1:9">
      <c r="A427">
        <v>182403</v>
      </c>
      <c r="B427" t="s">
        <v>1274</v>
      </c>
      <c r="C427" t="s">
        <v>1275</v>
      </c>
      <c r="D427" t="s">
        <v>1465</v>
      </c>
      <c r="E427" t="s">
        <v>1124</v>
      </c>
      <c r="F427" t="s">
        <v>1402</v>
      </c>
      <c r="G427" t="s">
        <v>1580</v>
      </c>
      <c r="H427" t="s">
        <v>2490</v>
      </c>
      <c r="I427" t="s">
        <v>61</v>
      </c>
    </row>
    <row r="428" spans="1:9">
      <c r="A428">
        <v>274095</v>
      </c>
      <c r="B428" t="s">
        <v>1276</v>
      </c>
      <c r="C428" t="s">
        <v>1277</v>
      </c>
      <c r="D428" t="s">
        <v>1465</v>
      </c>
      <c r="E428" t="s">
        <v>1092</v>
      </c>
      <c r="F428" t="s">
        <v>1398</v>
      </c>
      <c r="G428" t="s">
        <v>1569</v>
      </c>
      <c r="H428" t="s">
        <v>2490</v>
      </c>
      <c r="I428" t="s">
        <v>67</v>
      </c>
    </row>
    <row r="429" spans="1:9">
      <c r="A429">
        <v>260823</v>
      </c>
      <c r="B429" t="s">
        <v>1278</v>
      </c>
      <c r="C429" t="s">
        <v>1279</v>
      </c>
      <c r="D429" t="s">
        <v>1465</v>
      </c>
      <c r="E429" t="s">
        <v>2491</v>
      </c>
      <c r="F429" t="s">
        <v>610</v>
      </c>
      <c r="G429" t="s">
        <v>1574</v>
      </c>
      <c r="H429" t="s">
        <v>2490</v>
      </c>
      <c r="I429" t="s">
        <v>65</v>
      </c>
    </row>
    <row r="430" spans="1:9">
      <c r="A430">
        <v>278593</v>
      </c>
      <c r="B430" t="s">
        <v>1485</v>
      </c>
      <c r="C430" t="s">
        <v>1476</v>
      </c>
      <c r="D430" t="s">
        <v>1465</v>
      </c>
      <c r="E430" t="s">
        <v>478</v>
      </c>
      <c r="F430" t="s">
        <v>1398</v>
      </c>
      <c r="G430" t="s">
        <v>1569</v>
      </c>
      <c r="H430" t="s">
        <v>2490</v>
      </c>
      <c r="I430" t="s">
        <v>67</v>
      </c>
    </row>
    <row r="431" spans="1:9">
      <c r="A431">
        <v>194827</v>
      </c>
      <c r="B431" t="s">
        <v>1280</v>
      </c>
      <c r="C431" t="s">
        <v>1281</v>
      </c>
      <c r="D431" t="s">
        <v>1465</v>
      </c>
      <c r="E431" t="s">
        <v>951</v>
      </c>
      <c r="F431" t="s">
        <v>1402</v>
      </c>
      <c r="G431" t="s">
        <v>1588</v>
      </c>
      <c r="H431" t="s">
        <v>2490</v>
      </c>
      <c r="I431" t="s">
        <v>61</v>
      </c>
    </row>
    <row r="432" spans="1:9">
      <c r="A432">
        <v>183055</v>
      </c>
      <c r="B432" t="s">
        <v>1282</v>
      </c>
      <c r="C432" t="s">
        <v>1283</v>
      </c>
      <c r="D432" t="s">
        <v>1465</v>
      </c>
      <c r="E432" t="s">
        <v>971</v>
      </c>
      <c r="F432" t="s">
        <v>1399</v>
      </c>
      <c r="G432" t="s">
        <v>1570</v>
      </c>
      <c r="H432" t="s">
        <v>2490</v>
      </c>
      <c r="I432" t="s">
        <v>1891</v>
      </c>
    </row>
    <row r="433" spans="1:9">
      <c r="A433">
        <v>260042</v>
      </c>
      <c r="B433" t="s">
        <v>1284</v>
      </c>
      <c r="C433" t="s">
        <v>1285</v>
      </c>
      <c r="D433" t="s">
        <v>1465</v>
      </c>
      <c r="E433" t="s">
        <v>588</v>
      </c>
      <c r="F433" t="s">
        <v>1398</v>
      </c>
      <c r="G433" t="s">
        <v>1569</v>
      </c>
      <c r="H433" t="s">
        <v>2490</v>
      </c>
      <c r="I433" t="s">
        <v>67</v>
      </c>
    </row>
    <row r="434" spans="1:9">
      <c r="A434">
        <v>105319</v>
      </c>
      <c r="B434" t="s">
        <v>1286</v>
      </c>
      <c r="C434" t="s">
        <v>1287</v>
      </c>
      <c r="D434" t="s">
        <v>1465</v>
      </c>
      <c r="E434" t="s">
        <v>700</v>
      </c>
      <c r="F434" t="s">
        <v>1394</v>
      </c>
      <c r="G434" t="s">
        <v>1573</v>
      </c>
      <c r="H434" t="s">
        <v>2490</v>
      </c>
      <c r="I434" t="s">
        <v>59</v>
      </c>
    </row>
    <row r="435" spans="1:9">
      <c r="A435">
        <v>86249</v>
      </c>
      <c r="B435" t="s">
        <v>1288</v>
      </c>
      <c r="C435" t="s">
        <v>1289</v>
      </c>
      <c r="D435" t="s">
        <v>1467</v>
      </c>
      <c r="E435" t="s">
        <v>1398</v>
      </c>
      <c r="F435" t="s">
        <v>1404</v>
      </c>
      <c r="G435" t="s">
        <v>1451</v>
      </c>
      <c r="H435" t="s">
        <v>2490</v>
      </c>
      <c r="I435" t="s">
        <v>1891</v>
      </c>
    </row>
    <row r="436" spans="1:9">
      <c r="A436">
        <v>276043</v>
      </c>
      <c r="B436" t="s">
        <v>1290</v>
      </c>
      <c r="C436" t="s">
        <v>1291</v>
      </c>
      <c r="D436" t="s">
        <v>1465</v>
      </c>
      <c r="E436" t="s">
        <v>1229</v>
      </c>
      <c r="F436" t="s">
        <v>1398</v>
      </c>
      <c r="G436" t="s">
        <v>1569</v>
      </c>
      <c r="H436" t="s">
        <v>2490</v>
      </c>
      <c r="I436" t="s">
        <v>67</v>
      </c>
    </row>
    <row r="437" spans="1:9">
      <c r="A437">
        <v>275985</v>
      </c>
      <c r="B437" t="s">
        <v>1292</v>
      </c>
      <c r="C437" t="s">
        <v>1293</v>
      </c>
      <c r="D437" t="s">
        <v>1465</v>
      </c>
      <c r="E437" t="s">
        <v>1229</v>
      </c>
      <c r="F437" t="s">
        <v>1398</v>
      </c>
      <c r="G437" t="s">
        <v>1569</v>
      </c>
      <c r="H437" t="s">
        <v>2490</v>
      </c>
      <c r="I437" t="s">
        <v>67</v>
      </c>
    </row>
    <row r="438" spans="1:9">
      <c r="A438">
        <v>293511</v>
      </c>
      <c r="B438" t="s">
        <v>1294</v>
      </c>
      <c r="C438" t="s">
        <v>1456</v>
      </c>
      <c r="D438" t="s">
        <v>1465</v>
      </c>
      <c r="E438" t="s">
        <v>604</v>
      </c>
      <c r="F438" t="s">
        <v>1399</v>
      </c>
      <c r="G438" t="s">
        <v>1570</v>
      </c>
      <c r="H438" t="s">
        <v>2490</v>
      </c>
      <c r="I438" t="s">
        <v>62</v>
      </c>
    </row>
    <row r="439" spans="1:9">
      <c r="A439">
        <v>132168</v>
      </c>
      <c r="B439" t="s">
        <v>1295</v>
      </c>
      <c r="C439" t="s">
        <v>1296</v>
      </c>
      <c r="D439" t="s">
        <v>1465</v>
      </c>
      <c r="E439" t="s">
        <v>604</v>
      </c>
      <c r="F439" t="s">
        <v>1399</v>
      </c>
      <c r="G439" t="s">
        <v>1570</v>
      </c>
      <c r="H439" t="s">
        <v>2490</v>
      </c>
      <c r="I439" t="s">
        <v>62</v>
      </c>
    </row>
    <row r="440" spans="1:9">
      <c r="A440">
        <v>43575</v>
      </c>
      <c r="B440" t="s">
        <v>2587</v>
      </c>
      <c r="C440" t="s">
        <v>2492</v>
      </c>
      <c r="D440" t="s">
        <v>1467</v>
      </c>
      <c r="E440" t="s">
        <v>1399</v>
      </c>
      <c r="F440" t="s">
        <v>1404</v>
      </c>
      <c r="G440" t="s">
        <v>1451</v>
      </c>
      <c r="H440" t="s">
        <v>2490</v>
      </c>
      <c r="I440" t="s">
        <v>1891</v>
      </c>
    </row>
    <row r="441" spans="1:9">
      <c r="A441">
        <v>173204</v>
      </c>
      <c r="B441" t="s">
        <v>1297</v>
      </c>
      <c r="C441" t="s">
        <v>1298</v>
      </c>
      <c r="D441" t="s">
        <v>1465</v>
      </c>
      <c r="E441" t="s">
        <v>478</v>
      </c>
      <c r="F441" t="s">
        <v>1398</v>
      </c>
      <c r="G441" t="s">
        <v>1569</v>
      </c>
      <c r="H441" t="s">
        <v>2490</v>
      </c>
      <c r="I441" t="s">
        <v>67</v>
      </c>
    </row>
    <row r="442" spans="1:9">
      <c r="A442">
        <v>230910</v>
      </c>
      <c r="B442" t="s">
        <v>1299</v>
      </c>
      <c r="C442" t="s">
        <v>1300</v>
      </c>
      <c r="D442" t="s">
        <v>1465</v>
      </c>
      <c r="E442" t="s">
        <v>1361</v>
      </c>
      <c r="F442" t="s">
        <v>1405</v>
      </c>
      <c r="G442" t="s">
        <v>1574</v>
      </c>
      <c r="H442" t="s">
        <v>2490</v>
      </c>
      <c r="I442" t="s">
        <v>65</v>
      </c>
    </row>
    <row r="443" spans="1:9">
      <c r="A443">
        <v>51743</v>
      </c>
      <c r="B443" t="s">
        <v>1301</v>
      </c>
      <c r="C443" t="s">
        <v>1302</v>
      </c>
      <c r="D443" t="s">
        <v>1465</v>
      </c>
      <c r="E443" t="s">
        <v>1124</v>
      </c>
      <c r="F443" t="s">
        <v>1402</v>
      </c>
      <c r="G443" t="s">
        <v>1566</v>
      </c>
      <c r="H443" t="s">
        <v>2490</v>
      </c>
      <c r="I443" t="s">
        <v>61</v>
      </c>
    </row>
    <row r="444" spans="1:9">
      <c r="A444">
        <v>173038</v>
      </c>
      <c r="B444" t="s">
        <v>1303</v>
      </c>
      <c r="C444" t="s">
        <v>1304</v>
      </c>
      <c r="D444" t="s">
        <v>1465</v>
      </c>
      <c r="E444" t="s">
        <v>604</v>
      </c>
      <c r="F444" t="s">
        <v>1399</v>
      </c>
      <c r="G444" t="s">
        <v>1570</v>
      </c>
      <c r="H444" t="s">
        <v>2490</v>
      </c>
      <c r="I444" t="s">
        <v>62</v>
      </c>
    </row>
    <row r="445" spans="1:9">
      <c r="A445">
        <v>159181</v>
      </c>
      <c r="B445" t="s">
        <v>1305</v>
      </c>
      <c r="C445" t="s">
        <v>1306</v>
      </c>
      <c r="D445" t="s">
        <v>1465</v>
      </c>
      <c r="E445" t="s">
        <v>1207</v>
      </c>
      <c r="F445" t="s">
        <v>1405</v>
      </c>
      <c r="G445" t="s">
        <v>1564</v>
      </c>
      <c r="H445" t="s">
        <v>2490</v>
      </c>
      <c r="I445" t="s">
        <v>65</v>
      </c>
    </row>
    <row r="446" spans="1:9">
      <c r="A446">
        <v>195363</v>
      </c>
      <c r="B446" t="s">
        <v>1307</v>
      </c>
      <c r="C446" t="s">
        <v>1306</v>
      </c>
      <c r="D446" t="s">
        <v>1465</v>
      </c>
      <c r="E446" t="s">
        <v>1361</v>
      </c>
      <c r="F446" t="s">
        <v>1405</v>
      </c>
      <c r="G446" t="s">
        <v>1574</v>
      </c>
      <c r="H446" t="s">
        <v>2490</v>
      </c>
      <c r="I446" t="s">
        <v>65</v>
      </c>
    </row>
    <row r="447" spans="1:9">
      <c r="A447">
        <v>180342</v>
      </c>
      <c r="B447" t="s">
        <v>1308</v>
      </c>
      <c r="C447" t="s">
        <v>1309</v>
      </c>
      <c r="D447" t="s">
        <v>1464</v>
      </c>
      <c r="E447" t="s">
        <v>1361</v>
      </c>
      <c r="F447" t="s">
        <v>1405</v>
      </c>
      <c r="G447" t="s">
        <v>1564</v>
      </c>
      <c r="H447" t="s">
        <v>2490</v>
      </c>
      <c r="I447" t="s">
        <v>1891</v>
      </c>
    </row>
    <row r="448" spans="1:9">
      <c r="A448">
        <v>196353</v>
      </c>
      <c r="B448" t="s">
        <v>1310</v>
      </c>
      <c r="C448" t="s">
        <v>1311</v>
      </c>
      <c r="D448" t="s">
        <v>1465</v>
      </c>
      <c r="E448" t="s">
        <v>478</v>
      </c>
      <c r="F448" t="s">
        <v>1398</v>
      </c>
      <c r="G448" t="s">
        <v>1569</v>
      </c>
      <c r="H448" t="s">
        <v>2490</v>
      </c>
      <c r="I448" t="s">
        <v>67</v>
      </c>
    </row>
    <row r="449" spans="1:9">
      <c r="A449">
        <v>108333</v>
      </c>
      <c r="B449" t="s">
        <v>1312</v>
      </c>
      <c r="C449" t="s">
        <v>1313</v>
      </c>
      <c r="D449" t="s">
        <v>1465</v>
      </c>
      <c r="E449" t="s">
        <v>951</v>
      </c>
      <c r="F449" t="s">
        <v>1402</v>
      </c>
      <c r="G449" t="s">
        <v>1566</v>
      </c>
      <c r="H449" t="s">
        <v>2490</v>
      </c>
      <c r="I449" t="s">
        <v>61</v>
      </c>
    </row>
    <row r="450" spans="1:9">
      <c r="A450">
        <v>221548</v>
      </c>
      <c r="B450" t="s">
        <v>1314</v>
      </c>
      <c r="C450" t="s">
        <v>1315</v>
      </c>
      <c r="D450" t="s">
        <v>1465</v>
      </c>
      <c r="E450" t="s">
        <v>700</v>
      </c>
      <c r="F450" t="s">
        <v>1394</v>
      </c>
      <c r="G450" t="s">
        <v>1573</v>
      </c>
      <c r="H450" t="s">
        <v>2490</v>
      </c>
      <c r="I450" t="s">
        <v>59</v>
      </c>
    </row>
    <row r="451" spans="1:9">
      <c r="A451">
        <v>214951</v>
      </c>
      <c r="B451" t="s">
        <v>1316</v>
      </c>
      <c r="C451" t="s">
        <v>1317</v>
      </c>
      <c r="D451" t="s">
        <v>1465</v>
      </c>
      <c r="E451" t="s">
        <v>1092</v>
      </c>
      <c r="F451" t="s">
        <v>1398</v>
      </c>
      <c r="G451" t="s">
        <v>1569</v>
      </c>
      <c r="H451" t="s">
        <v>2490</v>
      </c>
      <c r="I451" t="s">
        <v>67</v>
      </c>
    </row>
    <row r="452" spans="1:9">
      <c r="A452">
        <v>194739</v>
      </c>
      <c r="B452" t="s">
        <v>1318</v>
      </c>
      <c r="C452" t="s">
        <v>1319</v>
      </c>
      <c r="D452" t="s">
        <v>1465</v>
      </c>
      <c r="E452" t="s">
        <v>961</v>
      </c>
      <c r="F452" t="s">
        <v>1394</v>
      </c>
      <c r="G452" t="s">
        <v>1586</v>
      </c>
      <c r="H452" t="s">
        <v>2490</v>
      </c>
      <c r="I452" t="s">
        <v>60</v>
      </c>
    </row>
    <row r="453" spans="1:9">
      <c r="A453">
        <v>111494</v>
      </c>
      <c r="B453" t="s">
        <v>1320</v>
      </c>
      <c r="C453" t="s">
        <v>1321</v>
      </c>
      <c r="D453" t="s">
        <v>1465</v>
      </c>
      <c r="E453" t="s">
        <v>700</v>
      </c>
      <c r="F453" t="s">
        <v>1394</v>
      </c>
      <c r="G453" t="s">
        <v>1586</v>
      </c>
      <c r="H453" t="s">
        <v>2490</v>
      </c>
      <c r="I453" t="s">
        <v>60</v>
      </c>
    </row>
    <row r="454" spans="1:9">
      <c r="A454">
        <v>56349</v>
      </c>
      <c r="B454" t="s">
        <v>1322</v>
      </c>
      <c r="C454" t="s">
        <v>1323</v>
      </c>
      <c r="D454" t="s">
        <v>1465</v>
      </c>
      <c r="E454" t="s">
        <v>1124</v>
      </c>
      <c r="F454" t="s">
        <v>1402</v>
      </c>
      <c r="G454" t="s">
        <v>1580</v>
      </c>
      <c r="H454" t="s">
        <v>2490</v>
      </c>
      <c r="I454" t="s">
        <v>61</v>
      </c>
    </row>
    <row r="455" spans="1:9">
      <c r="A455">
        <v>279132</v>
      </c>
      <c r="B455" t="s">
        <v>1324</v>
      </c>
      <c r="C455" t="s">
        <v>1325</v>
      </c>
      <c r="D455" t="s">
        <v>1465</v>
      </c>
      <c r="E455" t="s">
        <v>514</v>
      </c>
      <c r="F455" t="s">
        <v>610</v>
      </c>
      <c r="G455" t="s">
        <v>1597</v>
      </c>
      <c r="H455" t="s">
        <v>2490</v>
      </c>
      <c r="I455" t="s">
        <v>65</v>
      </c>
    </row>
    <row r="456" spans="1:9">
      <c r="A456">
        <v>81511</v>
      </c>
      <c r="B456" t="s">
        <v>1326</v>
      </c>
      <c r="C456" t="s">
        <v>1327</v>
      </c>
      <c r="D456" t="s">
        <v>1465</v>
      </c>
      <c r="E456" t="s">
        <v>951</v>
      </c>
      <c r="F456" t="s">
        <v>1402</v>
      </c>
      <c r="G456" t="s">
        <v>1605</v>
      </c>
      <c r="H456" t="s">
        <v>2490</v>
      </c>
      <c r="I456" t="s">
        <v>61</v>
      </c>
    </row>
    <row r="457" spans="1:9">
      <c r="A457">
        <v>100573</v>
      </c>
      <c r="B457" t="s">
        <v>1328</v>
      </c>
      <c r="C457" t="s">
        <v>1329</v>
      </c>
      <c r="D457" t="s">
        <v>1465</v>
      </c>
      <c r="E457" t="s">
        <v>1361</v>
      </c>
      <c r="F457" t="s">
        <v>1405</v>
      </c>
      <c r="G457" t="s">
        <v>1597</v>
      </c>
      <c r="H457" t="s">
        <v>2490</v>
      </c>
      <c r="I457" t="s">
        <v>65</v>
      </c>
    </row>
    <row r="458" spans="1:9">
      <c r="A458">
        <v>95148</v>
      </c>
      <c r="B458" t="s">
        <v>1330</v>
      </c>
      <c r="C458" t="s">
        <v>1331</v>
      </c>
      <c r="D458" t="s">
        <v>1465</v>
      </c>
      <c r="E458" t="s">
        <v>951</v>
      </c>
      <c r="F458" t="s">
        <v>1402</v>
      </c>
      <c r="G458" t="s">
        <v>1605</v>
      </c>
      <c r="H458" t="s">
        <v>2490</v>
      </c>
      <c r="I458" t="s">
        <v>61</v>
      </c>
    </row>
    <row r="459" spans="1:9">
      <c r="A459">
        <v>78540</v>
      </c>
      <c r="B459" t="s">
        <v>1332</v>
      </c>
      <c r="C459" t="s">
        <v>1333</v>
      </c>
      <c r="D459" t="s">
        <v>1465</v>
      </c>
      <c r="E459" t="s">
        <v>514</v>
      </c>
      <c r="F459" t="s">
        <v>610</v>
      </c>
      <c r="G459" t="s">
        <v>1597</v>
      </c>
      <c r="H459" t="s">
        <v>2490</v>
      </c>
      <c r="I459" t="s">
        <v>65</v>
      </c>
    </row>
    <row r="460" spans="1:9">
      <c r="A460">
        <v>172626</v>
      </c>
      <c r="B460" t="s">
        <v>1334</v>
      </c>
      <c r="C460" t="s">
        <v>1335</v>
      </c>
      <c r="D460" t="s">
        <v>1465</v>
      </c>
      <c r="E460" t="s">
        <v>1361</v>
      </c>
      <c r="F460" t="s">
        <v>1405</v>
      </c>
      <c r="G460" t="s">
        <v>1594</v>
      </c>
      <c r="H460" t="s">
        <v>2490</v>
      </c>
      <c r="I460" t="s">
        <v>65</v>
      </c>
    </row>
    <row r="461" spans="1:9">
      <c r="A461">
        <v>194777</v>
      </c>
      <c r="B461" t="s">
        <v>1336</v>
      </c>
      <c r="C461" t="s">
        <v>1337</v>
      </c>
      <c r="D461" t="s">
        <v>1465</v>
      </c>
      <c r="E461" t="s">
        <v>700</v>
      </c>
      <c r="F461" t="s">
        <v>1394</v>
      </c>
      <c r="G461" t="s">
        <v>1586</v>
      </c>
      <c r="H461" t="s">
        <v>2490</v>
      </c>
      <c r="I461" t="s">
        <v>60</v>
      </c>
    </row>
    <row r="462" spans="1:9">
      <c r="A462">
        <v>229409</v>
      </c>
      <c r="B462" t="s">
        <v>1338</v>
      </c>
      <c r="C462" t="s">
        <v>1339</v>
      </c>
      <c r="D462" t="s">
        <v>1465</v>
      </c>
      <c r="E462" t="s">
        <v>1028</v>
      </c>
      <c r="F462" t="s">
        <v>1394</v>
      </c>
      <c r="G462" t="s">
        <v>1573</v>
      </c>
      <c r="H462" t="s">
        <v>2490</v>
      </c>
      <c r="I462" t="s">
        <v>59</v>
      </c>
    </row>
    <row r="463" spans="1:9">
      <c r="A463">
        <v>291001</v>
      </c>
      <c r="B463" t="s">
        <v>1340</v>
      </c>
      <c r="C463" t="s">
        <v>1341</v>
      </c>
      <c r="D463" t="s">
        <v>1465</v>
      </c>
      <c r="E463" t="s">
        <v>1369</v>
      </c>
      <c r="F463" t="s">
        <v>1398</v>
      </c>
      <c r="G463" t="s">
        <v>1569</v>
      </c>
      <c r="H463" t="s">
        <v>2490</v>
      </c>
      <c r="I463" t="s">
        <v>67</v>
      </c>
    </row>
    <row r="464" spans="1:9">
      <c r="A464">
        <v>195310</v>
      </c>
      <c r="B464" t="s">
        <v>1342</v>
      </c>
      <c r="C464" t="s">
        <v>1343</v>
      </c>
      <c r="D464" t="s">
        <v>1464</v>
      </c>
      <c r="E464" t="s">
        <v>1207</v>
      </c>
      <c r="F464" t="s">
        <v>1405</v>
      </c>
      <c r="G464" t="s">
        <v>1564</v>
      </c>
      <c r="H464" t="s">
        <v>2490</v>
      </c>
      <c r="I464" t="s">
        <v>1891</v>
      </c>
    </row>
    <row r="465" spans="1:9">
      <c r="A465">
        <v>80224</v>
      </c>
      <c r="B465" t="s">
        <v>1344</v>
      </c>
      <c r="C465" t="s">
        <v>1345</v>
      </c>
      <c r="D465" t="s">
        <v>1465</v>
      </c>
      <c r="E465" t="s">
        <v>1124</v>
      </c>
      <c r="F465" t="s">
        <v>1402</v>
      </c>
      <c r="G465" t="s">
        <v>1580</v>
      </c>
      <c r="H465" t="s">
        <v>2490</v>
      </c>
      <c r="I465" t="s">
        <v>61</v>
      </c>
    </row>
    <row r="466" spans="1:9">
      <c r="A466">
        <v>117633</v>
      </c>
      <c r="B466" t="s">
        <v>1346</v>
      </c>
      <c r="C466" t="s">
        <v>1347</v>
      </c>
      <c r="D466" t="s">
        <v>1465</v>
      </c>
      <c r="E466" t="s">
        <v>943</v>
      </c>
      <c r="F466" t="s">
        <v>1402</v>
      </c>
      <c r="G466" t="s">
        <v>1575</v>
      </c>
      <c r="H466" t="s">
        <v>2490</v>
      </c>
      <c r="I466" t="s">
        <v>68</v>
      </c>
    </row>
    <row r="467" spans="1:9">
      <c r="A467">
        <v>105627</v>
      </c>
      <c r="B467" t="s">
        <v>1348</v>
      </c>
      <c r="C467" t="s">
        <v>1349</v>
      </c>
      <c r="D467" t="s">
        <v>1473</v>
      </c>
      <c r="E467" t="s">
        <v>700</v>
      </c>
      <c r="F467" t="s">
        <v>1394</v>
      </c>
      <c r="G467" t="s">
        <v>1606</v>
      </c>
      <c r="H467" t="s">
        <v>2490</v>
      </c>
      <c r="I467" t="s">
        <v>60</v>
      </c>
    </row>
    <row r="468" spans="1:9">
      <c r="A468">
        <v>310998</v>
      </c>
      <c r="B468" t="s">
        <v>1350</v>
      </c>
      <c r="C468" t="s">
        <v>1351</v>
      </c>
      <c r="D468" t="s">
        <v>1465</v>
      </c>
      <c r="E468" t="s">
        <v>700</v>
      </c>
      <c r="F468" t="s">
        <v>1394</v>
      </c>
      <c r="G468" t="s">
        <v>1573</v>
      </c>
      <c r="H468" t="s">
        <v>2490</v>
      </c>
      <c r="I468" t="s">
        <v>59</v>
      </c>
    </row>
    <row r="469" spans="1:9">
      <c r="A469">
        <v>104603</v>
      </c>
      <c r="B469" t="s">
        <v>1352</v>
      </c>
      <c r="C469" t="s">
        <v>1353</v>
      </c>
      <c r="D469" t="s">
        <v>1465</v>
      </c>
      <c r="E469" t="s">
        <v>2492</v>
      </c>
      <c r="F469" t="s">
        <v>1399</v>
      </c>
      <c r="G469" t="s">
        <v>1570</v>
      </c>
      <c r="H469" t="s">
        <v>2490</v>
      </c>
      <c r="I469" t="s">
        <v>62</v>
      </c>
    </row>
    <row r="470" spans="1:9">
      <c r="A470">
        <v>221727</v>
      </c>
      <c r="B470" t="s">
        <v>1378</v>
      </c>
      <c r="C470" t="s">
        <v>1379</v>
      </c>
      <c r="D470" t="s">
        <v>1465</v>
      </c>
      <c r="E470" t="s">
        <v>588</v>
      </c>
      <c r="F470" t="s">
        <v>1398</v>
      </c>
      <c r="G470" t="s">
        <v>1569</v>
      </c>
      <c r="H470" t="s">
        <v>2490</v>
      </c>
      <c r="I470" t="s">
        <v>67</v>
      </c>
    </row>
    <row r="471" spans="1:9">
      <c r="A471">
        <v>178804</v>
      </c>
      <c r="B471" t="s">
        <v>1354</v>
      </c>
      <c r="C471" t="s">
        <v>1355</v>
      </c>
      <c r="D471" t="s">
        <v>1465</v>
      </c>
      <c r="E471" t="s">
        <v>1092</v>
      </c>
      <c r="F471" t="s">
        <v>1398</v>
      </c>
      <c r="G471" t="s">
        <v>1569</v>
      </c>
      <c r="H471" t="s">
        <v>2490</v>
      </c>
      <c r="I471" t="s">
        <v>67</v>
      </c>
    </row>
    <row r="472" spans="1:9">
      <c r="A472">
        <v>194995</v>
      </c>
      <c r="B472" t="s">
        <v>1444</v>
      </c>
      <c r="C472" t="s">
        <v>1440</v>
      </c>
      <c r="D472" t="s">
        <v>1465</v>
      </c>
      <c r="E472" t="s">
        <v>961</v>
      </c>
      <c r="F472" t="s">
        <v>1394</v>
      </c>
      <c r="G472" t="s">
        <v>1573</v>
      </c>
      <c r="H472" t="s">
        <v>2490</v>
      </c>
      <c r="I472" t="s">
        <v>59</v>
      </c>
    </row>
    <row r="473" spans="1:9">
      <c r="A473">
        <v>229215</v>
      </c>
      <c r="B473" t="s">
        <v>1356</v>
      </c>
      <c r="C473" t="s">
        <v>1357</v>
      </c>
      <c r="D473" t="s">
        <v>1465</v>
      </c>
      <c r="E473" t="s">
        <v>1028</v>
      </c>
      <c r="F473" t="s">
        <v>1394</v>
      </c>
      <c r="G473" t="s">
        <v>1573</v>
      </c>
      <c r="H473" t="s">
        <v>2490</v>
      </c>
      <c r="I473" t="s">
        <v>59</v>
      </c>
    </row>
    <row r="474" spans="1:9">
      <c r="A474">
        <v>111571</v>
      </c>
      <c r="B474" t="s">
        <v>1358</v>
      </c>
      <c r="C474" t="s">
        <v>1359</v>
      </c>
      <c r="D474" t="s">
        <v>1465</v>
      </c>
      <c r="E474" t="s">
        <v>478</v>
      </c>
      <c r="F474" t="s">
        <v>1398</v>
      </c>
      <c r="G474" t="s">
        <v>1569</v>
      </c>
      <c r="H474" t="s">
        <v>2490</v>
      </c>
      <c r="I474" t="s">
        <v>67</v>
      </c>
    </row>
    <row r="475" spans="1:9">
      <c r="A475">
        <v>81717</v>
      </c>
      <c r="B475" t="s">
        <v>1360</v>
      </c>
      <c r="C475" t="s">
        <v>1361</v>
      </c>
      <c r="D475" t="s">
        <v>1467</v>
      </c>
      <c r="E475" t="s">
        <v>1405</v>
      </c>
      <c r="F475" t="s">
        <v>1404</v>
      </c>
      <c r="G475" t="s">
        <v>1451</v>
      </c>
      <c r="H475" t="s">
        <v>2490</v>
      </c>
      <c r="I475" t="s">
        <v>1891</v>
      </c>
    </row>
    <row r="476" spans="1:9">
      <c r="A476">
        <v>277843</v>
      </c>
      <c r="B476" t="s">
        <v>1362</v>
      </c>
      <c r="C476" t="s">
        <v>1363</v>
      </c>
      <c r="D476" t="s">
        <v>1465</v>
      </c>
      <c r="E476" t="s">
        <v>1223</v>
      </c>
      <c r="F476" t="s">
        <v>1399</v>
      </c>
      <c r="G476" t="s">
        <v>1576</v>
      </c>
      <c r="H476" t="s">
        <v>2490</v>
      </c>
      <c r="I476" t="s">
        <v>66</v>
      </c>
    </row>
    <row r="477" spans="1:9">
      <c r="A477">
        <v>194729</v>
      </c>
      <c r="B477" t="s">
        <v>1364</v>
      </c>
      <c r="C477" t="s">
        <v>1365</v>
      </c>
      <c r="D477" t="s">
        <v>1465</v>
      </c>
      <c r="E477" t="s">
        <v>1207</v>
      </c>
      <c r="F477" t="s">
        <v>1405</v>
      </c>
      <c r="G477" t="s">
        <v>1574</v>
      </c>
      <c r="H477" t="s">
        <v>2490</v>
      </c>
      <c r="I477" t="s">
        <v>65</v>
      </c>
    </row>
    <row r="478" spans="1:9">
      <c r="A478">
        <v>150391</v>
      </c>
      <c r="B478" t="s">
        <v>1366</v>
      </c>
      <c r="C478" t="s">
        <v>1367</v>
      </c>
      <c r="D478" t="s">
        <v>1467</v>
      </c>
      <c r="E478" t="s">
        <v>610</v>
      </c>
      <c r="F478" t="s">
        <v>1404</v>
      </c>
      <c r="G478" t="s">
        <v>1451</v>
      </c>
      <c r="H478" t="s">
        <v>2490</v>
      </c>
      <c r="I478" t="s">
        <v>1891</v>
      </c>
    </row>
    <row r="479" spans="1:9">
      <c r="A479">
        <v>138098</v>
      </c>
      <c r="B479" t="s">
        <v>1368</v>
      </c>
      <c r="C479" t="s">
        <v>1369</v>
      </c>
      <c r="D479" t="s">
        <v>1467</v>
      </c>
      <c r="E479" t="s">
        <v>1398</v>
      </c>
      <c r="F479" t="s">
        <v>1404</v>
      </c>
      <c r="G479" t="s">
        <v>1451</v>
      </c>
      <c r="H479" t="s">
        <v>2490</v>
      </c>
      <c r="I479" t="s">
        <v>1891</v>
      </c>
    </row>
    <row r="480" spans="1:9">
      <c r="A480">
        <v>276758</v>
      </c>
      <c r="B480" t="s">
        <v>1370</v>
      </c>
      <c r="C480" t="s">
        <v>1371</v>
      </c>
      <c r="D480" t="s">
        <v>1465</v>
      </c>
      <c r="E480" t="s">
        <v>1289</v>
      </c>
      <c r="F480" t="s">
        <v>1398</v>
      </c>
      <c r="G480" t="s">
        <v>1569</v>
      </c>
      <c r="H480" t="s">
        <v>2490</v>
      </c>
      <c r="I480" t="s">
        <v>67</v>
      </c>
    </row>
    <row r="481" spans="1:9">
      <c r="A481">
        <v>182988</v>
      </c>
      <c r="B481" t="s">
        <v>1486</v>
      </c>
      <c r="C481" t="s">
        <v>1477</v>
      </c>
      <c r="D481" t="s">
        <v>1465</v>
      </c>
      <c r="E481" t="s">
        <v>1207</v>
      </c>
      <c r="F481" t="s">
        <v>1405</v>
      </c>
      <c r="G481" t="s">
        <v>1574</v>
      </c>
      <c r="H481" t="s">
        <v>2490</v>
      </c>
      <c r="I481" t="s">
        <v>65</v>
      </c>
    </row>
    <row r="482" spans="1:9">
      <c r="A482">
        <v>239224</v>
      </c>
      <c r="B482" t="s">
        <v>1522</v>
      </c>
      <c r="C482" t="s">
        <v>1526</v>
      </c>
      <c r="D482" t="s">
        <v>1465</v>
      </c>
      <c r="E482" t="s">
        <v>478</v>
      </c>
      <c r="F482" t="s">
        <v>1398</v>
      </c>
      <c r="G482" t="s">
        <v>1569</v>
      </c>
      <c r="H482" t="s">
        <v>2490</v>
      </c>
      <c r="I482" t="s">
        <v>67</v>
      </c>
    </row>
    <row r="483" spans="1:9">
      <c r="A483">
        <v>289510</v>
      </c>
      <c r="B483" t="s">
        <v>1513</v>
      </c>
      <c r="C483" t="s">
        <v>1527</v>
      </c>
      <c r="D483" t="s">
        <v>1465</v>
      </c>
      <c r="E483" t="s">
        <v>478</v>
      </c>
      <c r="F483" t="s">
        <v>1398</v>
      </c>
      <c r="G483" t="s">
        <v>1569</v>
      </c>
      <c r="H483" t="s">
        <v>2490</v>
      </c>
      <c r="I483" t="s">
        <v>67</v>
      </c>
    </row>
    <row r="484" spans="1:9">
      <c r="A484">
        <v>239898</v>
      </c>
      <c r="B484" t="s">
        <v>1523</v>
      </c>
      <c r="C484" t="s">
        <v>1528</v>
      </c>
      <c r="D484" t="s">
        <v>1465</v>
      </c>
      <c r="E484" t="s">
        <v>478</v>
      </c>
      <c r="F484" t="s">
        <v>1398</v>
      </c>
      <c r="G484" t="s">
        <v>1569</v>
      </c>
      <c r="H484" t="s">
        <v>2490</v>
      </c>
      <c r="I484" t="s">
        <v>67</v>
      </c>
    </row>
    <row r="485" spans="1:9">
      <c r="A485">
        <v>189228</v>
      </c>
      <c r="B485" t="s">
        <v>1510</v>
      </c>
      <c r="C485" t="s">
        <v>1529</v>
      </c>
      <c r="D485" t="s">
        <v>1465</v>
      </c>
      <c r="E485" t="s">
        <v>1028</v>
      </c>
      <c r="F485" t="s">
        <v>1394</v>
      </c>
      <c r="G485" t="s">
        <v>1573</v>
      </c>
      <c r="H485" t="s">
        <v>2490</v>
      </c>
      <c r="I485" t="s">
        <v>59</v>
      </c>
    </row>
    <row r="486" spans="1:9">
      <c r="A486">
        <v>224773</v>
      </c>
      <c r="B486" t="s">
        <v>1518</v>
      </c>
      <c r="C486" t="s">
        <v>1530</v>
      </c>
      <c r="D486" t="s">
        <v>1465</v>
      </c>
      <c r="E486" t="s">
        <v>961</v>
      </c>
      <c r="F486" t="s">
        <v>1394</v>
      </c>
      <c r="G486" t="s">
        <v>1573</v>
      </c>
      <c r="H486" t="s">
        <v>2490</v>
      </c>
      <c r="I486" t="s">
        <v>59</v>
      </c>
    </row>
    <row r="487" spans="1:9">
      <c r="A487">
        <v>145377</v>
      </c>
      <c r="B487" t="s">
        <v>1525</v>
      </c>
      <c r="C487" t="s">
        <v>1531</v>
      </c>
      <c r="D487" t="s">
        <v>1465</v>
      </c>
      <c r="E487" t="s">
        <v>588</v>
      </c>
      <c r="F487" t="s">
        <v>1398</v>
      </c>
      <c r="G487" t="s">
        <v>1569</v>
      </c>
      <c r="H487" t="s">
        <v>2490</v>
      </c>
      <c r="I487" t="s">
        <v>67</v>
      </c>
    </row>
    <row r="488" spans="1:9">
      <c r="A488">
        <v>229218</v>
      </c>
      <c r="B488" t="s">
        <v>1519</v>
      </c>
      <c r="C488" t="s">
        <v>1532</v>
      </c>
      <c r="D488" t="s">
        <v>1465</v>
      </c>
      <c r="E488" t="s">
        <v>1092</v>
      </c>
      <c r="F488" t="s">
        <v>1398</v>
      </c>
      <c r="G488" t="s">
        <v>1569</v>
      </c>
      <c r="H488" t="s">
        <v>2490</v>
      </c>
      <c r="I488" t="s">
        <v>67</v>
      </c>
    </row>
    <row r="489" spans="1:9">
      <c r="A489">
        <v>158390</v>
      </c>
      <c r="B489" t="s">
        <v>1524</v>
      </c>
      <c r="C489" t="s">
        <v>1533</v>
      </c>
      <c r="D489" t="s">
        <v>1465</v>
      </c>
      <c r="E489" t="s">
        <v>1092</v>
      </c>
      <c r="F489" t="s">
        <v>1398</v>
      </c>
      <c r="G489" t="s">
        <v>1569</v>
      </c>
      <c r="H489" t="s">
        <v>2490</v>
      </c>
      <c r="I489" t="s">
        <v>67</v>
      </c>
    </row>
    <row r="490" spans="1:9">
      <c r="A490">
        <v>250223</v>
      </c>
      <c r="B490" t="s">
        <v>1496</v>
      </c>
      <c r="C490" t="s">
        <v>1534</v>
      </c>
      <c r="D490" t="s">
        <v>1465</v>
      </c>
      <c r="E490" t="s">
        <v>1092</v>
      </c>
      <c r="F490" t="s">
        <v>1398</v>
      </c>
      <c r="G490" t="s">
        <v>1569</v>
      </c>
      <c r="H490" t="s">
        <v>2490</v>
      </c>
      <c r="I490" t="s">
        <v>67</v>
      </c>
    </row>
    <row r="491" spans="1:9">
      <c r="A491">
        <v>250313</v>
      </c>
      <c r="B491" t="s">
        <v>1495</v>
      </c>
      <c r="C491" t="s">
        <v>1535</v>
      </c>
      <c r="D491" t="s">
        <v>1465</v>
      </c>
      <c r="E491" t="s">
        <v>1092</v>
      </c>
      <c r="F491" t="s">
        <v>1398</v>
      </c>
      <c r="G491" t="s">
        <v>1569</v>
      </c>
      <c r="H491" t="s">
        <v>2490</v>
      </c>
      <c r="I491" t="s">
        <v>67</v>
      </c>
    </row>
    <row r="492" spans="1:9">
      <c r="A492">
        <v>239658</v>
      </c>
      <c r="B492" t="s">
        <v>1516</v>
      </c>
      <c r="C492" t="s">
        <v>1536</v>
      </c>
      <c r="D492" t="s">
        <v>1465</v>
      </c>
      <c r="E492" t="s">
        <v>1369</v>
      </c>
      <c r="F492" t="s">
        <v>1398</v>
      </c>
      <c r="G492" t="s">
        <v>1569</v>
      </c>
      <c r="H492" t="s">
        <v>2490</v>
      </c>
      <c r="I492" t="s">
        <v>67</v>
      </c>
    </row>
    <row r="493" spans="1:9">
      <c r="A493">
        <v>121910</v>
      </c>
      <c r="B493" t="s">
        <v>1511</v>
      </c>
      <c r="C493" t="s">
        <v>1537</v>
      </c>
      <c r="D493" t="s">
        <v>1465</v>
      </c>
      <c r="E493" t="s">
        <v>1369</v>
      </c>
      <c r="F493" t="s">
        <v>1398</v>
      </c>
      <c r="G493" t="s">
        <v>1569</v>
      </c>
      <c r="H493" t="s">
        <v>2490</v>
      </c>
      <c r="I493" t="s">
        <v>67</v>
      </c>
    </row>
    <row r="494" spans="1:9">
      <c r="A494">
        <v>299889</v>
      </c>
      <c r="B494" t="s">
        <v>1500</v>
      </c>
      <c r="C494" t="s">
        <v>1538</v>
      </c>
      <c r="D494" t="s">
        <v>1465</v>
      </c>
      <c r="E494" t="s">
        <v>1369</v>
      </c>
      <c r="F494" t="s">
        <v>1398</v>
      </c>
      <c r="G494" t="s">
        <v>1569</v>
      </c>
      <c r="H494" t="s">
        <v>2490</v>
      </c>
      <c r="I494" t="s">
        <v>67</v>
      </c>
    </row>
    <row r="495" spans="1:9">
      <c r="A495">
        <v>268327</v>
      </c>
      <c r="B495" t="s">
        <v>1491</v>
      </c>
      <c r="C495" t="s">
        <v>1539</v>
      </c>
      <c r="D495" t="s">
        <v>1465</v>
      </c>
      <c r="E495" t="s">
        <v>1229</v>
      </c>
      <c r="F495" t="s">
        <v>1398</v>
      </c>
      <c r="G495" t="s">
        <v>1569</v>
      </c>
      <c r="H495" t="s">
        <v>2490</v>
      </c>
      <c r="I495" t="s">
        <v>67</v>
      </c>
    </row>
    <row r="496" spans="1:9">
      <c r="A496">
        <v>243274</v>
      </c>
      <c r="B496" t="s">
        <v>1488</v>
      </c>
      <c r="C496" t="s">
        <v>1540</v>
      </c>
      <c r="D496" t="s">
        <v>1465</v>
      </c>
      <c r="E496" t="s">
        <v>2491</v>
      </c>
      <c r="F496" t="s">
        <v>610</v>
      </c>
      <c r="G496" t="s">
        <v>1574</v>
      </c>
      <c r="H496" t="s">
        <v>2490</v>
      </c>
      <c r="I496" t="s">
        <v>65</v>
      </c>
    </row>
    <row r="497" spans="1:9">
      <c r="A497">
        <v>173210</v>
      </c>
      <c r="B497" t="s">
        <v>1512</v>
      </c>
      <c r="C497" t="s">
        <v>1541</v>
      </c>
      <c r="D497" t="s">
        <v>1465</v>
      </c>
      <c r="E497" t="s">
        <v>1229</v>
      </c>
      <c r="F497" t="s">
        <v>1398</v>
      </c>
      <c r="G497" t="s">
        <v>1569</v>
      </c>
      <c r="H497" t="s">
        <v>2490</v>
      </c>
      <c r="I497" t="s">
        <v>67</v>
      </c>
    </row>
    <row r="498" spans="1:9">
      <c r="A498">
        <v>290627</v>
      </c>
      <c r="B498" t="s">
        <v>1505</v>
      </c>
      <c r="C498" t="s">
        <v>1542</v>
      </c>
      <c r="D498" t="s">
        <v>1465</v>
      </c>
      <c r="E498" t="s">
        <v>514</v>
      </c>
      <c r="F498" t="s">
        <v>610</v>
      </c>
      <c r="G498" t="s">
        <v>1574</v>
      </c>
      <c r="H498" t="s">
        <v>2490</v>
      </c>
      <c r="I498" t="s">
        <v>65</v>
      </c>
    </row>
    <row r="499" spans="1:9">
      <c r="A499">
        <v>290504</v>
      </c>
      <c r="B499" t="s">
        <v>1507</v>
      </c>
      <c r="C499" t="s">
        <v>1543</v>
      </c>
      <c r="D499" t="s">
        <v>1465</v>
      </c>
      <c r="E499" t="s">
        <v>1207</v>
      </c>
      <c r="F499" t="s">
        <v>1405</v>
      </c>
      <c r="G499" t="s">
        <v>1574</v>
      </c>
      <c r="H499" t="s">
        <v>2490</v>
      </c>
      <c r="I499" t="s">
        <v>65</v>
      </c>
    </row>
    <row r="500" spans="1:9">
      <c r="A500">
        <v>265500</v>
      </c>
      <c r="B500" t="s">
        <v>1508</v>
      </c>
      <c r="C500" t="s">
        <v>1544</v>
      </c>
      <c r="D500" t="s">
        <v>1465</v>
      </c>
      <c r="E500" t="s">
        <v>1207</v>
      </c>
      <c r="F500" t="s">
        <v>1405</v>
      </c>
      <c r="G500" t="s">
        <v>1574</v>
      </c>
      <c r="H500" t="s">
        <v>2490</v>
      </c>
      <c r="I500" t="s">
        <v>65</v>
      </c>
    </row>
    <row r="501" spans="1:9">
      <c r="A501">
        <v>106389</v>
      </c>
      <c r="B501" t="s">
        <v>1520</v>
      </c>
      <c r="C501" t="s">
        <v>1838</v>
      </c>
      <c r="D501" t="s">
        <v>1465</v>
      </c>
      <c r="E501" t="s">
        <v>1207</v>
      </c>
      <c r="F501" t="s">
        <v>1405</v>
      </c>
      <c r="G501" t="s">
        <v>1574</v>
      </c>
      <c r="H501" t="s">
        <v>2490</v>
      </c>
      <c r="I501" t="s">
        <v>65</v>
      </c>
    </row>
    <row r="502" spans="1:9">
      <c r="A502">
        <v>243347</v>
      </c>
      <c r="B502" t="s">
        <v>1498</v>
      </c>
      <c r="C502" t="s">
        <v>2311</v>
      </c>
      <c r="D502" t="s">
        <v>1465</v>
      </c>
      <c r="E502" t="s">
        <v>1229</v>
      </c>
      <c r="F502" t="s">
        <v>1398</v>
      </c>
      <c r="G502" t="s">
        <v>1569</v>
      </c>
      <c r="H502" t="s">
        <v>2490</v>
      </c>
      <c r="I502" t="s">
        <v>67</v>
      </c>
    </row>
    <row r="503" spans="1:9">
      <c r="A503">
        <v>292935</v>
      </c>
      <c r="B503" t="s">
        <v>1504</v>
      </c>
      <c r="C503" t="s">
        <v>1545</v>
      </c>
      <c r="D503" t="s">
        <v>1465</v>
      </c>
      <c r="E503" t="s">
        <v>801</v>
      </c>
      <c r="F503" t="s">
        <v>1405</v>
      </c>
      <c r="G503" t="s">
        <v>1574</v>
      </c>
      <c r="H503" t="s">
        <v>2490</v>
      </c>
      <c r="I503" t="s">
        <v>65</v>
      </c>
    </row>
    <row r="504" spans="1:9">
      <c r="A504">
        <v>265578</v>
      </c>
      <c r="B504" t="s">
        <v>1494</v>
      </c>
      <c r="C504" t="s">
        <v>1546</v>
      </c>
      <c r="D504" t="s">
        <v>1465</v>
      </c>
      <c r="E504" t="s">
        <v>801</v>
      </c>
      <c r="F504" t="s">
        <v>1405</v>
      </c>
      <c r="G504" t="s">
        <v>1574</v>
      </c>
      <c r="H504" t="s">
        <v>2490</v>
      </c>
      <c r="I504" t="s">
        <v>65</v>
      </c>
    </row>
    <row r="505" spans="1:9">
      <c r="A505">
        <v>250225</v>
      </c>
      <c r="B505" t="s">
        <v>1487</v>
      </c>
      <c r="C505" t="s">
        <v>1547</v>
      </c>
      <c r="D505" t="s">
        <v>1465</v>
      </c>
      <c r="E505" t="s">
        <v>2491</v>
      </c>
      <c r="F505" t="s">
        <v>610</v>
      </c>
      <c r="G505" t="s">
        <v>1574</v>
      </c>
      <c r="H505" t="s">
        <v>2490</v>
      </c>
      <c r="I505" t="s">
        <v>65</v>
      </c>
    </row>
    <row r="506" spans="1:9">
      <c r="A506">
        <v>81280</v>
      </c>
      <c r="B506" t="s">
        <v>1521</v>
      </c>
      <c r="C506" t="s">
        <v>1548</v>
      </c>
      <c r="D506" t="s">
        <v>1465</v>
      </c>
      <c r="E506" t="s">
        <v>2491</v>
      </c>
      <c r="F506" t="s">
        <v>610</v>
      </c>
      <c r="G506" t="s">
        <v>1574</v>
      </c>
      <c r="H506" t="s">
        <v>2490</v>
      </c>
      <c r="I506" t="s">
        <v>65</v>
      </c>
    </row>
    <row r="507" spans="1:9">
      <c r="A507">
        <v>289469</v>
      </c>
      <c r="B507" t="s">
        <v>1490</v>
      </c>
      <c r="C507" t="s">
        <v>1549</v>
      </c>
      <c r="D507" t="s">
        <v>1465</v>
      </c>
      <c r="E507" t="s">
        <v>1361</v>
      </c>
      <c r="F507" t="s">
        <v>1405</v>
      </c>
      <c r="G507" t="s">
        <v>1574</v>
      </c>
      <c r="H507" t="s">
        <v>2490</v>
      </c>
      <c r="I507" t="s">
        <v>65</v>
      </c>
    </row>
    <row r="508" spans="1:9">
      <c r="A508">
        <v>250714</v>
      </c>
      <c r="B508" t="s">
        <v>1497</v>
      </c>
      <c r="C508" t="s">
        <v>1550</v>
      </c>
      <c r="D508" t="s">
        <v>1465</v>
      </c>
      <c r="E508" t="s">
        <v>1361</v>
      </c>
      <c r="F508" t="s">
        <v>1405</v>
      </c>
      <c r="G508" t="s">
        <v>1574</v>
      </c>
      <c r="H508" t="s">
        <v>2490</v>
      </c>
      <c r="I508" t="s">
        <v>65</v>
      </c>
    </row>
    <row r="509" spans="1:9">
      <c r="A509">
        <v>296325</v>
      </c>
      <c r="B509" t="s">
        <v>1489</v>
      </c>
      <c r="C509" t="s">
        <v>1551</v>
      </c>
      <c r="D509" t="s">
        <v>1465</v>
      </c>
      <c r="E509" t="s">
        <v>1207</v>
      </c>
      <c r="F509" t="s">
        <v>1405</v>
      </c>
      <c r="G509" t="s">
        <v>1574</v>
      </c>
      <c r="H509" t="s">
        <v>2490</v>
      </c>
      <c r="I509" t="s">
        <v>65</v>
      </c>
    </row>
    <row r="510" spans="1:9">
      <c r="A510">
        <v>289480</v>
      </c>
      <c r="B510" t="s">
        <v>1514</v>
      </c>
      <c r="C510" t="s">
        <v>1552</v>
      </c>
      <c r="D510" t="s">
        <v>1465</v>
      </c>
      <c r="E510" t="s">
        <v>1207</v>
      </c>
      <c r="F510" t="s">
        <v>1405</v>
      </c>
      <c r="G510" t="s">
        <v>1574</v>
      </c>
      <c r="H510" t="s">
        <v>2490</v>
      </c>
      <c r="I510" t="s">
        <v>65</v>
      </c>
    </row>
    <row r="511" spans="1:9">
      <c r="A511">
        <v>229031</v>
      </c>
      <c r="B511" t="s">
        <v>1517</v>
      </c>
      <c r="C511" t="s">
        <v>1553</v>
      </c>
      <c r="D511" t="s">
        <v>1465</v>
      </c>
      <c r="E511" t="s">
        <v>1367</v>
      </c>
      <c r="F511" t="s">
        <v>610</v>
      </c>
      <c r="G511" t="s">
        <v>1574</v>
      </c>
      <c r="H511" t="s">
        <v>2490</v>
      </c>
      <c r="I511" t="s">
        <v>65</v>
      </c>
    </row>
    <row r="512" spans="1:9">
      <c r="A512">
        <v>199149</v>
      </c>
      <c r="B512" t="s">
        <v>1515</v>
      </c>
      <c r="C512" t="s">
        <v>1554</v>
      </c>
      <c r="D512" t="s">
        <v>1465</v>
      </c>
      <c r="E512" t="s">
        <v>478</v>
      </c>
      <c r="F512" t="s">
        <v>1398</v>
      </c>
      <c r="G512" t="s">
        <v>1569</v>
      </c>
      <c r="H512" t="s">
        <v>2490</v>
      </c>
      <c r="I512" t="s">
        <v>67</v>
      </c>
    </row>
    <row r="513" spans="1:9">
      <c r="A513">
        <v>265692</v>
      </c>
      <c r="B513" t="s">
        <v>1493</v>
      </c>
      <c r="C513" t="s">
        <v>1555</v>
      </c>
      <c r="D513" t="s">
        <v>1465</v>
      </c>
      <c r="E513" t="s">
        <v>588</v>
      </c>
      <c r="F513" t="s">
        <v>1398</v>
      </c>
      <c r="G513" t="s">
        <v>1569</v>
      </c>
      <c r="H513" t="s">
        <v>2490</v>
      </c>
      <c r="I513" t="s">
        <v>67</v>
      </c>
    </row>
    <row r="514" spans="1:9">
      <c r="A514">
        <v>267711</v>
      </c>
      <c r="B514" t="s">
        <v>1492</v>
      </c>
      <c r="C514" t="s">
        <v>1556</v>
      </c>
      <c r="D514" t="s">
        <v>1465</v>
      </c>
      <c r="E514" t="s">
        <v>1028</v>
      </c>
      <c r="F514" t="s">
        <v>1394</v>
      </c>
      <c r="G514" t="s">
        <v>1586</v>
      </c>
      <c r="H514" t="s">
        <v>2490</v>
      </c>
      <c r="I514" t="s">
        <v>59</v>
      </c>
    </row>
    <row r="515" spans="1:9">
      <c r="A515">
        <v>290586</v>
      </c>
      <c r="B515" t="s">
        <v>1506</v>
      </c>
      <c r="C515" t="s">
        <v>1557</v>
      </c>
      <c r="D515" t="s">
        <v>1465</v>
      </c>
      <c r="E515" t="s">
        <v>1289</v>
      </c>
      <c r="F515" t="s">
        <v>1398</v>
      </c>
      <c r="G515" t="s">
        <v>1569</v>
      </c>
      <c r="H515" t="s">
        <v>2490</v>
      </c>
      <c r="I515" t="s">
        <v>67</v>
      </c>
    </row>
    <row r="516" spans="1:9">
      <c r="A516">
        <v>243335</v>
      </c>
      <c r="B516" t="s">
        <v>1502</v>
      </c>
      <c r="C516" t="s">
        <v>1558</v>
      </c>
      <c r="D516" t="s">
        <v>1465</v>
      </c>
      <c r="E516" t="s">
        <v>1289</v>
      </c>
      <c r="F516" t="s">
        <v>1398</v>
      </c>
      <c r="G516" t="s">
        <v>1569</v>
      </c>
      <c r="H516" t="s">
        <v>2490</v>
      </c>
      <c r="I516" t="s">
        <v>67</v>
      </c>
    </row>
    <row r="517" spans="1:9">
      <c r="A517">
        <v>213056</v>
      </c>
      <c r="B517" t="s">
        <v>1503</v>
      </c>
      <c r="C517" t="s">
        <v>1559</v>
      </c>
      <c r="D517" t="s">
        <v>1465</v>
      </c>
      <c r="E517" t="s">
        <v>1369</v>
      </c>
      <c r="F517" t="s">
        <v>1398</v>
      </c>
      <c r="G517" t="s">
        <v>1569</v>
      </c>
      <c r="H517" t="s">
        <v>2490</v>
      </c>
      <c r="I517" t="s">
        <v>67</v>
      </c>
    </row>
    <row r="518" spans="1:9">
      <c r="A518">
        <v>300953</v>
      </c>
      <c r="B518" t="s">
        <v>1499</v>
      </c>
      <c r="C518" t="s">
        <v>1560</v>
      </c>
      <c r="D518" t="s">
        <v>1465</v>
      </c>
      <c r="E518" t="s">
        <v>1369</v>
      </c>
      <c r="F518" t="s">
        <v>1398</v>
      </c>
      <c r="G518" t="s">
        <v>1569</v>
      </c>
      <c r="H518" t="s">
        <v>2490</v>
      </c>
      <c r="I518" t="s">
        <v>67</v>
      </c>
    </row>
    <row r="519" spans="1:9">
      <c r="A519">
        <v>267966</v>
      </c>
      <c r="B519" t="s">
        <v>1509</v>
      </c>
      <c r="C519" t="s">
        <v>1561</v>
      </c>
      <c r="D519" t="s">
        <v>1465</v>
      </c>
      <c r="E519" t="s">
        <v>1229</v>
      </c>
      <c r="F519" t="s">
        <v>1398</v>
      </c>
      <c r="G519" t="s">
        <v>1569</v>
      </c>
      <c r="H519" t="s">
        <v>2490</v>
      </c>
      <c r="I519" t="s">
        <v>67</v>
      </c>
    </row>
    <row r="520" spans="1:9">
      <c r="A520">
        <v>240780</v>
      </c>
      <c r="B520" t="s">
        <v>1501</v>
      </c>
      <c r="C520" t="s">
        <v>1562</v>
      </c>
      <c r="D520" t="s">
        <v>1465</v>
      </c>
      <c r="E520" t="s">
        <v>1229</v>
      </c>
      <c r="F520" t="s">
        <v>1398</v>
      </c>
      <c r="G520" t="s">
        <v>1569</v>
      </c>
      <c r="H520" t="s">
        <v>2490</v>
      </c>
      <c r="I520" t="s">
        <v>67</v>
      </c>
    </row>
    <row r="521" spans="1:9">
      <c r="A521">
        <v>195108</v>
      </c>
      <c r="B521" t="s">
        <v>1607</v>
      </c>
      <c r="C521" t="s">
        <v>1608</v>
      </c>
      <c r="D521" t="s">
        <v>1465</v>
      </c>
      <c r="E521" t="s">
        <v>1289</v>
      </c>
      <c r="F521" t="s">
        <v>1398</v>
      </c>
      <c r="G521" t="s">
        <v>1569</v>
      </c>
      <c r="H521" t="s">
        <v>2490</v>
      </c>
      <c r="I521" t="s">
        <v>67</v>
      </c>
    </row>
    <row r="522" spans="1:9">
      <c r="A522">
        <v>325644</v>
      </c>
      <c r="B522" t="s">
        <v>1609</v>
      </c>
      <c r="C522" t="s">
        <v>1610</v>
      </c>
      <c r="D522" t="s">
        <v>1465</v>
      </c>
      <c r="E522" t="s">
        <v>1289</v>
      </c>
      <c r="F522" t="s">
        <v>1398</v>
      </c>
      <c r="G522" t="s">
        <v>1569</v>
      </c>
      <c r="H522" t="s">
        <v>2490</v>
      </c>
      <c r="I522" t="s">
        <v>67</v>
      </c>
    </row>
    <row r="523" spans="1:9">
      <c r="A523">
        <v>325717</v>
      </c>
      <c r="B523" t="s">
        <v>1611</v>
      </c>
      <c r="C523" t="s">
        <v>1612</v>
      </c>
      <c r="D523" t="s">
        <v>1465</v>
      </c>
      <c r="E523" t="s">
        <v>588</v>
      </c>
      <c r="F523" t="s">
        <v>1398</v>
      </c>
      <c r="G523" t="s">
        <v>1569</v>
      </c>
      <c r="H523" t="s">
        <v>2490</v>
      </c>
      <c r="I523" t="s">
        <v>67</v>
      </c>
    </row>
    <row r="524" spans="1:9">
      <c r="A524">
        <v>325847</v>
      </c>
      <c r="B524" t="s">
        <v>1615</v>
      </c>
      <c r="C524" t="s">
        <v>1616</v>
      </c>
      <c r="D524" t="s">
        <v>1465</v>
      </c>
      <c r="E524" t="s">
        <v>1092</v>
      </c>
      <c r="F524" t="s">
        <v>1398</v>
      </c>
      <c r="G524" t="s">
        <v>1569</v>
      </c>
      <c r="H524" t="s">
        <v>2490</v>
      </c>
      <c r="I524" t="s">
        <v>67</v>
      </c>
    </row>
    <row r="525" spans="1:9">
      <c r="A525">
        <v>326289</v>
      </c>
      <c r="B525" t="s">
        <v>1617</v>
      </c>
      <c r="C525" t="s">
        <v>1618</v>
      </c>
      <c r="D525" t="s">
        <v>1465</v>
      </c>
      <c r="E525" t="s">
        <v>1092</v>
      </c>
      <c r="F525" t="s">
        <v>1398</v>
      </c>
      <c r="G525" t="s">
        <v>1569</v>
      </c>
      <c r="H525" t="s">
        <v>2490</v>
      </c>
      <c r="I525" t="s">
        <v>67</v>
      </c>
    </row>
    <row r="526" spans="1:9">
      <c r="A526">
        <v>312997</v>
      </c>
      <c r="B526" t="s">
        <v>1619</v>
      </c>
      <c r="C526" t="s">
        <v>1620</v>
      </c>
      <c r="D526" t="s">
        <v>1465</v>
      </c>
      <c r="E526" t="s">
        <v>478</v>
      </c>
      <c r="F526" t="s">
        <v>1398</v>
      </c>
      <c r="G526" t="s">
        <v>1569</v>
      </c>
      <c r="H526" t="s">
        <v>2490</v>
      </c>
      <c r="I526" t="s">
        <v>67</v>
      </c>
    </row>
    <row r="527" spans="1:9">
      <c r="A527">
        <v>325722</v>
      </c>
      <c r="B527" t="s">
        <v>1621</v>
      </c>
      <c r="C527" t="s">
        <v>1622</v>
      </c>
      <c r="D527" t="s">
        <v>1465</v>
      </c>
      <c r="E527" t="s">
        <v>478</v>
      </c>
      <c r="F527" t="s">
        <v>1398</v>
      </c>
      <c r="G527" t="s">
        <v>1569</v>
      </c>
      <c r="H527" t="s">
        <v>2490</v>
      </c>
      <c r="I527" t="s">
        <v>67</v>
      </c>
    </row>
    <row r="528" spans="1:9">
      <c r="A528">
        <v>325781</v>
      </c>
      <c r="B528" t="s">
        <v>1623</v>
      </c>
      <c r="C528" t="s">
        <v>1839</v>
      </c>
      <c r="D528" t="s">
        <v>1465</v>
      </c>
      <c r="E528" t="s">
        <v>1369</v>
      </c>
      <c r="F528" t="s">
        <v>1398</v>
      </c>
      <c r="G528" t="s">
        <v>1569</v>
      </c>
      <c r="H528" t="s">
        <v>2490</v>
      </c>
      <c r="I528" t="s">
        <v>67</v>
      </c>
    </row>
    <row r="529" spans="1:9">
      <c r="A529">
        <v>325855</v>
      </c>
      <c r="B529" t="s">
        <v>1624</v>
      </c>
      <c r="C529" t="s">
        <v>1625</v>
      </c>
      <c r="D529" t="s">
        <v>1465</v>
      </c>
      <c r="E529" t="s">
        <v>1369</v>
      </c>
      <c r="F529" t="s">
        <v>1398</v>
      </c>
      <c r="G529" t="s">
        <v>1569</v>
      </c>
      <c r="H529" t="s">
        <v>2490</v>
      </c>
      <c r="I529" t="s">
        <v>67</v>
      </c>
    </row>
    <row r="530" spans="1:9">
      <c r="A530">
        <v>325925</v>
      </c>
      <c r="B530" t="s">
        <v>1626</v>
      </c>
      <c r="C530" t="s">
        <v>1627</v>
      </c>
      <c r="D530" t="s">
        <v>1465</v>
      </c>
      <c r="E530" t="s">
        <v>1369</v>
      </c>
      <c r="F530" t="s">
        <v>1398</v>
      </c>
      <c r="G530" t="s">
        <v>1569</v>
      </c>
      <c r="H530" t="s">
        <v>2490</v>
      </c>
      <c r="I530" t="s">
        <v>67</v>
      </c>
    </row>
    <row r="531" spans="1:9">
      <c r="A531">
        <v>325645</v>
      </c>
      <c r="B531" t="s">
        <v>1628</v>
      </c>
      <c r="C531" t="s">
        <v>1629</v>
      </c>
      <c r="D531" t="s">
        <v>1465</v>
      </c>
      <c r="E531" t="s">
        <v>1369</v>
      </c>
      <c r="F531" t="s">
        <v>1398</v>
      </c>
      <c r="G531" t="s">
        <v>1569</v>
      </c>
      <c r="H531" t="s">
        <v>2490</v>
      </c>
      <c r="I531" t="s">
        <v>67</v>
      </c>
    </row>
    <row r="532" spans="1:9">
      <c r="A532">
        <v>325782</v>
      </c>
      <c r="B532" t="s">
        <v>1630</v>
      </c>
      <c r="C532" t="s">
        <v>1631</v>
      </c>
      <c r="D532" t="s">
        <v>1465</v>
      </c>
      <c r="E532" t="s">
        <v>1229</v>
      </c>
      <c r="F532" t="s">
        <v>1398</v>
      </c>
      <c r="G532" t="s">
        <v>1569</v>
      </c>
      <c r="H532" t="s">
        <v>2490</v>
      </c>
      <c r="I532" t="s">
        <v>67</v>
      </c>
    </row>
    <row r="533" spans="1:9">
      <c r="A533">
        <v>325790</v>
      </c>
      <c r="B533" t="s">
        <v>1632</v>
      </c>
      <c r="C533" t="s">
        <v>1633</v>
      </c>
      <c r="D533" t="s">
        <v>1465</v>
      </c>
      <c r="E533" t="s">
        <v>1229</v>
      </c>
      <c r="F533" t="s">
        <v>1398</v>
      </c>
      <c r="G533" t="s">
        <v>1569</v>
      </c>
      <c r="H533" t="s">
        <v>2490</v>
      </c>
      <c r="I533" t="s">
        <v>67</v>
      </c>
    </row>
    <row r="534" spans="1:9">
      <c r="A534">
        <v>326035</v>
      </c>
      <c r="B534" t="s">
        <v>1634</v>
      </c>
      <c r="C534" t="s">
        <v>1635</v>
      </c>
      <c r="D534" t="s">
        <v>1465</v>
      </c>
      <c r="E534" t="s">
        <v>1229</v>
      </c>
      <c r="F534" t="s">
        <v>1398</v>
      </c>
      <c r="G534" t="s">
        <v>1569</v>
      </c>
      <c r="H534" t="s">
        <v>2490</v>
      </c>
      <c r="I534" t="s">
        <v>67</v>
      </c>
    </row>
    <row r="535" spans="1:9">
      <c r="A535">
        <v>276034</v>
      </c>
      <c r="B535" t="s">
        <v>1636</v>
      </c>
      <c r="C535" t="s">
        <v>1637</v>
      </c>
      <c r="D535" t="s">
        <v>1465</v>
      </c>
      <c r="E535" t="s">
        <v>2491</v>
      </c>
      <c r="F535" t="s">
        <v>610</v>
      </c>
      <c r="G535" t="s">
        <v>1574</v>
      </c>
      <c r="H535" t="s">
        <v>2490</v>
      </c>
      <c r="I535" t="s">
        <v>65</v>
      </c>
    </row>
    <row r="536" spans="1:9">
      <c r="A536">
        <v>325656</v>
      </c>
      <c r="B536" t="s">
        <v>1638</v>
      </c>
      <c r="C536" t="s">
        <v>1639</v>
      </c>
      <c r="D536" t="s">
        <v>1465</v>
      </c>
      <c r="E536" t="s">
        <v>514</v>
      </c>
      <c r="F536" t="s">
        <v>610</v>
      </c>
      <c r="G536" t="s">
        <v>1574</v>
      </c>
      <c r="H536" t="s">
        <v>2490</v>
      </c>
      <c r="I536" t="s">
        <v>65</v>
      </c>
    </row>
    <row r="537" spans="1:9">
      <c r="A537">
        <v>325670</v>
      </c>
      <c r="B537" t="s">
        <v>1640</v>
      </c>
      <c r="C537" t="s">
        <v>1641</v>
      </c>
      <c r="D537" t="s">
        <v>1465</v>
      </c>
      <c r="E537" t="s">
        <v>2491</v>
      </c>
      <c r="F537" t="s">
        <v>610</v>
      </c>
      <c r="G537" t="s">
        <v>1574</v>
      </c>
      <c r="H537" t="s">
        <v>2490</v>
      </c>
      <c r="I537" t="s">
        <v>65</v>
      </c>
    </row>
    <row r="538" spans="1:9">
      <c r="A538">
        <v>325875</v>
      </c>
      <c r="B538" t="s">
        <v>1642</v>
      </c>
      <c r="C538" t="s">
        <v>1643</v>
      </c>
      <c r="D538" t="s">
        <v>1465</v>
      </c>
      <c r="E538" t="s">
        <v>514</v>
      </c>
      <c r="F538" t="s">
        <v>610</v>
      </c>
      <c r="G538" t="s">
        <v>1574</v>
      </c>
      <c r="H538" t="s">
        <v>2490</v>
      </c>
      <c r="I538" t="s">
        <v>65</v>
      </c>
    </row>
    <row r="539" spans="1:9">
      <c r="A539">
        <v>325896</v>
      </c>
      <c r="B539" t="s">
        <v>1644</v>
      </c>
      <c r="C539" t="s">
        <v>1645</v>
      </c>
      <c r="D539" t="s">
        <v>1465</v>
      </c>
      <c r="E539" t="s">
        <v>2491</v>
      </c>
      <c r="F539" t="s">
        <v>610</v>
      </c>
      <c r="G539" t="s">
        <v>1574</v>
      </c>
      <c r="H539" t="s">
        <v>2490</v>
      </c>
      <c r="I539" t="s">
        <v>65</v>
      </c>
    </row>
    <row r="540" spans="1:9">
      <c r="A540">
        <v>325865</v>
      </c>
      <c r="B540" t="s">
        <v>1646</v>
      </c>
      <c r="C540" t="s">
        <v>1647</v>
      </c>
      <c r="D540" t="s">
        <v>1465</v>
      </c>
      <c r="E540" t="s">
        <v>514</v>
      </c>
      <c r="F540" t="s">
        <v>610</v>
      </c>
      <c r="G540" t="s">
        <v>1574</v>
      </c>
      <c r="H540" t="s">
        <v>2490</v>
      </c>
      <c r="I540" t="s">
        <v>65</v>
      </c>
    </row>
    <row r="541" spans="1:9">
      <c r="A541">
        <v>325631</v>
      </c>
      <c r="B541" t="s">
        <v>1648</v>
      </c>
      <c r="C541" t="s">
        <v>1649</v>
      </c>
      <c r="D541" t="s">
        <v>1465</v>
      </c>
      <c r="E541" t="s">
        <v>801</v>
      </c>
      <c r="F541" t="s">
        <v>1405</v>
      </c>
      <c r="G541" t="s">
        <v>1574</v>
      </c>
      <c r="H541" t="s">
        <v>2490</v>
      </c>
      <c r="I541" t="s">
        <v>65</v>
      </c>
    </row>
    <row r="542" spans="1:9">
      <c r="A542">
        <v>326018</v>
      </c>
      <c r="B542" t="s">
        <v>1650</v>
      </c>
      <c r="C542" t="s">
        <v>1651</v>
      </c>
      <c r="D542" t="s">
        <v>1465</v>
      </c>
      <c r="E542" t="s">
        <v>801</v>
      </c>
      <c r="F542" t="s">
        <v>1405</v>
      </c>
      <c r="G542" t="s">
        <v>1574</v>
      </c>
      <c r="H542" t="s">
        <v>2490</v>
      </c>
      <c r="I542" t="s">
        <v>65</v>
      </c>
    </row>
    <row r="543" spans="1:9">
      <c r="A543">
        <v>326031</v>
      </c>
      <c r="B543" t="s">
        <v>1652</v>
      </c>
      <c r="C543" t="s">
        <v>1653</v>
      </c>
      <c r="D543" t="s">
        <v>1465</v>
      </c>
      <c r="E543" t="s">
        <v>801</v>
      </c>
      <c r="F543" t="s">
        <v>1405</v>
      </c>
      <c r="G543" t="s">
        <v>1574</v>
      </c>
      <c r="H543" t="s">
        <v>2490</v>
      </c>
      <c r="I543" t="s">
        <v>65</v>
      </c>
    </row>
    <row r="544" spans="1:9">
      <c r="A544">
        <v>326259</v>
      </c>
      <c r="B544" t="s">
        <v>1654</v>
      </c>
      <c r="C544" t="s">
        <v>1655</v>
      </c>
      <c r="D544" t="s">
        <v>1465</v>
      </c>
      <c r="E544" t="s">
        <v>1082</v>
      </c>
      <c r="F544" t="s">
        <v>1402</v>
      </c>
      <c r="G544" t="s">
        <v>1565</v>
      </c>
      <c r="H544" t="s">
        <v>2490</v>
      </c>
      <c r="I544" t="s">
        <v>58</v>
      </c>
    </row>
    <row r="545" spans="1:9">
      <c r="A545">
        <v>325689</v>
      </c>
      <c r="B545" t="s">
        <v>1656</v>
      </c>
      <c r="C545" t="s">
        <v>1657</v>
      </c>
      <c r="D545" t="s">
        <v>1465</v>
      </c>
      <c r="E545" t="s">
        <v>588</v>
      </c>
      <c r="F545" t="s">
        <v>1398</v>
      </c>
      <c r="G545" t="s">
        <v>1569</v>
      </c>
      <c r="H545" t="s">
        <v>2490</v>
      </c>
      <c r="I545" t="s">
        <v>67</v>
      </c>
    </row>
    <row r="546" spans="1:9">
      <c r="A546">
        <v>325727</v>
      </c>
      <c r="B546" t="s">
        <v>1658</v>
      </c>
      <c r="C546" t="s">
        <v>1659</v>
      </c>
      <c r="D546" t="s">
        <v>1465</v>
      </c>
      <c r="E546" t="s">
        <v>1207</v>
      </c>
      <c r="F546" t="s">
        <v>1405</v>
      </c>
      <c r="G546" t="s">
        <v>1574</v>
      </c>
      <c r="H546" t="s">
        <v>2490</v>
      </c>
      <c r="I546" t="s">
        <v>65</v>
      </c>
    </row>
    <row r="547" spans="1:9">
      <c r="A547">
        <v>325867</v>
      </c>
      <c r="B547" t="s">
        <v>1660</v>
      </c>
      <c r="C547" t="s">
        <v>1661</v>
      </c>
      <c r="D547" t="s">
        <v>1465</v>
      </c>
      <c r="E547" t="s">
        <v>648</v>
      </c>
      <c r="F547" t="s">
        <v>1402</v>
      </c>
      <c r="G547" t="s">
        <v>1565</v>
      </c>
      <c r="H547" t="s">
        <v>2490</v>
      </c>
      <c r="I547" t="s">
        <v>58</v>
      </c>
    </row>
    <row r="548" spans="1:9">
      <c r="A548">
        <v>325891</v>
      </c>
      <c r="B548" t="s">
        <v>1662</v>
      </c>
      <c r="C548" t="s">
        <v>1663</v>
      </c>
      <c r="D548" t="s">
        <v>1465</v>
      </c>
      <c r="E548" t="s">
        <v>514</v>
      </c>
      <c r="F548" t="s">
        <v>610</v>
      </c>
      <c r="G548" t="s">
        <v>1574</v>
      </c>
      <c r="H548" t="s">
        <v>2490</v>
      </c>
      <c r="I548" t="s">
        <v>65</v>
      </c>
    </row>
    <row r="549" spans="1:9">
      <c r="A549">
        <v>326039</v>
      </c>
      <c r="B549" t="s">
        <v>1664</v>
      </c>
      <c r="C549" t="s">
        <v>1665</v>
      </c>
      <c r="D549" t="s">
        <v>1465</v>
      </c>
      <c r="E549" t="s">
        <v>1207</v>
      </c>
      <c r="F549" t="s">
        <v>1405</v>
      </c>
      <c r="G549" t="s">
        <v>1574</v>
      </c>
      <c r="H549" t="s">
        <v>2490</v>
      </c>
      <c r="I549" t="s">
        <v>65</v>
      </c>
    </row>
    <row r="550" spans="1:9">
      <c r="A550">
        <v>325868</v>
      </c>
      <c r="B550" t="s">
        <v>1668</v>
      </c>
      <c r="C550" t="s">
        <v>1669</v>
      </c>
      <c r="D550" t="s">
        <v>1465</v>
      </c>
      <c r="E550" t="s">
        <v>961</v>
      </c>
      <c r="F550" t="s">
        <v>1394</v>
      </c>
      <c r="G550" t="s">
        <v>1573</v>
      </c>
      <c r="H550" t="s">
        <v>2490</v>
      </c>
      <c r="I550" t="s">
        <v>59</v>
      </c>
    </row>
    <row r="551" spans="1:9">
      <c r="A551">
        <v>325638</v>
      </c>
      <c r="B551" t="s">
        <v>1670</v>
      </c>
      <c r="C551" t="s">
        <v>1671</v>
      </c>
      <c r="D551" t="s">
        <v>1465</v>
      </c>
      <c r="E551" t="s">
        <v>1367</v>
      </c>
      <c r="F551" t="s">
        <v>610</v>
      </c>
      <c r="G551" t="s">
        <v>1574</v>
      </c>
      <c r="H551" t="s">
        <v>2490</v>
      </c>
      <c r="I551" t="s">
        <v>65</v>
      </c>
    </row>
    <row r="552" spans="1:9">
      <c r="A552">
        <v>325778</v>
      </c>
      <c r="B552" t="s">
        <v>1672</v>
      </c>
      <c r="C552" t="s">
        <v>1104</v>
      </c>
      <c r="D552" t="s">
        <v>1465</v>
      </c>
      <c r="E552" t="s">
        <v>1082</v>
      </c>
      <c r="F552" t="s">
        <v>1402</v>
      </c>
      <c r="G552" t="s">
        <v>1565</v>
      </c>
      <c r="H552" t="s">
        <v>2490</v>
      </c>
      <c r="I552" t="s">
        <v>58</v>
      </c>
    </row>
    <row r="553" spans="1:9">
      <c r="A553">
        <v>326017</v>
      </c>
      <c r="B553" t="s">
        <v>1673</v>
      </c>
      <c r="C553" t="s">
        <v>1674</v>
      </c>
      <c r="D553" t="s">
        <v>1465</v>
      </c>
      <c r="E553" t="s">
        <v>648</v>
      </c>
      <c r="F553" t="s">
        <v>1402</v>
      </c>
      <c r="G553" t="s">
        <v>1565</v>
      </c>
      <c r="H553" t="s">
        <v>2490</v>
      </c>
      <c r="I553" t="s">
        <v>58</v>
      </c>
    </row>
    <row r="554" spans="1:9">
      <c r="A554">
        <v>325930</v>
      </c>
      <c r="B554" t="s">
        <v>1675</v>
      </c>
      <c r="C554" t="s">
        <v>1676</v>
      </c>
      <c r="D554" t="s">
        <v>1465</v>
      </c>
      <c r="E554" t="s">
        <v>1367</v>
      </c>
      <c r="F554" t="s">
        <v>610</v>
      </c>
      <c r="G554" t="s">
        <v>1574</v>
      </c>
      <c r="H554" t="s">
        <v>2490</v>
      </c>
      <c r="I554" t="s">
        <v>65</v>
      </c>
    </row>
    <row r="555" spans="1:9">
      <c r="A555">
        <v>326000</v>
      </c>
      <c r="B555" t="s">
        <v>1677</v>
      </c>
      <c r="C555" t="s">
        <v>1678</v>
      </c>
      <c r="D555" t="s">
        <v>1465</v>
      </c>
      <c r="E555" t="s">
        <v>648</v>
      </c>
      <c r="F555" t="s">
        <v>1402</v>
      </c>
      <c r="G555" t="s">
        <v>1565</v>
      </c>
      <c r="H555" t="s">
        <v>2490</v>
      </c>
      <c r="I555" t="s">
        <v>58</v>
      </c>
    </row>
    <row r="556" spans="1:9">
      <c r="A556">
        <v>326006</v>
      </c>
      <c r="B556" t="s">
        <v>1679</v>
      </c>
      <c r="C556" t="s">
        <v>1680</v>
      </c>
      <c r="D556" t="s">
        <v>1465</v>
      </c>
      <c r="E556" t="s">
        <v>1367</v>
      </c>
      <c r="F556" t="s">
        <v>610</v>
      </c>
      <c r="G556" t="s">
        <v>1574</v>
      </c>
      <c r="H556" t="s">
        <v>2490</v>
      </c>
      <c r="I556" t="s">
        <v>65</v>
      </c>
    </row>
    <row r="557" spans="1:9">
      <c r="A557">
        <v>325642</v>
      </c>
      <c r="B557" t="s">
        <v>1681</v>
      </c>
      <c r="C557" t="s">
        <v>1682</v>
      </c>
      <c r="D557" t="s">
        <v>1465</v>
      </c>
      <c r="E557" t="s">
        <v>514</v>
      </c>
      <c r="F557" t="s">
        <v>610</v>
      </c>
      <c r="G557" t="s">
        <v>1574</v>
      </c>
      <c r="H557" t="s">
        <v>2490</v>
      </c>
      <c r="I557" t="s">
        <v>65</v>
      </c>
    </row>
    <row r="558" spans="1:9">
      <c r="A558">
        <v>325933</v>
      </c>
      <c r="B558" t="s">
        <v>1683</v>
      </c>
      <c r="C558" t="s">
        <v>1684</v>
      </c>
      <c r="D558" t="s">
        <v>1465</v>
      </c>
      <c r="E558" t="s">
        <v>514</v>
      </c>
      <c r="F558" t="s">
        <v>610</v>
      </c>
      <c r="G558" t="s">
        <v>1574</v>
      </c>
      <c r="H558" t="s">
        <v>2490</v>
      </c>
      <c r="I558" t="s">
        <v>65</v>
      </c>
    </row>
    <row r="559" spans="1:9">
      <c r="A559">
        <v>325898</v>
      </c>
      <c r="B559" t="s">
        <v>1685</v>
      </c>
      <c r="C559" t="s">
        <v>1686</v>
      </c>
      <c r="D559" t="s">
        <v>1465</v>
      </c>
      <c r="E559" t="s">
        <v>514</v>
      </c>
      <c r="F559" t="s">
        <v>610</v>
      </c>
      <c r="G559" t="s">
        <v>1574</v>
      </c>
      <c r="H559" t="s">
        <v>2490</v>
      </c>
      <c r="I559" t="s">
        <v>65</v>
      </c>
    </row>
    <row r="560" spans="1:9">
      <c r="A560">
        <v>325873</v>
      </c>
      <c r="B560" t="s">
        <v>1687</v>
      </c>
      <c r="C560" t="s">
        <v>1688</v>
      </c>
      <c r="D560" t="s">
        <v>1465</v>
      </c>
      <c r="E560" t="s">
        <v>514</v>
      </c>
      <c r="F560" t="s">
        <v>610</v>
      </c>
      <c r="G560" t="s">
        <v>1574</v>
      </c>
      <c r="H560" t="s">
        <v>2490</v>
      </c>
      <c r="I560" t="s">
        <v>65</v>
      </c>
    </row>
    <row r="561" spans="1:9">
      <c r="A561">
        <v>325623</v>
      </c>
      <c r="B561" t="s">
        <v>1689</v>
      </c>
      <c r="C561" t="s">
        <v>1690</v>
      </c>
      <c r="D561" t="s">
        <v>1465</v>
      </c>
      <c r="E561" t="s">
        <v>1361</v>
      </c>
      <c r="F561" t="s">
        <v>1405</v>
      </c>
      <c r="G561" t="s">
        <v>1574</v>
      </c>
      <c r="H561" t="s">
        <v>2490</v>
      </c>
      <c r="I561" t="s">
        <v>65</v>
      </c>
    </row>
    <row r="562" spans="1:9">
      <c r="A562">
        <v>240460</v>
      </c>
      <c r="B562" t="s">
        <v>1691</v>
      </c>
      <c r="C562" t="s">
        <v>1840</v>
      </c>
      <c r="D562" t="s">
        <v>1465</v>
      </c>
      <c r="E562" t="s">
        <v>700</v>
      </c>
      <c r="F562" t="s">
        <v>1394</v>
      </c>
      <c r="G562" t="s">
        <v>1573</v>
      </c>
      <c r="H562" t="s">
        <v>2490</v>
      </c>
      <c r="I562" t="s">
        <v>59</v>
      </c>
    </row>
    <row r="563" spans="1:9">
      <c r="A563">
        <v>325845</v>
      </c>
      <c r="B563" t="s">
        <v>1692</v>
      </c>
      <c r="C563" t="s">
        <v>1693</v>
      </c>
      <c r="D563" t="s">
        <v>1465</v>
      </c>
      <c r="E563" t="s">
        <v>1082</v>
      </c>
      <c r="F563" t="s">
        <v>1402</v>
      </c>
      <c r="G563" t="s">
        <v>1565</v>
      </c>
      <c r="H563" t="s">
        <v>2490</v>
      </c>
      <c r="I563" t="s">
        <v>58</v>
      </c>
    </row>
    <row r="564" spans="1:9">
      <c r="A564">
        <v>326313</v>
      </c>
      <c r="B564" t="s">
        <v>1694</v>
      </c>
      <c r="C564" t="s">
        <v>1695</v>
      </c>
      <c r="D564" t="s">
        <v>1465</v>
      </c>
      <c r="E564" t="s">
        <v>1223</v>
      </c>
      <c r="F564" t="s">
        <v>1399</v>
      </c>
      <c r="G564" t="s">
        <v>1576</v>
      </c>
      <c r="H564" t="s">
        <v>2490</v>
      </c>
      <c r="I564" t="s">
        <v>66</v>
      </c>
    </row>
    <row r="565" spans="1:9">
      <c r="A565">
        <v>326257</v>
      </c>
      <c r="B565" t="s">
        <v>1696</v>
      </c>
      <c r="C565" t="s">
        <v>1697</v>
      </c>
      <c r="D565" t="s">
        <v>1465</v>
      </c>
      <c r="E565" t="s">
        <v>514</v>
      </c>
      <c r="F565" t="s">
        <v>610</v>
      </c>
      <c r="G565" t="s">
        <v>1574</v>
      </c>
      <c r="H565" t="s">
        <v>2490</v>
      </c>
      <c r="I565" t="s">
        <v>65</v>
      </c>
    </row>
    <row r="566" spans="1:9">
      <c r="A566">
        <v>326288</v>
      </c>
      <c r="B566" t="s">
        <v>1698</v>
      </c>
      <c r="C566" t="s">
        <v>1699</v>
      </c>
      <c r="D566" t="s">
        <v>1465</v>
      </c>
      <c r="E566" t="s">
        <v>588</v>
      </c>
      <c r="F566" t="s">
        <v>1398</v>
      </c>
      <c r="G566" t="s">
        <v>1569</v>
      </c>
      <c r="H566" t="s">
        <v>2490</v>
      </c>
      <c r="I566" t="s">
        <v>67</v>
      </c>
    </row>
    <row r="567" spans="1:9">
      <c r="A567">
        <v>326535</v>
      </c>
      <c r="B567" t="s">
        <v>1601</v>
      </c>
      <c r="C567" t="s">
        <v>1602</v>
      </c>
      <c r="D567" t="s">
        <v>1465</v>
      </c>
      <c r="E567" t="s">
        <v>2492</v>
      </c>
      <c r="F567" t="s">
        <v>1399</v>
      </c>
      <c r="G567" t="s">
        <v>1570</v>
      </c>
      <c r="H567" t="s">
        <v>2490</v>
      </c>
      <c r="I567" t="s">
        <v>62</v>
      </c>
    </row>
    <row r="568" spans="1:9">
      <c r="A568">
        <v>326531</v>
      </c>
      <c r="B568" t="s">
        <v>1603</v>
      </c>
      <c r="C568" t="s">
        <v>1604</v>
      </c>
      <c r="D568" t="s">
        <v>1465</v>
      </c>
      <c r="E568" t="s">
        <v>604</v>
      </c>
      <c r="F568" t="s">
        <v>1399</v>
      </c>
      <c r="G568" t="s">
        <v>1570</v>
      </c>
      <c r="H568" t="s">
        <v>2490</v>
      </c>
      <c r="I568" t="s">
        <v>62</v>
      </c>
    </row>
    <row r="569" spans="1:9">
      <c r="A569">
        <v>326663</v>
      </c>
      <c r="B569" t="s">
        <v>1700</v>
      </c>
      <c r="C569" t="s">
        <v>1701</v>
      </c>
      <c r="D569" t="s">
        <v>1465</v>
      </c>
      <c r="E569" t="s">
        <v>478</v>
      </c>
      <c r="F569" t="s">
        <v>1398</v>
      </c>
      <c r="G569" t="s">
        <v>1569</v>
      </c>
      <c r="H569" t="s">
        <v>2490</v>
      </c>
      <c r="I569" t="s">
        <v>67</v>
      </c>
    </row>
    <row r="570" spans="1:9">
      <c r="A570">
        <v>222997</v>
      </c>
      <c r="B570" t="s">
        <v>1702</v>
      </c>
      <c r="C570" t="s">
        <v>1703</v>
      </c>
      <c r="D570" t="s">
        <v>1465</v>
      </c>
      <c r="E570" t="s">
        <v>1367</v>
      </c>
      <c r="F570" t="s">
        <v>610</v>
      </c>
      <c r="G570" t="s">
        <v>1574</v>
      </c>
      <c r="H570" t="s">
        <v>2490</v>
      </c>
      <c r="I570" t="s">
        <v>65</v>
      </c>
    </row>
    <row r="571" spans="1:9">
      <c r="A571">
        <v>263331</v>
      </c>
      <c r="B571" t="s">
        <v>1709</v>
      </c>
      <c r="C571" t="s">
        <v>1710</v>
      </c>
      <c r="D571" t="s">
        <v>1465</v>
      </c>
      <c r="E571" t="s">
        <v>1361</v>
      </c>
      <c r="F571" t="s">
        <v>1405</v>
      </c>
      <c r="G571" t="s">
        <v>1574</v>
      </c>
      <c r="H571" t="s">
        <v>2490</v>
      </c>
      <c r="I571" t="s">
        <v>65</v>
      </c>
    </row>
    <row r="572" spans="1:9">
      <c r="A572">
        <v>328350</v>
      </c>
      <c r="B572" t="s">
        <v>1711</v>
      </c>
      <c r="C572" t="s">
        <v>1712</v>
      </c>
      <c r="D572" t="s">
        <v>1465</v>
      </c>
      <c r="E572" t="s">
        <v>1207</v>
      </c>
      <c r="F572" t="s">
        <v>1405</v>
      </c>
      <c r="G572" t="s">
        <v>1574</v>
      </c>
      <c r="H572" t="s">
        <v>2490</v>
      </c>
      <c r="I572" t="s">
        <v>65</v>
      </c>
    </row>
    <row r="573" spans="1:9">
      <c r="A573">
        <v>328360</v>
      </c>
      <c r="B573" t="s">
        <v>1713</v>
      </c>
      <c r="C573" t="s">
        <v>1714</v>
      </c>
      <c r="D573" t="s">
        <v>1465</v>
      </c>
      <c r="E573" t="s">
        <v>1207</v>
      </c>
      <c r="F573" t="s">
        <v>1405</v>
      </c>
      <c r="G573" t="s">
        <v>1574</v>
      </c>
      <c r="H573" t="s">
        <v>2490</v>
      </c>
      <c r="I573" t="s">
        <v>65</v>
      </c>
    </row>
    <row r="574" spans="1:9">
      <c r="A574">
        <v>328380</v>
      </c>
      <c r="B574" t="s">
        <v>1715</v>
      </c>
      <c r="C574" t="s">
        <v>1716</v>
      </c>
      <c r="D574" t="s">
        <v>1465</v>
      </c>
      <c r="E574" t="s">
        <v>1207</v>
      </c>
      <c r="F574" t="s">
        <v>1405</v>
      </c>
      <c r="G574" t="s">
        <v>1574</v>
      </c>
      <c r="H574" t="s">
        <v>2490</v>
      </c>
      <c r="I574" t="s">
        <v>65</v>
      </c>
    </row>
    <row r="575" spans="1:9">
      <c r="A575">
        <v>328980</v>
      </c>
      <c r="B575" t="s">
        <v>1717</v>
      </c>
      <c r="C575" t="s">
        <v>1718</v>
      </c>
      <c r="D575" t="s">
        <v>1465</v>
      </c>
      <c r="E575" t="s">
        <v>1207</v>
      </c>
      <c r="F575" t="s">
        <v>1405</v>
      </c>
      <c r="G575" t="s">
        <v>1574</v>
      </c>
      <c r="H575" t="s">
        <v>2490</v>
      </c>
      <c r="I575" t="s">
        <v>65</v>
      </c>
    </row>
    <row r="576" spans="1:9">
      <c r="A576">
        <v>328354</v>
      </c>
      <c r="B576" t="s">
        <v>1719</v>
      </c>
      <c r="C576" t="s">
        <v>1720</v>
      </c>
      <c r="D576" t="s">
        <v>1465</v>
      </c>
      <c r="E576" t="s">
        <v>1092</v>
      </c>
      <c r="F576" t="s">
        <v>1398</v>
      </c>
      <c r="G576" t="s">
        <v>1569</v>
      </c>
      <c r="H576" t="s">
        <v>2490</v>
      </c>
      <c r="I576" t="s">
        <v>67</v>
      </c>
    </row>
    <row r="577" spans="1:9">
      <c r="A577">
        <v>328353</v>
      </c>
      <c r="B577" t="s">
        <v>1721</v>
      </c>
      <c r="C577" t="s">
        <v>947</v>
      </c>
      <c r="D577" t="s">
        <v>1465</v>
      </c>
      <c r="E577" t="s">
        <v>1229</v>
      </c>
      <c r="F577" t="s">
        <v>1398</v>
      </c>
      <c r="G577" t="s">
        <v>1569</v>
      </c>
      <c r="H577" t="s">
        <v>2490</v>
      </c>
      <c r="I577" t="s">
        <v>67</v>
      </c>
    </row>
    <row r="578" spans="1:9">
      <c r="A578">
        <v>328359</v>
      </c>
      <c r="B578" t="s">
        <v>1722</v>
      </c>
      <c r="C578" t="s">
        <v>1723</v>
      </c>
      <c r="D578" t="s">
        <v>1465</v>
      </c>
      <c r="E578" t="s">
        <v>1289</v>
      </c>
      <c r="F578" t="s">
        <v>1398</v>
      </c>
      <c r="G578" t="s">
        <v>1569</v>
      </c>
      <c r="H578" t="s">
        <v>2490</v>
      </c>
      <c r="I578" t="s">
        <v>67</v>
      </c>
    </row>
    <row r="579" spans="1:9">
      <c r="A579">
        <v>328383</v>
      </c>
      <c r="B579" t="s">
        <v>1724</v>
      </c>
      <c r="C579" t="s">
        <v>1725</v>
      </c>
      <c r="D579" t="s">
        <v>1465</v>
      </c>
      <c r="E579" t="s">
        <v>961</v>
      </c>
      <c r="F579" t="s">
        <v>1394</v>
      </c>
      <c r="G579" t="s">
        <v>1573</v>
      </c>
      <c r="H579" t="s">
        <v>2490</v>
      </c>
      <c r="I579" t="s">
        <v>59</v>
      </c>
    </row>
    <row r="580" spans="1:9">
      <c r="A580">
        <v>328729</v>
      </c>
      <c r="B580" t="s">
        <v>1726</v>
      </c>
      <c r="C580" t="s">
        <v>1727</v>
      </c>
      <c r="D580" t="s">
        <v>1465</v>
      </c>
      <c r="E580" t="s">
        <v>1361</v>
      </c>
      <c r="F580" t="s">
        <v>1405</v>
      </c>
      <c r="G580" t="s">
        <v>1574</v>
      </c>
      <c r="H580" t="s">
        <v>2490</v>
      </c>
      <c r="I580" t="s">
        <v>65</v>
      </c>
    </row>
    <row r="581" spans="1:9">
      <c r="A581">
        <v>328731</v>
      </c>
      <c r="B581" t="s">
        <v>1728</v>
      </c>
      <c r="C581" t="s">
        <v>1729</v>
      </c>
      <c r="D581" t="s">
        <v>1465</v>
      </c>
      <c r="E581" t="s">
        <v>1361</v>
      </c>
      <c r="F581" t="s">
        <v>1405</v>
      </c>
      <c r="G581" t="s">
        <v>1574</v>
      </c>
      <c r="H581" t="s">
        <v>2490</v>
      </c>
      <c r="I581" t="s">
        <v>65</v>
      </c>
    </row>
    <row r="582" spans="1:9">
      <c r="A582">
        <v>328704</v>
      </c>
      <c r="B582" t="s">
        <v>1730</v>
      </c>
      <c r="C582" t="s">
        <v>1731</v>
      </c>
      <c r="D582" t="s">
        <v>1465</v>
      </c>
      <c r="E582" t="s">
        <v>1361</v>
      </c>
      <c r="F582" t="s">
        <v>1405</v>
      </c>
      <c r="G582" t="s">
        <v>1574</v>
      </c>
      <c r="H582" t="s">
        <v>2490</v>
      </c>
      <c r="I582" t="s">
        <v>65</v>
      </c>
    </row>
    <row r="583" spans="1:9">
      <c r="A583">
        <v>328661</v>
      </c>
      <c r="B583" t="s">
        <v>1732</v>
      </c>
      <c r="C583" t="s">
        <v>1733</v>
      </c>
      <c r="D583" t="s">
        <v>1465</v>
      </c>
      <c r="E583" t="s">
        <v>1367</v>
      </c>
      <c r="F583" t="s">
        <v>610</v>
      </c>
      <c r="G583" t="s">
        <v>1574</v>
      </c>
      <c r="H583" t="s">
        <v>2490</v>
      </c>
      <c r="I583" t="s">
        <v>65</v>
      </c>
    </row>
    <row r="584" spans="1:9">
      <c r="A584">
        <v>328691</v>
      </c>
      <c r="B584" t="s">
        <v>1734</v>
      </c>
      <c r="C584" t="s">
        <v>1735</v>
      </c>
      <c r="D584" t="s">
        <v>1465</v>
      </c>
      <c r="E584" t="s">
        <v>1367</v>
      </c>
      <c r="F584" t="s">
        <v>610</v>
      </c>
      <c r="G584" t="s">
        <v>1574</v>
      </c>
      <c r="H584" t="s">
        <v>2490</v>
      </c>
      <c r="I584" t="s">
        <v>65</v>
      </c>
    </row>
    <row r="585" spans="1:9">
      <c r="A585">
        <v>328663</v>
      </c>
      <c r="B585" t="s">
        <v>1736</v>
      </c>
      <c r="C585" t="s">
        <v>1737</v>
      </c>
      <c r="D585" t="s">
        <v>1465</v>
      </c>
      <c r="E585" t="s">
        <v>1367</v>
      </c>
      <c r="F585" t="s">
        <v>610</v>
      </c>
      <c r="G585" t="s">
        <v>1574</v>
      </c>
      <c r="H585" t="s">
        <v>2490</v>
      </c>
      <c r="I585" t="s">
        <v>65</v>
      </c>
    </row>
    <row r="586" spans="1:9">
      <c r="A586">
        <v>328683</v>
      </c>
      <c r="B586" t="s">
        <v>1738</v>
      </c>
      <c r="C586" t="s">
        <v>1739</v>
      </c>
      <c r="D586" t="s">
        <v>1465</v>
      </c>
      <c r="E586" t="s">
        <v>478</v>
      </c>
      <c r="F586" t="s">
        <v>1398</v>
      </c>
      <c r="G586" t="s">
        <v>1569</v>
      </c>
      <c r="H586" t="s">
        <v>2490</v>
      </c>
      <c r="I586" t="s">
        <v>67</v>
      </c>
    </row>
    <row r="587" spans="1:9">
      <c r="A587">
        <v>328900</v>
      </c>
      <c r="B587" t="s">
        <v>1740</v>
      </c>
      <c r="C587" t="s">
        <v>1741</v>
      </c>
      <c r="D587" t="s">
        <v>1465</v>
      </c>
      <c r="E587" t="s">
        <v>588</v>
      </c>
      <c r="F587" t="s">
        <v>1398</v>
      </c>
      <c r="G587" t="s">
        <v>1569</v>
      </c>
      <c r="H587" t="s">
        <v>2490</v>
      </c>
      <c r="I587" t="s">
        <v>67</v>
      </c>
    </row>
    <row r="588" spans="1:9">
      <c r="A588">
        <v>328895</v>
      </c>
      <c r="B588" t="s">
        <v>1742</v>
      </c>
      <c r="C588" t="s">
        <v>1743</v>
      </c>
      <c r="D588" t="s">
        <v>1465</v>
      </c>
      <c r="E588" t="s">
        <v>588</v>
      </c>
      <c r="F588" t="s">
        <v>1398</v>
      </c>
      <c r="G588" t="s">
        <v>1569</v>
      </c>
      <c r="H588" t="s">
        <v>2490</v>
      </c>
      <c r="I588" t="s">
        <v>67</v>
      </c>
    </row>
    <row r="589" spans="1:9">
      <c r="A589">
        <v>200851</v>
      </c>
      <c r="B589" t="s">
        <v>1744</v>
      </c>
      <c r="C589" t="s">
        <v>1745</v>
      </c>
      <c r="D589" t="s">
        <v>1465</v>
      </c>
      <c r="E589" t="s">
        <v>1028</v>
      </c>
      <c r="F589" t="s">
        <v>1394</v>
      </c>
      <c r="G589" t="s">
        <v>1573</v>
      </c>
      <c r="H589" t="s">
        <v>2490</v>
      </c>
      <c r="I589" t="s">
        <v>59</v>
      </c>
    </row>
    <row r="590" spans="1:9">
      <c r="A590">
        <v>329208</v>
      </c>
      <c r="B590" t="s">
        <v>1751</v>
      </c>
      <c r="C590" t="s">
        <v>1752</v>
      </c>
      <c r="D590" t="s">
        <v>1465</v>
      </c>
      <c r="E590" t="s">
        <v>1082</v>
      </c>
      <c r="F590" t="s">
        <v>1402</v>
      </c>
      <c r="G590" t="s">
        <v>1565</v>
      </c>
      <c r="H590" t="s">
        <v>2490</v>
      </c>
      <c r="I590" t="s">
        <v>58</v>
      </c>
    </row>
    <row r="591" spans="1:9">
      <c r="A591">
        <v>329203</v>
      </c>
      <c r="B591" t="s">
        <v>1753</v>
      </c>
      <c r="C591" t="s">
        <v>2312</v>
      </c>
      <c r="D591" t="s">
        <v>1465</v>
      </c>
      <c r="E591" t="s">
        <v>1229</v>
      </c>
      <c r="F591" t="s">
        <v>1398</v>
      </c>
      <c r="G591" t="s">
        <v>1569</v>
      </c>
      <c r="H591" t="s">
        <v>2490</v>
      </c>
      <c r="I591" t="s">
        <v>67</v>
      </c>
    </row>
    <row r="592" spans="1:9">
      <c r="A592">
        <v>329211</v>
      </c>
      <c r="B592" t="s">
        <v>1754</v>
      </c>
      <c r="C592" t="s">
        <v>1755</v>
      </c>
      <c r="D592" t="s">
        <v>1465</v>
      </c>
      <c r="E592" t="s">
        <v>1082</v>
      </c>
      <c r="F592" t="s">
        <v>1402</v>
      </c>
      <c r="G592" t="s">
        <v>1565</v>
      </c>
      <c r="H592" t="s">
        <v>2490</v>
      </c>
      <c r="I592" t="s">
        <v>58</v>
      </c>
    </row>
    <row r="593" spans="1:9">
      <c r="A593">
        <v>326509</v>
      </c>
      <c r="B593" t="s">
        <v>1756</v>
      </c>
      <c r="C593" t="s">
        <v>1757</v>
      </c>
      <c r="D593" t="s">
        <v>1465</v>
      </c>
      <c r="E593" t="s">
        <v>1092</v>
      </c>
      <c r="F593" t="s">
        <v>1398</v>
      </c>
      <c r="G593" t="s">
        <v>1569</v>
      </c>
      <c r="H593" t="s">
        <v>2490</v>
      </c>
      <c r="I593" t="s">
        <v>67</v>
      </c>
    </row>
    <row r="594" spans="1:9">
      <c r="A594">
        <v>329182</v>
      </c>
      <c r="B594" t="s">
        <v>1758</v>
      </c>
      <c r="C594" t="s">
        <v>1759</v>
      </c>
      <c r="D594" t="s">
        <v>1465</v>
      </c>
      <c r="E594" t="s">
        <v>648</v>
      </c>
      <c r="F594" t="s">
        <v>1402</v>
      </c>
      <c r="G594" t="s">
        <v>1565</v>
      </c>
      <c r="H594" t="s">
        <v>2490</v>
      </c>
      <c r="I594" t="s">
        <v>58</v>
      </c>
    </row>
    <row r="595" spans="1:9">
      <c r="A595">
        <v>329186</v>
      </c>
      <c r="B595" t="s">
        <v>1760</v>
      </c>
      <c r="C595" t="s">
        <v>1761</v>
      </c>
      <c r="D595" t="s">
        <v>1465</v>
      </c>
      <c r="E595" t="s">
        <v>961</v>
      </c>
      <c r="F595" t="s">
        <v>1394</v>
      </c>
      <c r="G595" t="s">
        <v>1573</v>
      </c>
      <c r="H595" t="s">
        <v>2490</v>
      </c>
      <c r="I595" t="s">
        <v>59</v>
      </c>
    </row>
    <row r="596" spans="1:9">
      <c r="A596">
        <v>329183</v>
      </c>
      <c r="B596" t="s">
        <v>1762</v>
      </c>
      <c r="C596" t="s">
        <v>1763</v>
      </c>
      <c r="D596" t="s">
        <v>1465</v>
      </c>
      <c r="E596" t="s">
        <v>1092</v>
      </c>
      <c r="F596" t="s">
        <v>1398</v>
      </c>
      <c r="G596" t="s">
        <v>1569</v>
      </c>
      <c r="H596" t="s">
        <v>2490</v>
      </c>
      <c r="I596" t="s">
        <v>67</v>
      </c>
    </row>
    <row r="597" spans="1:9">
      <c r="A597">
        <v>329214</v>
      </c>
      <c r="B597" t="s">
        <v>1764</v>
      </c>
      <c r="C597" t="s">
        <v>1765</v>
      </c>
      <c r="D597" t="s">
        <v>1465</v>
      </c>
      <c r="E597" t="s">
        <v>648</v>
      </c>
      <c r="F597" t="s">
        <v>1402</v>
      </c>
      <c r="G597" t="s">
        <v>1565</v>
      </c>
      <c r="H597" t="s">
        <v>2490</v>
      </c>
      <c r="I597" t="s">
        <v>58</v>
      </c>
    </row>
    <row r="598" spans="1:9">
      <c r="A598">
        <v>329226</v>
      </c>
      <c r="B598" t="s">
        <v>1766</v>
      </c>
      <c r="C598" t="s">
        <v>1767</v>
      </c>
      <c r="D598" t="s">
        <v>1465</v>
      </c>
      <c r="E598" t="s">
        <v>1028</v>
      </c>
      <c r="F598" t="s">
        <v>1394</v>
      </c>
      <c r="G598" t="s">
        <v>1573</v>
      </c>
      <c r="H598" t="s">
        <v>2490</v>
      </c>
      <c r="I598" t="s">
        <v>59</v>
      </c>
    </row>
    <row r="599" spans="1:9">
      <c r="A599">
        <v>329207</v>
      </c>
      <c r="B599" t="s">
        <v>1768</v>
      </c>
      <c r="C599" t="s">
        <v>1769</v>
      </c>
      <c r="D599" t="s">
        <v>1465</v>
      </c>
      <c r="E599" t="s">
        <v>1361</v>
      </c>
      <c r="F599" t="s">
        <v>1405</v>
      </c>
      <c r="G599" t="s">
        <v>1574</v>
      </c>
      <c r="H599" t="s">
        <v>2490</v>
      </c>
      <c r="I599" t="s">
        <v>65</v>
      </c>
    </row>
    <row r="600" spans="1:9">
      <c r="A600">
        <v>329215</v>
      </c>
      <c r="B600" t="s">
        <v>1770</v>
      </c>
      <c r="C600" t="s">
        <v>1771</v>
      </c>
      <c r="D600" t="s">
        <v>1465</v>
      </c>
      <c r="E600" t="s">
        <v>1367</v>
      </c>
      <c r="F600" t="s">
        <v>610</v>
      </c>
      <c r="G600" t="s">
        <v>1574</v>
      </c>
      <c r="H600" t="s">
        <v>2490</v>
      </c>
      <c r="I600" t="s">
        <v>65</v>
      </c>
    </row>
    <row r="601" spans="1:9">
      <c r="A601">
        <v>329153</v>
      </c>
      <c r="B601" t="s">
        <v>1772</v>
      </c>
      <c r="C601" t="s">
        <v>1773</v>
      </c>
      <c r="D601" t="s">
        <v>1465</v>
      </c>
      <c r="E601" t="s">
        <v>1207</v>
      </c>
      <c r="F601" t="s">
        <v>1405</v>
      </c>
      <c r="G601" t="s">
        <v>1574</v>
      </c>
      <c r="H601" t="s">
        <v>2490</v>
      </c>
      <c r="I601" t="s">
        <v>65</v>
      </c>
    </row>
    <row r="602" spans="1:9">
      <c r="A602">
        <v>329180</v>
      </c>
      <c r="B602" t="s">
        <v>1774</v>
      </c>
      <c r="C602" t="s">
        <v>1775</v>
      </c>
      <c r="D602" t="s">
        <v>1465</v>
      </c>
      <c r="E602" t="s">
        <v>2491</v>
      </c>
      <c r="F602" t="s">
        <v>610</v>
      </c>
      <c r="G602" t="s">
        <v>1574</v>
      </c>
      <c r="H602" t="s">
        <v>2490</v>
      </c>
      <c r="I602" t="s">
        <v>65</v>
      </c>
    </row>
    <row r="603" spans="1:9">
      <c r="A603">
        <v>329162</v>
      </c>
      <c r="B603" t="s">
        <v>1776</v>
      </c>
      <c r="C603" t="s">
        <v>1777</v>
      </c>
      <c r="D603" t="s">
        <v>1465</v>
      </c>
      <c r="E603" t="s">
        <v>1361</v>
      </c>
      <c r="F603" t="s">
        <v>1405</v>
      </c>
      <c r="G603" t="s">
        <v>1574</v>
      </c>
      <c r="H603" t="s">
        <v>2490</v>
      </c>
      <c r="I603" t="s">
        <v>65</v>
      </c>
    </row>
    <row r="604" spans="1:9">
      <c r="A604">
        <v>329150</v>
      </c>
      <c r="B604" t="s">
        <v>1778</v>
      </c>
      <c r="C604" t="s">
        <v>1779</v>
      </c>
      <c r="D604" t="s">
        <v>1465</v>
      </c>
      <c r="E604" t="s">
        <v>961</v>
      </c>
      <c r="F604" t="s">
        <v>1394</v>
      </c>
      <c r="G604" t="s">
        <v>1573</v>
      </c>
      <c r="H604" t="s">
        <v>2490</v>
      </c>
      <c r="I604" t="s">
        <v>59</v>
      </c>
    </row>
    <row r="605" spans="1:9">
      <c r="A605">
        <v>329178</v>
      </c>
      <c r="B605" t="s">
        <v>1780</v>
      </c>
      <c r="C605" t="s">
        <v>1781</v>
      </c>
      <c r="D605" t="s">
        <v>1465</v>
      </c>
      <c r="E605" t="s">
        <v>1207</v>
      </c>
      <c r="F605" t="s">
        <v>1405</v>
      </c>
      <c r="G605" t="s">
        <v>1574</v>
      </c>
      <c r="H605" t="s">
        <v>2490</v>
      </c>
      <c r="I605" t="s">
        <v>65</v>
      </c>
    </row>
    <row r="606" spans="1:9">
      <c r="A606">
        <v>329179</v>
      </c>
      <c r="B606" t="s">
        <v>1782</v>
      </c>
      <c r="C606" t="s">
        <v>1783</v>
      </c>
      <c r="D606" t="s">
        <v>1465</v>
      </c>
      <c r="E606" t="s">
        <v>801</v>
      </c>
      <c r="F606" t="s">
        <v>1405</v>
      </c>
      <c r="G606" t="s">
        <v>1574</v>
      </c>
      <c r="H606" t="s">
        <v>2490</v>
      </c>
      <c r="I606" t="s">
        <v>65</v>
      </c>
    </row>
    <row r="607" spans="1:9">
      <c r="A607">
        <v>329151</v>
      </c>
      <c r="B607" t="s">
        <v>1784</v>
      </c>
      <c r="C607" t="s">
        <v>1785</v>
      </c>
      <c r="D607" t="s">
        <v>1465</v>
      </c>
      <c r="E607" t="s">
        <v>1207</v>
      </c>
      <c r="F607" t="s">
        <v>1405</v>
      </c>
      <c r="G607" t="s">
        <v>1574</v>
      </c>
      <c r="H607" t="s">
        <v>2490</v>
      </c>
      <c r="I607" t="s">
        <v>65</v>
      </c>
    </row>
    <row r="608" spans="1:9">
      <c r="A608">
        <v>329244</v>
      </c>
      <c r="B608" t="s">
        <v>1786</v>
      </c>
      <c r="C608" t="s">
        <v>1787</v>
      </c>
      <c r="D608" t="s">
        <v>1465</v>
      </c>
      <c r="E608" t="s">
        <v>1367</v>
      </c>
      <c r="F608" t="s">
        <v>610</v>
      </c>
      <c r="G608" t="s">
        <v>1574</v>
      </c>
      <c r="H608" t="s">
        <v>2490</v>
      </c>
      <c r="I608" t="s">
        <v>65</v>
      </c>
    </row>
    <row r="609" spans="1:9">
      <c r="A609">
        <v>329235</v>
      </c>
      <c r="B609" t="s">
        <v>1790</v>
      </c>
      <c r="C609" t="s">
        <v>1791</v>
      </c>
      <c r="D609" t="s">
        <v>1465</v>
      </c>
      <c r="E609" t="s">
        <v>1367</v>
      </c>
      <c r="F609" t="s">
        <v>610</v>
      </c>
      <c r="G609" t="s">
        <v>1574</v>
      </c>
      <c r="H609" t="s">
        <v>2490</v>
      </c>
      <c r="I609" t="s">
        <v>65</v>
      </c>
    </row>
    <row r="610" spans="1:9">
      <c r="A610">
        <v>329239</v>
      </c>
      <c r="B610" t="s">
        <v>1792</v>
      </c>
      <c r="C610" t="s">
        <v>1793</v>
      </c>
      <c r="D610" t="s">
        <v>1465</v>
      </c>
      <c r="E610" t="s">
        <v>478</v>
      </c>
      <c r="F610" t="s">
        <v>1398</v>
      </c>
      <c r="G610" t="s">
        <v>1569</v>
      </c>
      <c r="H610" t="s">
        <v>2490</v>
      </c>
      <c r="I610" t="s">
        <v>67</v>
      </c>
    </row>
    <row r="611" spans="1:9">
      <c r="A611">
        <v>329337</v>
      </c>
      <c r="B611" t="s">
        <v>1794</v>
      </c>
      <c r="C611" t="s">
        <v>1795</v>
      </c>
      <c r="D611" t="s">
        <v>1465</v>
      </c>
      <c r="E611" t="s">
        <v>2491</v>
      </c>
      <c r="F611" t="s">
        <v>610</v>
      </c>
      <c r="G611" t="s">
        <v>1574</v>
      </c>
      <c r="H611" t="s">
        <v>2490</v>
      </c>
      <c r="I611" t="s">
        <v>65</v>
      </c>
    </row>
    <row r="612" spans="1:9">
      <c r="A612">
        <v>329308</v>
      </c>
      <c r="B612" t="s">
        <v>1796</v>
      </c>
      <c r="C612" t="s">
        <v>1797</v>
      </c>
      <c r="D612" t="s">
        <v>1465</v>
      </c>
      <c r="E612" t="s">
        <v>2491</v>
      </c>
      <c r="F612" t="s">
        <v>610</v>
      </c>
      <c r="G612" t="s">
        <v>1574</v>
      </c>
      <c r="H612" t="s">
        <v>2490</v>
      </c>
      <c r="I612" t="s">
        <v>65</v>
      </c>
    </row>
    <row r="613" spans="1:9">
      <c r="A613">
        <v>329309</v>
      </c>
      <c r="B613" t="s">
        <v>1798</v>
      </c>
      <c r="C613" t="s">
        <v>1799</v>
      </c>
      <c r="D613" t="s">
        <v>1465</v>
      </c>
      <c r="E613" t="s">
        <v>2491</v>
      </c>
      <c r="F613" t="s">
        <v>610</v>
      </c>
      <c r="G613" t="s">
        <v>1574</v>
      </c>
      <c r="H613" t="s">
        <v>2490</v>
      </c>
      <c r="I613" t="s">
        <v>65</v>
      </c>
    </row>
    <row r="614" spans="1:9">
      <c r="A614">
        <v>329335</v>
      </c>
      <c r="B614" t="s">
        <v>1800</v>
      </c>
      <c r="C614" t="s">
        <v>1801</v>
      </c>
      <c r="D614" t="s">
        <v>1465</v>
      </c>
      <c r="E614" t="s">
        <v>1367</v>
      </c>
      <c r="F614" t="s">
        <v>610</v>
      </c>
      <c r="G614" t="s">
        <v>1574</v>
      </c>
      <c r="H614" t="s">
        <v>2490</v>
      </c>
      <c r="I614" t="s">
        <v>65</v>
      </c>
    </row>
    <row r="615" spans="1:9">
      <c r="A615">
        <v>329310</v>
      </c>
      <c r="B615" t="s">
        <v>1802</v>
      </c>
      <c r="C615" t="s">
        <v>1803</v>
      </c>
      <c r="D615" t="s">
        <v>1465</v>
      </c>
      <c r="E615" t="s">
        <v>2491</v>
      </c>
      <c r="F615" t="s">
        <v>610</v>
      </c>
      <c r="G615" t="s">
        <v>1574</v>
      </c>
      <c r="H615" t="s">
        <v>2490</v>
      </c>
      <c r="I615" t="s">
        <v>65</v>
      </c>
    </row>
    <row r="616" spans="1:9">
      <c r="A616">
        <v>329327</v>
      </c>
      <c r="B616" t="s">
        <v>1804</v>
      </c>
      <c r="C616" t="s">
        <v>1805</v>
      </c>
      <c r="D616" t="s">
        <v>1465</v>
      </c>
      <c r="E616" t="s">
        <v>801</v>
      </c>
      <c r="F616" t="s">
        <v>1405</v>
      </c>
      <c r="G616" t="s">
        <v>1574</v>
      </c>
      <c r="H616" t="s">
        <v>2490</v>
      </c>
      <c r="I616" t="s">
        <v>65</v>
      </c>
    </row>
    <row r="617" spans="1:9">
      <c r="A617">
        <v>239447</v>
      </c>
      <c r="B617" t="s">
        <v>2298</v>
      </c>
      <c r="C617" t="s">
        <v>2297</v>
      </c>
      <c r="D617" t="s">
        <v>1465</v>
      </c>
      <c r="E617" t="s">
        <v>1289</v>
      </c>
      <c r="F617" t="s">
        <v>1398</v>
      </c>
      <c r="G617" t="s">
        <v>1569</v>
      </c>
      <c r="H617" t="s">
        <v>2490</v>
      </c>
      <c r="I617" t="s">
        <v>67</v>
      </c>
    </row>
    <row r="618" spans="1:9">
      <c r="A618">
        <v>329433</v>
      </c>
      <c r="B618" t="s">
        <v>1806</v>
      </c>
      <c r="C618" t="s">
        <v>1807</v>
      </c>
      <c r="D618" t="s">
        <v>1465</v>
      </c>
      <c r="E618" t="s">
        <v>700</v>
      </c>
      <c r="F618" t="s">
        <v>1394</v>
      </c>
      <c r="G618" t="s">
        <v>1573</v>
      </c>
      <c r="H618" t="s">
        <v>2490</v>
      </c>
      <c r="I618" t="s">
        <v>59</v>
      </c>
    </row>
    <row r="619" spans="1:9">
      <c r="A619">
        <v>329429</v>
      </c>
      <c r="B619" t="s">
        <v>1808</v>
      </c>
      <c r="C619" t="s">
        <v>1809</v>
      </c>
      <c r="D619" t="s">
        <v>1465</v>
      </c>
      <c r="E619" t="s">
        <v>700</v>
      </c>
      <c r="F619" t="s">
        <v>1394</v>
      </c>
      <c r="G619" t="s">
        <v>1573</v>
      </c>
      <c r="H619" t="s">
        <v>2490</v>
      </c>
      <c r="I619" t="s">
        <v>59</v>
      </c>
    </row>
    <row r="620" spans="1:9">
      <c r="A620">
        <v>329449</v>
      </c>
      <c r="B620" t="s">
        <v>1810</v>
      </c>
      <c r="C620" t="s">
        <v>1841</v>
      </c>
      <c r="D620" t="s">
        <v>1465</v>
      </c>
      <c r="E620" t="s">
        <v>1092</v>
      </c>
      <c r="F620" t="s">
        <v>1398</v>
      </c>
      <c r="G620" t="s">
        <v>1569</v>
      </c>
      <c r="H620" t="s">
        <v>2490</v>
      </c>
      <c r="I620" t="s">
        <v>67</v>
      </c>
    </row>
    <row r="621" spans="1:9">
      <c r="A621">
        <v>329425</v>
      </c>
      <c r="B621" t="s">
        <v>1811</v>
      </c>
      <c r="C621" t="s">
        <v>1812</v>
      </c>
      <c r="D621" t="s">
        <v>1465</v>
      </c>
      <c r="E621" t="s">
        <v>1229</v>
      </c>
      <c r="F621" t="s">
        <v>1398</v>
      </c>
      <c r="G621" t="s">
        <v>1569</v>
      </c>
      <c r="H621" t="s">
        <v>2490</v>
      </c>
      <c r="I621" t="s">
        <v>67</v>
      </c>
    </row>
    <row r="622" spans="1:9">
      <c r="A622">
        <v>329302</v>
      </c>
      <c r="B622" t="s">
        <v>1813</v>
      </c>
      <c r="C622" t="s">
        <v>1814</v>
      </c>
      <c r="D622" t="s">
        <v>1465</v>
      </c>
      <c r="E622" t="s">
        <v>2492</v>
      </c>
      <c r="F622" t="s">
        <v>1399</v>
      </c>
      <c r="G622" t="s">
        <v>1570</v>
      </c>
      <c r="H622" t="s">
        <v>2490</v>
      </c>
      <c r="I622" t="s">
        <v>62</v>
      </c>
    </row>
    <row r="623" spans="1:9">
      <c r="A623">
        <v>200768</v>
      </c>
      <c r="B623" t="s">
        <v>1815</v>
      </c>
      <c r="C623" t="s">
        <v>1816</v>
      </c>
      <c r="D623" t="s">
        <v>1465</v>
      </c>
      <c r="E623" t="s">
        <v>1082</v>
      </c>
      <c r="F623" t="s">
        <v>1402</v>
      </c>
      <c r="G623" t="s">
        <v>1565</v>
      </c>
      <c r="H623" t="s">
        <v>2490</v>
      </c>
      <c r="I623" t="s">
        <v>58</v>
      </c>
    </row>
    <row r="624" spans="1:9">
      <c r="A624">
        <v>240246</v>
      </c>
      <c r="B624" t="s">
        <v>1817</v>
      </c>
      <c r="C624" t="s">
        <v>1818</v>
      </c>
      <c r="D624" t="s">
        <v>1465</v>
      </c>
      <c r="E624" t="s">
        <v>801</v>
      </c>
      <c r="F624" t="s">
        <v>1405</v>
      </c>
      <c r="G624" t="s">
        <v>1574</v>
      </c>
      <c r="H624" t="s">
        <v>2490</v>
      </c>
      <c r="I624" t="s">
        <v>65</v>
      </c>
    </row>
    <row r="625" spans="1:9">
      <c r="A625">
        <v>329437</v>
      </c>
      <c r="B625" t="s">
        <v>1819</v>
      </c>
      <c r="C625" t="s">
        <v>1820</v>
      </c>
      <c r="D625" t="s">
        <v>1465</v>
      </c>
      <c r="E625" t="s">
        <v>801</v>
      </c>
      <c r="F625" t="s">
        <v>1405</v>
      </c>
      <c r="G625" t="s">
        <v>1574</v>
      </c>
      <c r="H625" t="s">
        <v>2490</v>
      </c>
      <c r="I625" t="s">
        <v>65</v>
      </c>
    </row>
    <row r="626" spans="1:9">
      <c r="A626">
        <v>329499</v>
      </c>
      <c r="B626" t="s">
        <v>1821</v>
      </c>
      <c r="C626" t="s">
        <v>1822</v>
      </c>
      <c r="D626" t="s">
        <v>1465</v>
      </c>
      <c r="E626" t="s">
        <v>801</v>
      </c>
      <c r="F626" t="s">
        <v>1405</v>
      </c>
      <c r="G626" t="s">
        <v>1574</v>
      </c>
      <c r="H626" t="s">
        <v>2490</v>
      </c>
      <c r="I626" t="s">
        <v>65</v>
      </c>
    </row>
    <row r="627" spans="1:9">
      <c r="A627">
        <v>329474</v>
      </c>
      <c r="B627" t="s">
        <v>1823</v>
      </c>
      <c r="C627" t="s">
        <v>1824</v>
      </c>
      <c r="D627" t="s">
        <v>1465</v>
      </c>
      <c r="E627" t="s">
        <v>801</v>
      </c>
      <c r="F627" t="s">
        <v>1405</v>
      </c>
      <c r="G627" t="s">
        <v>1574</v>
      </c>
      <c r="H627" t="s">
        <v>2490</v>
      </c>
      <c r="I627" t="s">
        <v>65</v>
      </c>
    </row>
    <row r="628" spans="1:9">
      <c r="A628">
        <v>329459</v>
      </c>
      <c r="B628" t="s">
        <v>1825</v>
      </c>
      <c r="C628" t="s">
        <v>1826</v>
      </c>
      <c r="D628" t="s">
        <v>1465</v>
      </c>
      <c r="E628" t="s">
        <v>2491</v>
      </c>
      <c r="F628" t="s">
        <v>610</v>
      </c>
      <c r="G628" t="s">
        <v>1574</v>
      </c>
      <c r="H628" t="s">
        <v>2490</v>
      </c>
      <c r="I628" t="s">
        <v>65</v>
      </c>
    </row>
    <row r="629" spans="1:9">
      <c r="A629">
        <v>329444</v>
      </c>
      <c r="B629" t="s">
        <v>1827</v>
      </c>
      <c r="C629" t="s">
        <v>1828</v>
      </c>
      <c r="D629" t="s">
        <v>1465</v>
      </c>
      <c r="E629" t="s">
        <v>2491</v>
      </c>
      <c r="F629" t="s">
        <v>610</v>
      </c>
      <c r="G629" t="s">
        <v>1574</v>
      </c>
      <c r="H629" t="s">
        <v>2490</v>
      </c>
      <c r="I629" t="s">
        <v>65</v>
      </c>
    </row>
    <row r="630" spans="1:9">
      <c r="A630">
        <v>329619</v>
      </c>
      <c r="B630" t="s">
        <v>1829</v>
      </c>
      <c r="C630" t="s">
        <v>1830</v>
      </c>
      <c r="D630" t="s">
        <v>1465</v>
      </c>
      <c r="E630" t="s">
        <v>514</v>
      </c>
      <c r="F630" t="s">
        <v>610</v>
      </c>
      <c r="G630" t="s">
        <v>1574</v>
      </c>
      <c r="H630" t="s">
        <v>2490</v>
      </c>
      <c r="I630" t="s">
        <v>65</v>
      </c>
    </row>
    <row r="631" spans="1:9">
      <c r="A631">
        <v>322122</v>
      </c>
      <c r="B631" t="s">
        <v>1831</v>
      </c>
      <c r="C631" t="s">
        <v>2296</v>
      </c>
      <c r="D631" t="s">
        <v>1465</v>
      </c>
      <c r="E631" t="s">
        <v>514</v>
      </c>
      <c r="F631" t="s">
        <v>610</v>
      </c>
      <c r="G631" t="s">
        <v>1574</v>
      </c>
      <c r="H631" t="s">
        <v>2490</v>
      </c>
      <c r="I631" t="s">
        <v>65</v>
      </c>
    </row>
    <row r="632" spans="1:9">
      <c r="A632">
        <v>329615</v>
      </c>
      <c r="B632" t="s">
        <v>1832</v>
      </c>
      <c r="C632" t="s">
        <v>1833</v>
      </c>
      <c r="D632" t="s">
        <v>1465</v>
      </c>
      <c r="E632" t="s">
        <v>1229</v>
      </c>
      <c r="F632" t="s">
        <v>1398</v>
      </c>
      <c r="G632" t="s">
        <v>1569</v>
      </c>
      <c r="H632" t="s">
        <v>2490</v>
      </c>
      <c r="I632" t="s">
        <v>67</v>
      </c>
    </row>
    <row r="633" spans="1:9">
      <c r="A633">
        <v>329614</v>
      </c>
      <c r="B633" t="s">
        <v>1834</v>
      </c>
      <c r="C633" t="s">
        <v>1835</v>
      </c>
      <c r="D633" t="s">
        <v>1465</v>
      </c>
      <c r="E633" t="s">
        <v>700</v>
      </c>
      <c r="F633" t="s">
        <v>1394</v>
      </c>
      <c r="G633" t="s">
        <v>1573</v>
      </c>
      <c r="H633" t="s">
        <v>2490</v>
      </c>
      <c r="I633" t="s">
        <v>59</v>
      </c>
    </row>
    <row r="634" spans="1:9">
      <c r="A634">
        <v>329867</v>
      </c>
      <c r="B634" t="s">
        <v>1842</v>
      </c>
      <c r="C634" t="s">
        <v>1843</v>
      </c>
      <c r="D634" t="s">
        <v>1465</v>
      </c>
      <c r="E634" t="s">
        <v>648</v>
      </c>
      <c r="F634" t="s">
        <v>1402</v>
      </c>
      <c r="G634" t="s">
        <v>1565</v>
      </c>
      <c r="H634" t="s">
        <v>2490</v>
      </c>
      <c r="I634" t="s">
        <v>58</v>
      </c>
    </row>
    <row r="635" spans="1:9">
      <c r="A635">
        <v>329871</v>
      </c>
      <c r="B635" t="s">
        <v>1844</v>
      </c>
      <c r="C635" t="s">
        <v>1845</v>
      </c>
      <c r="D635" t="s">
        <v>1465</v>
      </c>
      <c r="E635" t="s">
        <v>700</v>
      </c>
      <c r="F635" t="s">
        <v>1394</v>
      </c>
      <c r="G635" t="s">
        <v>1573</v>
      </c>
      <c r="H635" t="s">
        <v>2490</v>
      </c>
      <c r="I635" t="s">
        <v>59</v>
      </c>
    </row>
    <row r="636" spans="1:9">
      <c r="A636">
        <v>329876</v>
      </c>
      <c r="B636" t="s">
        <v>1846</v>
      </c>
      <c r="C636" t="s">
        <v>1847</v>
      </c>
      <c r="D636" t="s">
        <v>1465</v>
      </c>
      <c r="E636" t="s">
        <v>1361</v>
      </c>
      <c r="F636" t="s">
        <v>1405</v>
      </c>
      <c r="G636" t="s">
        <v>1574</v>
      </c>
      <c r="H636" t="s">
        <v>2490</v>
      </c>
      <c r="I636" t="s">
        <v>65</v>
      </c>
    </row>
    <row r="637" spans="1:9">
      <c r="A637">
        <v>329877</v>
      </c>
      <c r="B637" t="s">
        <v>1848</v>
      </c>
      <c r="C637" t="s">
        <v>1849</v>
      </c>
      <c r="D637" t="s">
        <v>1465</v>
      </c>
      <c r="E637" t="s">
        <v>1361</v>
      </c>
      <c r="F637" t="s">
        <v>1405</v>
      </c>
      <c r="G637" t="s">
        <v>1574</v>
      </c>
      <c r="H637" t="s">
        <v>2490</v>
      </c>
      <c r="I637" t="s">
        <v>65</v>
      </c>
    </row>
    <row r="638" spans="1:9">
      <c r="A638">
        <v>329912</v>
      </c>
      <c r="B638" t="s">
        <v>1850</v>
      </c>
      <c r="C638" t="s">
        <v>1851</v>
      </c>
      <c r="D638" t="s">
        <v>1465</v>
      </c>
      <c r="E638" t="s">
        <v>1361</v>
      </c>
      <c r="F638" t="s">
        <v>1405</v>
      </c>
      <c r="G638" t="s">
        <v>1574</v>
      </c>
      <c r="H638" t="s">
        <v>2490</v>
      </c>
      <c r="I638" t="s">
        <v>65</v>
      </c>
    </row>
    <row r="639" spans="1:9">
      <c r="A639">
        <v>329915</v>
      </c>
      <c r="B639" t="s">
        <v>1852</v>
      </c>
      <c r="C639" t="s">
        <v>1853</v>
      </c>
      <c r="D639" t="s">
        <v>1465</v>
      </c>
      <c r="E639" t="s">
        <v>1361</v>
      </c>
      <c r="F639" t="s">
        <v>1405</v>
      </c>
      <c r="G639" t="s">
        <v>1574</v>
      </c>
      <c r="H639" t="s">
        <v>2490</v>
      </c>
      <c r="I639" t="s">
        <v>65</v>
      </c>
    </row>
    <row r="640" spans="1:9">
      <c r="A640">
        <v>329744</v>
      </c>
      <c r="B640" t="s">
        <v>1854</v>
      </c>
      <c r="C640" t="s">
        <v>1855</v>
      </c>
      <c r="D640" t="s">
        <v>1465</v>
      </c>
      <c r="E640" t="s">
        <v>588</v>
      </c>
      <c r="F640" t="s">
        <v>1398</v>
      </c>
      <c r="G640" t="s">
        <v>1569</v>
      </c>
      <c r="H640" t="s">
        <v>2490</v>
      </c>
      <c r="I640" t="s">
        <v>67</v>
      </c>
    </row>
    <row r="641" spans="1:9">
      <c r="A641">
        <v>329910</v>
      </c>
      <c r="B641" t="s">
        <v>1856</v>
      </c>
      <c r="C641" t="s">
        <v>1857</v>
      </c>
      <c r="D641" t="s">
        <v>1465</v>
      </c>
      <c r="E641" t="s">
        <v>1289</v>
      </c>
      <c r="F641" t="s">
        <v>1398</v>
      </c>
      <c r="G641" t="s">
        <v>1569</v>
      </c>
      <c r="H641" t="s">
        <v>2490</v>
      </c>
      <c r="I641" t="s">
        <v>67</v>
      </c>
    </row>
    <row r="642" spans="1:9">
      <c r="A642">
        <v>330166</v>
      </c>
      <c r="B642" t="s">
        <v>1858</v>
      </c>
      <c r="C642" t="s">
        <v>1859</v>
      </c>
      <c r="D642" t="s">
        <v>1465</v>
      </c>
      <c r="E642" t="s">
        <v>1229</v>
      </c>
      <c r="F642" t="s">
        <v>1398</v>
      </c>
      <c r="G642" t="s">
        <v>1569</v>
      </c>
      <c r="H642" t="s">
        <v>2490</v>
      </c>
      <c r="I642" t="s">
        <v>67</v>
      </c>
    </row>
    <row r="643" spans="1:9">
      <c r="A643">
        <v>330170</v>
      </c>
      <c r="B643" t="s">
        <v>1860</v>
      </c>
      <c r="C643" t="s">
        <v>1861</v>
      </c>
      <c r="D643" t="s">
        <v>1465</v>
      </c>
      <c r="E643" t="s">
        <v>588</v>
      </c>
      <c r="F643" t="s">
        <v>1398</v>
      </c>
      <c r="G643" t="s">
        <v>1569</v>
      </c>
      <c r="H643" t="s">
        <v>2490</v>
      </c>
      <c r="I643" t="s">
        <v>67</v>
      </c>
    </row>
    <row r="644" spans="1:9">
      <c r="A644">
        <v>180437</v>
      </c>
      <c r="B644" t="s">
        <v>1862</v>
      </c>
      <c r="C644" t="s">
        <v>1863</v>
      </c>
      <c r="D644" t="s">
        <v>1465</v>
      </c>
      <c r="E644" t="s">
        <v>514</v>
      </c>
      <c r="F644" t="s">
        <v>610</v>
      </c>
      <c r="G644" t="s">
        <v>1574</v>
      </c>
      <c r="H644" t="s">
        <v>2490</v>
      </c>
      <c r="I644" t="s">
        <v>65</v>
      </c>
    </row>
    <row r="645" spans="1:9">
      <c r="A645">
        <v>330180</v>
      </c>
      <c r="B645" t="s">
        <v>1864</v>
      </c>
      <c r="C645" t="s">
        <v>1865</v>
      </c>
      <c r="D645" t="s">
        <v>1465</v>
      </c>
      <c r="E645" t="s">
        <v>1229</v>
      </c>
      <c r="F645" t="s">
        <v>1398</v>
      </c>
      <c r="G645" t="s">
        <v>1569</v>
      </c>
      <c r="H645" t="s">
        <v>2490</v>
      </c>
      <c r="I645" t="s">
        <v>67</v>
      </c>
    </row>
    <row r="646" spans="1:9">
      <c r="A646">
        <v>330175</v>
      </c>
      <c r="B646" t="s">
        <v>1866</v>
      </c>
      <c r="C646" t="s">
        <v>1867</v>
      </c>
      <c r="D646" t="s">
        <v>1465</v>
      </c>
      <c r="E646" t="s">
        <v>1289</v>
      </c>
      <c r="F646" t="s">
        <v>1398</v>
      </c>
      <c r="G646" t="s">
        <v>1569</v>
      </c>
      <c r="H646" t="s">
        <v>2490</v>
      </c>
      <c r="I646" t="s">
        <v>67</v>
      </c>
    </row>
    <row r="647" spans="1:9">
      <c r="A647">
        <v>330162</v>
      </c>
      <c r="B647" t="s">
        <v>1868</v>
      </c>
      <c r="C647" t="s">
        <v>1869</v>
      </c>
      <c r="D647" t="s">
        <v>1465</v>
      </c>
      <c r="E647" t="s">
        <v>1082</v>
      </c>
      <c r="F647" t="s">
        <v>1402</v>
      </c>
      <c r="G647" t="s">
        <v>1565</v>
      </c>
      <c r="H647" t="s">
        <v>2490</v>
      </c>
      <c r="I647" t="s">
        <v>58</v>
      </c>
    </row>
    <row r="648" spans="1:9">
      <c r="A648">
        <v>330152</v>
      </c>
      <c r="B648" t="s">
        <v>1870</v>
      </c>
      <c r="C648" t="s">
        <v>1871</v>
      </c>
      <c r="D648" t="s">
        <v>1465</v>
      </c>
      <c r="E648" t="s">
        <v>1367</v>
      </c>
      <c r="F648" t="s">
        <v>610</v>
      </c>
      <c r="G648" t="s">
        <v>1574</v>
      </c>
      <c r="H648" t="s">
        <v>2490</v>
      </c>
      <c r="I648" t="s">
        <v>65</v>
      </c>
    </row>
    <row r="649" spans="1:9">
      <c r="A649">
        <v>263327</v>
      </c>
      <c r="B649" t="s">
        <v>1872</v>
      </c>
      <c r="C649" t="s">
        <v>1873</v>
      </c>
      <c r="D649" t="s">
        <v>1465</v>
      </c>
      <c r="E649" t="s">
        <v>1361</v>
      </c>
      <c r="F649" t="s">
        <v>1405</v>
      </c>
      <c r="G649" t="s">
        <v>1574</v>
      </c>
      <c r="H649" t="s">
        <v>2490</v>
      </c>
      <c r="I649" t="s">
        <v>65</v>
      </c>
    </row>
    <row r="650" spans="1:9">
      <c r="A650">
        <v>330349</v>
      </c>
      <c r="B650" t="s">
        <v>1874</v>
      </c>
      <c r="C650" t="s">
        <v>1875</v>
      </c>
      <c r="D650" t="s">
        <v>1465</v>
      </c>
      <c r="E650" t="s">
        <v>1092</v>
      </c>
      <c r="F650" t="s">
        <v>1398</v>
      </c>
      <c r="G650" t="s">
        <v>1569</v>
      </c>
      <c r="H650" t="s">
        <v>2490</v>
      </c>
      <c r="I650" t="s">
        <v>67</v>
      </c>
    </row>
    <row r="651" spans="1:9">
      <c r="A651">
        <v>330203</v>
      </c>
      <c r="B651" t="s">
        <v>1876</v>
      </c>
      <c r="C651" t="s">
        <v>1877</v>
      </c>
      <c r="D651" t="s">
        <v>1465</v>
      </c>
      <c r="E651" t="s">
        <v>648</v>
      </c>
      <c r="F651" t="s">
        <v>1402</v>
      </c>
      <c r="G651" t="s">
        <v>1565</v>
      </c>
      <c r="H651" t="s">
        <v>2490</v>
      </c>
      <c r="I651" t="s">
        <v>58</v>
      </c>
    </row>
    <row r="652" spans="1:9">
      <c r="A652">
        <v>340589</v>
      </c>
      <c r="B652" t="s">
        <v>2344</v>
      </c>
      <c r="C652" t="s">
        <v>2313</v>
      </c>
      <c r="D652" t="s">
        <v>1465</v>
      </c>
      <c r="E652" t="s">
        <v>1207</v>
      </c>
      <c r="F652" t="s">
        <v>1405</v>
      </c>
      <c r="G652" t="s">
        <v>1574</v>
      </c>
      <c r="H652" t="s">
        <v>2490</v>
      </c>
      <c r="I652" t="s">
        <v>65</v>
      </c>
    </row>
    <row r="653" spans="1:9">
      <c r="A653">
        <v>311095</v>
      </c>
      <c r="B653" t="s">
        <v>986</v>
      </c>
      <c r="C653" t="s">
        <v>2314</v>
      </c>
      <c r="D653" t="s">
        <v>1465</v>
      </c>
      <c r="E653" t="s">
        <v>588</v>
      </c>
      <c r="F653" t="s">
        <v>1398</v>
      </c>
      <c r="G653" t="s">
        <v>1569</v>
      </c>
      <c r="H653" t="s">
        <v>2490</v>
      </c>
      <c r="I653" t="s">
        <v>67</v>
      </c>
    </row>
    <row r="654" spans="1:9">
      <c r="A654">
        <v>291517</v>
      </c>
      <c r="B654" t="s">
        <v>2345</v>
      </c>
      <c r="C654" t="s">
        <v>2315</v>
      </c>
      <c r="D654" t="s">
        <v>1465</v>
      </c>
      <c r="E654" t="s">
        <v>2491</v>
      </c>
      <c r="F654" t="s">
        <v>610</v>
      </c>
      <c r="G654" t="s">
        <v>1574</v>
      </c>
      <c r="H654" t="s">
        <v>2490</v>
      </c>
      <c r="I654" t="s">
        <v>65</v>
      </c>
    </row>
    <row r="655" spans="1:9">
      <c r="A655">
        <v>340592</v>
      </c>
      <c r="B655" t="s">
        <v>2346</v>
      </c>
      <c r="C655" t="s">
        <v>2316</v>
      </c>
      <c r="D655" t="s">
        <v>1465</v>
      </c>
      <c r="E655" t="s">
        <v>2491</v>
      </c>
      <c r="F655" t="s">
        <v>610</v>
      </c>
      <c r="G655" t="s">
        <v>1574</v>
      </c>
      <c r="H655" t="s">
        <v>2490</v>
      </c>
      <c r="I655" t="s">
        <v>65</v>
      </c>
    </row>
    <row r="656" spans="1:9">
      <c r="A656">
        <v>340623</v>
      </c>
      <c r="B656" t="s">
        <v>2347</v>
      </c>
      <c r="C656" t="s">
        <v>2317</v>
      </c>
      <c r="D656" t="s">
        <v>1465</v>
      </c>
      <c r="E656" t="s">
        <v>801</v>
      </c>
      <c r="F656" t="s">
        <v>1405</v>
      </c>
      <c r="G656" t="s">
        <v>1574</v>
      </c>
      <c r="H656" t="s">
        <v>2490</v>
      </c>
      <c r="I656" t="s">
        <v>65</v>
      </c>
    </row>
    <row r="657" spans="1:9">
      <c r="A657">
        <v>239764</v>
      </c>
      <c r="B657" t="s">
        <v>2348</v>
      </c>
      <c r="C657" t="s">
        <v>2318</v>
      </c>
      <c r="D657" t="s">
        <v>1465</v>
      </c>
      <c r="E657" t="s">
        <v>801</v>
      </c>
      <c r="F657" t="s">
        <v>1405</v>
      </c>
      <c r="G657" t="s">
        <v>1574</v>
      </c>
      <c r="H657" t="s">
        <v>2490</v>
      </c>
      <c r="I657" t="s">
        <v>65</v>
      </c>
    </row>
    <row r="658" spans="1:9">
      <c r="A658">
        <v>340534</v>
      </c>
      <c r="B658" t="s">
        <v>2349</v>
      </c>
      <c r="C658" t="s">
        <v>2319</v>
      </c>
      <c r="D658" t="s">
        <v>1465</v>
      </c>
      <c r="E658" t="s">
        <v>478</v>
      </c>
      <c r="F658" t="s">
        <v>1398</v>
      </c>
      <c r="G658" t="s">
        <v>1569</v>
      </c>
      <c r="H658" t="s">
        <v>2490</v>
      </c>
      <c r="I658" t="s">
        <v>67</v>
      </c>
    </row>
    <row r="659" spans="1:9">
      <c r="A659">
        <v>340533</v>
      </c>
      <c r="B659" t="s">
        <v>2350</v>
      </c>
      <c r="C659" t="s">
        <v>2320</v>
      </c>
      <c r="D659" t="s">
        <v>1465</v>
      </c>
      <c r="E659" t="s">
        <v>478</v>
      </c>
      <c r="F659" t="s">
        <v>1398</v>
      </c>
      <c r="G659" t="s">
        <v>1569</v>
      </c>
      <c r="H659" t="s">
        <v>2490</v>
      </c>
      <c r="I659" t="s">
        <v>67</v>
      </c>
    </row>
    <row r="660" spans="1:9">
      <c r="A660">
        <v>340581</v>
      </c>
      <c r="B660" t="s">
        <v>2351</v>
      </c>
      <c r="C660" t="s">
        <v>2321</v>
      </c>
      <c r="D660" t="s">
        <v>1465</v>
      </c>
      <c r="E660" t="s">
        <v>478</v>
      </c>
      <c r="F660" t="s">
        <v>1398</v>
      </c>
      <c r="G660" t="s">
        <v>1569</v>
      </c>
      <c r="H660" t="s">
        <v>2490</v>
      </c>
      <c r="I660" t="s">
        <v>67</v>
      </c>
    </row>
    <row r="661" spans="1:9">
      <c r="A661">
        <v>340536</v>
      </c>
      <c r="B661" t="s">
        <v>2352</v>
      </c>
      <c r="C661" t="s">
        <v>2322</v>
      </c>
      <c r="D661" t="s">
        <v>1465</v>
      </c>
      <c r="E661" t="s">
        <v>1207</v>
      </c>
      <c r="F661" t="s">
        <v>1405</v>
      </c>
      <c r="G661" t="s">
        <v>1574</v>
      </c>
      <c r="H661" t="s">
        <v>2490</v>
      </c>
      <c r="I661" t="s">
        <v>65</v>
      </c>
    </row>
    <row r="662" spans="1:9">
      <c r="A662">
        <v>340549</v>
      </c>
      <c r="B662" t="s">
        <v>2353</v>
      </c>
      <c r="C662" t="s">
        <v>2323</v>
      </c>
      <c r="D662" t="s">
        <v>1465</v>
      </c>
      <c r="E662" t="s">
        <v>588</v>
      </c>
      <c r="F662" t="s">
        <v>1398</v>
      </c>
      <c r="G662" t="s">
        <v>1569</v>
      </c>
      <c r="H662" t="s">
        <v>2490</v>
      </c>
      <c r="I662" t="s">
        <v>67</v>
      </c>
    </row>
    <row r="663" spans="1:9">
      <c r="A663">
        <v>277855</v>
      </c>
      <c r="B663" t="s">
        <v>2354</v>
      </c>
      <c r="C663" t="s">
        <v>640</v>
      </c>
      <c r="D663" t="s">
        <v>1465</v>
      </c>
      <c r="E663" t="s">
        <v>1092</v>
      </c>
      <c r="F663" t="s">
        <v>1398</v>
      </c>
      <c r="G663" t="s">
        <v>1569</v>
      </c>
      <c r="H663" t="s">
        <v>2490</v>
      </c>
      <c r="I663" t="s">
        <v>67</v>
      </c>
    </row>
    <row r="664" spans="1:9">
      <c r="A664">
        <v>340551</v>
      </c>
      <c r="B664" t="s">
        <v>2355</v>
      </c>
      <c r="C664" t="s">
        <v>2324</v>
      </c>
      <c r="D664" t="s">
        <v>1465</v>
      </c>
      <c r="E664" t="s">
        <v>1092</v>
      </c>
      <c r="F664" t="s">
        <v>1398</v>
      </c>
      <c r="G664" t="s">
        <v>1569</v>
      </c>
      <c r="H664" t="s">
        <v>2490</v>
      </c>
      <c r="I664" t="s">
        <v>67</v>
      </c>
    </row>
    <row r="665" spans="1:9">
      <c r="A665">
        <v>340558</v>
      </c>
      <c r="B665" t="s">
        <v>2356</v>
      </c>
      <c r="C665" t="s">
        <v>2325</v>
      </c>
      <c r="D665" t="s">
        <v>1465</v>
      </c>
      <c r="E665" t="s">
        <v>1289</v>
      </c>
      <c r="F665" t="s">
        <v>1398</v>
      </c>
      <c r="G665" t="s">
        <v>1569</v>
      </c>
      <c r="H665" t="s">
        <v>2490</v>
      </c>
      <c r="I665" t="s">
        <v>67</v>
      </c>
    </row>
    <row r="666" spans="1:9">
      <c r="A666">
        <v>340777</v>
      </c>
      <c r="B666" t="s">
        <v>2357</v>
      </c>
      <c r="C666" t="s">
        <v>2326</v>
      </c>
      <c r="D666" t="s">
        <v>1465</v>
      </c>
      <c r="E666" t="s">
        <v>1207</v>
      </c>
      <c r="F666" t="s">
        <v>1405</v>
      </c>
      <c r="G666" t="s">
        <v>1574</v>
      </c>
      <c r="H666" t="s">
        <v>2490</v>
      </c>
      <c r="I666" t="s">
        <v>65</v>
      </c>
    </row>
    <row r="667" spans="1:9">
      <c r="A667">
        <v>340750</v>
      </c>
      <c r="B667" t="s">
        <v>2358</v>
      </c>
      <c r="C667" t="s">
        <v>2327</v>
      </c>
      <c r="D667" t="s">
        <v>1465</v>
      </c>
      <c r="E667" t="s">
        <v>1367</v>
      </c>
      <c r="F667" t="s">
        <v>610</v>
      </c>
      <c r="G667" t="s">
        <v>1574</v>
      </c>
      <c r="H667" t="s">
        <v>2490</v>
      </c>
      <c r="I667" t="s">
        <v>65</v>
      </c>
    </row>
    <row r="668" spans="1:9">
      <c r="A668">
        <v>340781</v>
      </c>
      <c r="B668" t="s">
        <v>2359</v>
      </c>
      <c r="C668" t="s">
        <v>2328</v>
      </c>
      <c r="D668" t="s">
        <v>1465</v>
      </c>
      <c r="E668" t="s">
        <v>1367</v>
      </c>
      <c r="F668" t="s">
        <v>610</v>
      </c>
      <c r="G668" t="s">
        <v>1574</v>
      </c>
      <c r="H668" t="s">
        <v>2490</v>
      </c>
      <c r="I668" t="s">
        <v>65</v>
      </c>
    </row>
    <row r="669" spans="1:9">
      <c r="A669">
        <v>340774</v>
      </c>
      <c r="B669" t="s">
        <v>2360</v>
      </c>
      <c r="C669" t="s">
        <v>2329</v>
      </c>
      <c r="D669" t="s">
        <v>1465</v>
      </c>
      <c r="E669" t="s">
        <v>1361</v>
      </c>
      <c r="F669" t="s">
        <v>1405</v>
      </c>
      <c r="G669" t="s">
        <v>1574</v>
      </c>
      <c r="H669" t="s">
        <v>2490</v>
      </c>
      <c r="I669" t="s">
        <v>65</v>
      </c>
    </row>
    <row r="670" spans="1:9">
      <c r="A670">
        <v>340751</v>
      </c>
      <c r="B670" t="s">
        <v>2361</v>
      </c>
      <c r="C670" t="s">
        <v>2330</v>
      </c>
      <c r="D670" t="s">
        <v>1465</v>
      </c>
      <c r="E670" t="s">
        <v>1229</v>
      </c>
      <c r="F670" t="s">
        <v>1398</v>
      </c>
      <c r="G670" t="s">
        <v>1569</v>
      </c>
      <c r="H670" t="s">
        <v>2490</v>
      </c>
      <c r="I670" t="s">
        <v>67</v>
      </c>
    </row>
    <row r="671" spans="1:9">
      <c r="A671">
        <v>340748</v>
      </c>
      <c r="B671" t="s">
        <v>2362</v>
      </c>
      <c r="C671" t="s">
        <v>2331</v>
      </c>
      <c r="D671" t="s">
        <v>1465</v>
      </c>
      <c r="E671" t="s">
        <v>1369</v>
      </c>
      <c r="F671" t="s">
        <v>1398</v>
      </c>
      <c r="G671" t="s">
        <v>1569</v>
      </c>
      <c r="H671" t="s">
        <v>2490</v>
      </c>
      <c r="I671" t="s">
        <v>67</v>
      </c>
    </row>
    <row r="672" spans="1:9">
      <c r="A672">
        <v>340746</v>
      </c>
      <c r="B672" t="s">
        <v>2363</v>
      </c>
      <c r="C672" t="s">
        <v>2332</v>
      </c>
      <c r="D672" t="s">
        <v>1465</v>
      </c>
      <c r="E672" t="s">
        <v>1369</v>
      </c>
      <c r="F672" t="s">
        <v>1398</v>
      </c>
      <c r="G672" t="s">
        <v>1569</v>
      </c>
      <c r="H672" t="s">
        <v>2490</v>
      </c>
      <c r="I672" t="s">
        <v>67</v>
      </c>
    </row>
    <row r="673" spans="1:9">
      <c r="A673">
        <v>172892</v>
      </c>
      <c r="B673" t="s">
        <v>2364</v>
      </c>
      <c r="C673" t="s">
        <v>2333</v>
      </c>
      <c r="D673" t="s">
        <v>1465</v>
      </c>
      <c r="E673" t="s">
        <v>1369</v>
      </c>
      <c r="F673" t="s">
        <v>1398</v>
      </c>
      <c r="G673" t="s">
        <v>1569</v>
      </c>
      <c r="H673" t="s">
        <v>2490</v>
      </c>
      <c r="I673" t="s">
        <v>67</v>
      </c>
    </row>
    <row r="674" spans="1:9">
      <c r="A674">
        <v>340752</v>
      </c>
      <c r="B674" t="s">
        <v>2365</v>
      </c>
      <c r="C674" t="s">
        <v>2334</v>
      </c>
      <c r="D674" t="s">
        <v>1465</v>
      </c>
      <c r="E674" t="s">
        <v>1369</v>
      </c>
      <c r="F674" t="s">
        <v>1398</v>
      </c>
      <c r="G674" t="s">
        <v>1569</v>
      </c>
      <c r="H674" t="s">
        <v>2490</v>
      </c>
      <c r="I674" t="s">
        <v>67</v>
      </c>
    </row>
    <row r="675" spans="1:9">
      <c r="A675">
        <v>340970</v>
      </c>
      <c r="B675" t="s">
        <v>2366</v>
      </c>
      <c r="C675" t="s">
        <v>2335</v>
      </c>
      <c r="D675" t="s">
        <v>1465</v>
      </c>
      <c r="E675" t="s">
        <v>1361</v>
      </c>
      <c r="F675" t="s">
        <v>1405</v>
      </c>
      <c r="G675" t="s">
        <v>1574</v>
      </c>
      <c r="H675" t="s">
        <v>2490</v>
      </c>
      <c r="I675" t="s">
        <v>65</v>
      </c>
    </row>
    <row r="676" spans="1:9">
      <c r="A676">
        <v>341134</v>
      </c>
      <c r="B676" t="s">
        <v>2367</v>
      </c>
      <c r="C676" t="s">
        <v>2336</v>
      </c>
      <c r="D676" t="s">
        <v>1465</v>
      </c>
      <c r="E676" t="s">
        <v>1092</v>
      </c>
      <c r="F676" t="s">
        <v>1398</v>
      </c>
      <c r="G676" t="s">
        <v>1569</v>
      </c>
      <c r="H676" t="s">
        <v>2490</v>
      </c>
      <c r="I676" t="s">
        <v>67</v>
      </c>
    </row>
    <row r="677" spans="1:9">
      <c r="A677">
        <v>341070</v>
      </c>
      <c r="B677" t="s">
        <v>2368</v>
      </c>
      <c r="C677" t="s">
        <v>2337</v>
      </c>
      <c r="D677" t="s">
        <v>1465</v>
      </c>
      <c r="E677" t="s">
        <v>588</v>
      </c>
      <c r="F677" t="s">
        <v>1398</v>
      </c>
      <c r="G677" t="s">
        <v>1569</v>
      </c>
      <c r="H677" t="s">
        <v>2490</v>
      </c>
      <c r="I677" t="s">
        <v>67</v>
      </c>
    </row>
    <row r="678" spans="1:9">
      <c r="A678">
        <v>341074</v>
      </c>
      <c r="B678" t="s">
        <v>2369</v>
      </c>
      <c r="C678" t="s">
        <v>2338</v>
      </c>
      <c r="D678" t="s">
        <v>1465</v>
      </c>
      <c r="E678" t="s">
        <v>2491</v>
      </c>
      <c r="F678" t="s">
        <v>610</v>
      </c>
      <c r="G678" t="s">
        <v>1574</v>
      </c>
      <c r="H678" t="s">
        <v>2490</v>
      </c>
      <c r="I678" t="s">
        <v>65</v>
      </c>
    </row>
    <row r="679" spans="1:9">
      <c r="A679">
        <v>341162</v>
      </c>
      <c r="B679" t="s">
        <v>2370</v>
      </c>
      <c r="C679" t="s">
        <v>2339</v>
      </c>
      <c r="D679" t="s">
        <v>1465</v>
      </c>
      <c r="E679" t="s">
        <v>1289</v>
      </c>
      <c r="F679" t="s">
        <v>1398</v>
      </c>
      <c r="G679" t="s">
        <v>1569</v>
      </c>
      <c r="H679" t="s">
        <v>2490</v>
      </c>
      <c r="I679" t="s">
        <v>67</v>
      </c>
    </row>
    <row r="680" spans="1:9">
      <c r="A680">
        <v>341143</v>
      </c>
      <c r="B680" t="s">
        <v>2371</v>
      </c>
      <c r="C680" t="s">
        <v>2340</v>
      </c>
      <c r="D680" t="s">
        <v>1465</v>
      </c>
      <c r="E680" t="s">
        <v>514</v>
      </c>
      <c r="F680" t="s">
        <v>610</v>
      </c>
      <c r="G680" t="s">
        <v>1574</v>
      </c>
      <c r="H680" t="s">
        <v>2490</v>
      </c>
      <c r="I680" t="s">
        <v>65</v>
      </c>
    </row>
    <row r="681" spans="1:9">
      <c r="A681">
        <v>341156</v>
      </c>
      <c r="B681" t="s">
        <v>2372</v>
      </c>
      <c r="C681" t="s">
        <v>2341</v>
      </c>
      <c r="D681" t="s">
        <v>1465</v>
      </c>
      <c r="E681" t="s">
        <v>514</v>
      </c>
      <c r="F681" t="s">
        <v>610</v>
      </c>
      <c r="G681" t="s">
        <v>1574</v>
      </c>
      <c r="H681" t="s">
        <v>2490</v>
      </c>
      <c r="I681" t="s">
        <v>65</v>
      </c>
    </row>
    <row r="682" spans="1:9">
      <c r="A682">
        <v>341157</v>
      </c>
      <c r="B682" t="s">
        <v>2373</v>
      </c>
      <c r="C682" t="s">
        <v>2342</v>
      </c>
      <c r="D682" t="s">
        <v>1465</v>
      </c>
      <c r="E682" t="s">
        <v>514</v>
      </c>
      <c r="F682" t="s">
        <v>610</v>
      </c>
      <c r="G682" t="s">
        <v>1574</v>
      </c>
      <c r="H682" t="s">
        <v>2490</v>
      </c>
      <c r="I682" t="s">
        <v>65</v>
      </c>
    </row>
    <row r="683" spans="1:9">
      <c r="A683">
        <v>341094</v>
      </c>
      <c r="B683" t="s">
        <v>2374</v>
      </c>
      <c r="C683" t="s">
        <v>2343</v>
      </c>
      <c r="D683" t="s">
        <v>1465</v>
      </c>
      <c r="E683" t="s">
        <v>514</v>
      </c>
      <c r="F683" t="s">
        <v>610</v>
      </c>
      <c r="G683" t="s">
        <v>1574</v>
      </c>
      <c r="H683" t="s">
        <v>2490</v>
      </c>
      <c r="I683" t="s">
        <v>65</v>
      </c>
    </row>
    <row r="684" spans="1:9">
      <c r="A684">
        <v>293363</v>
      </c>
      <c r="B684" t="s">
        <v>1420</v>
      </c>
      <c r="C684" t="s">
        <v>1392</v>
      </c>
      <c r="D684" t="s">
        <v>1465</v>
      </c>
      <c r="E684" t="s">
        <v>514</v>
      </c>
      <c r="F684" t="s">
        <v>610</v>
      </c>
      <c r="G684" t="s">
        <v>1574</v>
      </c>
      <c r="H684" t="s">
        <v>2490</v>
      </c>
      <c r="I684" t="s">
        <v>65</v>
      </c>
    </row>
    <row r="685" spans="1:9">
      <c r="A685">
        <v>341702</v>
      </c>
      <c r="B685" t="s">
        <v>2428</v>
      </c>
      <c r="C685" t="s">
        <v>2375</v>
      </c>
      <c r="D685" t="s">
        <v>1465</v>
      </c>
      <c r="E685" t="s">
        <v>1367</v>
      </c>
      <c r="F685" t="s">
        <v>610</v>
      </c>
      <c r="G685" t="s">
        <v>1574</v>
      </c>
      <c r="H685" t="s">
        <v>2490</v>
      </c>
      <c r="I685" t="s">
        <v>65</v>
      </c>
    </row>
    <row r="686" spans="1:9">
      <c r="A686">
        <v>341646</v>
      </c>
      <c r="B686" t="s">
        <v>2429</v>
      </c>
      <c r="C686" t="s">
        <v>2376</v>
      </c>
      <c r="D686" t="s">
        <v>1465</v>
      </c>
      <c r="E686" t="s">
        <v>588</v>
      </c>
      <c r="F686" t="s">
        <v>1398</v>
      </c>
      <c r="G686" t="s">
        <v>1569</v>
      </c>
      <c r="H686" t="s">
        <v>2490</v>
      </c>
      <c r="I686" t="s">
        <v>67</v>
      </c>
    </row>
    <row r="687" spans="1:9">
      <c r="A687">
        <v>341606</v>
      </c>
      <c r="B687" t="s">
        <v>2430</v>
      </c>
      <c r="C687" t="s">
        <v>2377</v>
      </c>
      <c r="D687" t="s">
        <v>1465</v>
      </c>
      <c r="E687" t="s">
        <v>801</v>
      </c>
      <c r="F687" t="s">
        <v>1405</v>
      </c>
      <c r="G687" t="s">
        <v>1574</v>
      </c>
      <c r="H687" t="s">
        <v>2490</v>
      </c>
      <c r="I687" t="s">
        <v>65</v>
      </c>
    </row>
    <row r="688" spans="1:9">
      <c r="A688">
        <v>341648</v>
      </c>
      <c r="B688" t="s">
        <v>2431</v>
      </c>
      <c r="C688" t="s">
        <v>1006</v>
      </c>
      <c r="D688" t="s">
        <v>1465</v>
      </c>
      <c r="E688" t="s">
        <v>1207</v>
      </c>
      <c r="F688" t="s">
        <v>1405</v>
      </c>
      <c r="G688" t="s">
        <v>1574</v>
      </c>
      <c r="H688" t="s">
        <v>2490</v>
      </c>
      <c r="I688" t="s">
        <v>65</v>
      </c>
    </row>
    <row r="689" spans="1:9">
      <c r="A689">
        <v>341611</v>
      </c>
      <c r="B689" t="s">
        <v>2432</v>
      </c>
      <c r="C689" t="s">
        <v>2378</v>
      </c>
      <c r="D689" t="s">
        <v>1465</v>
      </c>
      <c r="E689" t="s">
        <v>1092</v>
      </c>
      <c r="F689" t="s">
        <v>1398</v>
      </c>
      <c r="G689" t="s">
        <v>1569</v>
      </c>
      <c r="H689" t="s">
        <v>2490</v>
      </c>
      <c r="I689" t="s">
        <v>67</v>
      </c>
    </row>
    <row r="690" spans="1:9">
      <c r="A690">
        <v>341617</v>
      </c>
      <c r="B690" t="s">
        <v>2433</v>
      </c>
      <c r="C690" t="s">
        <v>2379</v>
      </c>
      <c r="D690" t="s">
        <v>1465</v>
      </c>
      <c r="E690" t="s">
        <v>1092</v>
      </c>
      <c r="F690" t="s">
        <v>1398</v>
      </c>
      <c r="G690" t="s">
        <v>1569</v>
      </c>
      <c r="H690" t="s">
        <v>2490</v>
      </c>
      <c r="I690" t="s">
        <v>67</v>
      </c>
    </row>
    <row r="691" spans="1:9">
      <c r="A691">
        <v>344474</v>
      </c>
      <c r="B691" t="s">
        <v>2434</v>
      </c>
      <c r="C691" t="s">
        <v>2380</v>
      </c>
      <c r="D691" t="s">
        <v>1465</v>
      </c>
      <c r="E691" t="s">
        <v>961</v>
      </c>
      <c r="F691" t="s">
        <v>1394</v>
      </c>
      <c r="G691" t="s">
        <v>1573</v>
      </c>
      <c r="H691" t="s">
        <v>2490</v>
      </c>
      <c r="I691" t="s">
        <v>59</v>
      </c>
    </row>
    <row r="692" spans="1:9">
      <c r="A692">
        <v>196390</v>
      </c>
      <c r="B692" t="s">
        <v>2435</v>
      </c>
      <c r="C692" t="s">
        <v>2381</v>
      </c>
      <c r="D692" t="s">
        <v>1465</v>
      </c>
      <c r="E692" t="s">
        <v>1207</v>
      </c>
      <c r="F692" t="s">
        <v>1405</v>
      </c>
      <c r="G692" t="s">
        <v>1574</v>
      </c>
      <c r="H692" t="s">
        <v>2490</v>
      </c>
      <c r="I692" t="s">
        <v>65</v>
      </c>
    </row>
    <row r="693" spans="1:9">
      <c r="A693">
        <v>344478</v>
      </c>
      <c r="B693" t="s">
        <v>2436</v>
      </c>
      <c r="C693" t="s">
        <v>2382</v>
      </c>
      <c r="D693" t="s">
        <v>1465</v>
      </c>
      <c r="E693" t="s">
        <v>1207</v>
      </c>
      <c r="F693" t="s">
        <v>1405</v>
      </c>
      <c r="G693" t="s">
        <v>1574</v>
      </c>
      <c r="H693" t="s">
        <v>2490</v>
      </c>
      <c r="I693" t="s">
        <v>65</v>
      </c>
    </row>
    <row r="694" spans="1:9">
      <c r="A694">
        <v>344480</v>
      </c>
      <c r="B694" t="s">
        <v>2437</v>
      </c>
      <c r="C694" t="s">
        <v>2383</v>
      </c>
      <c r="D694" t="s">
        <v>1465</v>
      </c>
      <c r="E694" t="s">
        <v>1207</v>
      </c>
      <c r="F694" t="s">
        <v>1405</v>
      </c>
      <c r="G694" t="s">
        <v>1574</v>
      </c>
      <c r="H694" t="s">
        <v>2490</v>
      </c>
      <c r="I694" t="s">
        <v>65</v>
      </c>
    </row>
    <row r="695" spans="1:9">
      <c r="A695">
        <v>344486</v>
      </c>
      <c r="B695" t="s">
        <v>2438</v>
      </c>
      <c r="C695" t="s">
        <v>2384</v>
      </c>
      <c r="D695" t="s">
        <v>1465</v>
      </c>
      <c r="E695" t="s">
        <v>1229</v>
      </c>
      <c r="F695" t="s">
        <v>1398</v>
      </c>
      <c r="G695" t="s">
        <v>1569</v>
      </c>
      <c r="H695" t="s">
        <v>2490</v>
      </c>
      <c r="I695" t="s">
        <v>67</v>
      </c>
    </row>
    <row r="696" spans="1:9">
      <c r="A696">
        <v>297576</v>
      </c>
      <c r="B696" t="s">
        <v>2439</v>
      </c>
      <c r="C696" t="s">
        <v>2385</v>
      </c>
      <c r="D696" t="s">
        <v>1465</v>
      </c>
      <c r="E696" t="s">
        <v>1289</v>
      </c>
      <c r="F696" t="s">
        <v>1398</v>
      </c>
      <c r="G696" t="s">
        <v>1569</v>
      </c>
      <c r="H696" t="s">
        <v>2490</v>
      </c>
      <c r="I696" t="s">
        <v>67</v>
      </c>
    </row>
    <row r="697" spans="1:9">
      <c r="A697">
        <v>265405</v>
      </c>
      <c r="B697" t="s">
        <v>2440</v>
      </c>
      <c r="C697" t="s">
        <v>2386</v>
      </c>
      <c r="D697" t="s">
        <v>1465</v>
      </c>
      <c r="E697" t="s">
        <v>1289</v>
      </c>
      <c r="F697" t="s">
        <v>1398</v>
      </c>
      <c r="G697" t="s">
        <v>1569</v>
      </c>
      <c r="H697" t="s">
        <v>2490</v>
      </c>
      <c r="I697" t="s">
        <v>67</v>
      </c>
    </row>
    <row r="698" spans="1:9">
      <c r="A698">
        <v>344496</v>
      </c>
      <c r="B698" t="s">
        <v>2441</v>
      </c>
      <c r="C698" t="s">
        <v>2387</v>
      </c>
      <c r="D698" t="s">
        <v>1465</v>
      </c>
      <c r="E698" t="s">
        <v>1367</v>
      </c>
      <c r="F698" t="s">
        <v>610</v>
      </c>
      <c r="G698" t="s">
        <v>1574</v>
      </c>
      <c r="H698" t="s">
        <v>2490</v>
      </c>
      <c r="I698" t="s">
        <v>65</v>
      </c>
    </row>
    <row r="699" spans="1:9">
      <c r="A699">
        <v>344505</v>
      </c>
      <c r="B699" t="s">
        <v>2442</v>
      </c>
      <c r="C699" t="s">
        <v>2388</v>
      </c>
      <c r="D699" t="s">
        <v>1465</v>
      </c>
      <c r="E699" t="s">
        <v>1229</v>
      </c>
      <c r="F699" t="s">
        <v>1398</v>
      </c>
      <c r="G699" t="s">
        <v>1569</v>
      </c>
      <c r="H699" t="s">
        <v>2490</v>
      </c>
      <c r="I699" t="s">
        <v>67</v>
      </c>
    </row>
    <row r="700" spans="1:9">
      <c r="A700">
        <v>344509</v>
      </c>
      <c r="B700" t="s">
        <v>2443</v>
      </c>
      <c r="C700" t="s">
        <v>2389</v>
      </c>
      <c r="D700" t="s">
        <v>1465</v>
      </c>
      <c r="E700" t="s">
        <v>1367</v>
      </c>
      <c r="F700" t="s">
        <v>610</v>
      </c>
      <c r="G700" t="s">
        <v>1574</v>
      </c>
      <c r="H700" t="s">
        <v>2490</v>
      </c>
      <c r="I700" t="s">
        <v>65</v>
      </c>
    </row>
    <row r="701" spans="1:9">
      <c r="A701">
        <v>249251</v>
      </c>
      <c r="B701" t="s">
        <v>2444</v>
      </c>
      <c r="C701" t="s">
        <v>2390</v>
      </c>
      <c r="D701" t="s">
        <v>1465</v>
      </c>
      <c r="E701" t="s">
        <v>1361</v>
      </c>
      <c r="F701" t="s">
        <v>1405</v>
      </c>
      <c r="G701" t="s">
        <v>1574</v>
      </c>
      <c r="H701" t="s">
        <v>2490</v>
      </c>
      <c r="I701" t="s">
        <v>65</v>
      </c>
    </row>
    <row r="702" spans="1:9">
      <c r="A702">
        <v>344511</v>
      </c>
      <c r="B702" t="s">
        <v>2445</v>
      </c>
      <c r="C702" t="s">
        <v>2391</v>
      </c>
      <c r="D702" t="s">
        <v>1465</v>
      </c>
      <c r="E702" t="s">
        <v>1207</v>
      </c>
      <c r="F702" t="s">
        <v>1405</v>
      </c>
      <c r="G702" t="s">
        <v>1574</v>
      </c>
      <c r="H702" t="s">
        <v>2490</v>
      </c>
      <c r="I702" t="s">
        <v>65</v>
      </c>
    </row>
    <row r="703" spans="1:9">
      <c r="A703">
        <v>296228</v>
      </c>
      <c r="B703" t="s">
        <v>2446</v>
      </c>
      <c r="C703" t="s">
        <v>2392</v>
      </c>
      <c r="D703" t="s">
        <v>1465</v>
      </c>
      <c r="E703" t="s">
        <v>1207</v>
      </c>
      <c r="F703" t="s">
        <v>1405</v>
      </c>
      <c r="G703" t="s">
        <v>1574</v>
      </c>
      <c r="H703" t="s">
        <v>2490</v>
      </c>
      <c r="I703" t="s">
        <v>65</v>
      </c>
    </row>
    <row r="704" spans="1:9">
      <c r="A704">
        <v>278343</v>
      </c>
      <c r="B704" t="s">
        <v>2447</v>
      </c>
      <c r="C704" t="s">
        <v>2393</v>
      </c>
      <c r="D704" t="s">
        <v>1465</v>
      </c>
      <c r="E704" t="s">
        <v>1207</v>
      </c>
      <c r="F704" t="s">
        <v>1405</v>
      </c>
      <c r="G704" t="s">
        <v>1574</v>
      </c>
      <c r="H704" t="s">
        <v>2490</v>
      </c>
      <c r="I704" t="s">
        <v>65</v>
      </c>
    </row>
    <row r="705" spans="1:9">
      <c r="A705">
        <v>344514</v>
      </c>
      <c r="B705" t="s">
        <v>2448</v>
      </c>
      <c r="C705" t="s">
        <v>2394</v>
      </c>
      <c r="D705" t="s">
        <v>1465</v>
      </c>
      <c r="E705" t="s">
        <v>478</v>
      </c>
      <c r="F705" t="s">
        <v>1398</v>
      </c>
      <c r="G705" t="s">
        <v>1569</v>
      </c>
      <c r="H705" t="s">
        <v>2490</v>
      </c>
      <c r="I705" t="s">
        <v>67</v>
      </c>
    </row>
    <row r="706" spans="1:9">
      <c r="A706">
        <v>344653</v>
      </c>
      <c r="B706" t="s">
        <v>2449</v>
      </c>
      <c r="C706" t="s">
        <v>2395</v>
      </c>
      <c r="D706" t="s">
        <v>1465</v>
      </c>
      <c r="E706" t="s">
        <v>1367</v>
      </c>
      <c r="F706" t="s">
        <v>610</v>
      </c>
      <c r="G706" t="s">
        <v>1574</v>
      </c>
      <c r="H706" t="s">
        <v>2490</v>
      </c>
      <c r="I706" t="s">
        <v>65</v>
      </c>
    </row>
    <row r="707" spans="1:9">
      <c r="A707">
        <v>344655</v>
      </c>
      <c r="B707" t="s">
        <v>2450</v>
      </c>
      <c r="C707" t="s">
        <v>2396</v>
      </c>
      <c r="D707" t="s">
        <v>1465</v>
      </c>
      <c r="E707" t="s">
        <v>961</v>
      </c>
      <c r="F707" t="s">
        <v>1394</v>
      </c>
      <c r="G707" t="s">
        <v>1573</v>
      </c>
      <c r="H707" t="s">
        <v>2490</v>
      </c>
      <c r="I707" t="s">
        <v>59</v>
      </c>
    </row>
    <row r="708" spans="1:9">
      <c r="A708">
        <v>344658</v>
      </c>
      <c r="B708" t="s">
        <v>2451</v>
      </c>
      <c r="C708" t="s">
        <v>2397</v>
      </c>
      <c r="D708" t="s">
        <v>1465</v>
      </c>
      <c r="E708" t="s">
        <v>961</v>
      </c>
      <c r="F708" t="s">
        <v>1394</v>
      </c>
      <c r="G708" t="s">
        <v>1573</v>
      </c>
      <c r="H708" t="s">
        <v>2490</v>
      </c>
      <c r="I708" t="s">
        <v>59</v>
      </c>
    </row>
    <row r="709" spans="1:9">
      <c r="A709">
        <v>344726</v>
      </c>
      <c r="B709" t="s">
        <v>2452</v>
      </c>
      <c r="C709" t="s">
        <v>2398</v>
      </c>
      <c r="D709" t="s">
        <v>1465</v>
      </c>
      <c r="E709" t="s">
        <v>1367</v>
      </c>
      <c r="F709" t="s">
        <v>610</v>
      </c>
      <c r="G709" t="s">
        <v>1574</v>
      </c>
      <c r="H709" t="s">
        <v>2490</v>
      </c>
      <c r="I709" t="s">
        <v>65</v>
      </c>
    </row>
    <row r="710" spans="1:9">
      <c r="A710">
        <v>344811</v>
      </c>
      <c r="B710" t="s">
        <v>2453</v>
      </c>
      <c r="C710" t="s">
        <v>2399</v>
      </c>
      <c r="D710" t="s">
        <v>1465</v>
      </c>
      <c r="E710" t="s">
        <v>1229</v>
      </c>
      <c r="F710" t="s">
        <v>1398</v>
      </c>
      <c r="G710" t="s">
        <v>1569</v>
      </c>
      <c r="H710" t="s">
        <v>2490</v>
      </c>
      <c r="I710" t="s">
        <v>67</v>
      </c>
    </row>
    <row r="711" spans="1:9">
      <c r="A711">
        <v>344817</v>
      </c>
      <c r="B711" t="s">
        <v>2454</v>
      </c>
      <c r="C711" t="s">
        <v>2400</v>
      </c>
      <c r="D711" t="s">
        <v>1465</v>
      </c>
      <c r="E711" t="s">
        <v>1367</v>
      </c>
      <c r="F711" t="s">
        <v>610</v>
      </c>
      <c r="G711" t="s">
        <v>1574</v>
      </c>
      <c r="H711" t="s">
        <v>2490</v>
      </c>
      <c r="I711" t="s">
        <v>65</v>
      </c>
    </row>
    <row r="712" spans="1:9">
      <c r="A712">
        <v>344841</v>
      </c>
      <c r="B712" t="s">
        <v>2455</v>
      </c>
      <c r="C712" t="s">
        <v>2401</v>
      </c>
      <c r="D712" t="s">
        <v>1465</v>
      </c>
      <c r="E712" t="s">
        <v>1367</v>
      </c>
      <c r="F712" t="s">
        <v>610</v>
      </c>
      <c r="G712" t="s">
        <v>1574</v>
      </c>
      <c r="H712" t="s">
        <v>2490</v>
      </c>
      <c r="I712" t="s">
        <v>65</v>
      </c>
    </row>
    <row r="713" spans="1:9">
      <c r="A713">
        <v>344594</v>
      </c>
      <c r="B713" t="s">
        <v>2456</v>
      </c>
      <c r="C713" t="s">
        <v>2402</v>
      </c>
      <c r="D713" t="s">
        <v>1465</v>
      </c>
      <c r="E713" t="s">
        <v>1092</v>
      </c>
      <c r="F713" t="s">
        <v>1398</v>
      </c>
      <c r="G713" t="s">
        <v>1569</v>
      </c>
      <c r="H713" t="s">
        <v>2490</v>
      </c>
      <c r="I713" t="s">
        <v>67</v>
      </c>
    </row>
    <row r="714" spans="1:9">
      <c r="A714">
        <v>344657</v>
      </c>
      <c r="B714" t="s">
        <v>2457</v>
      </c>
      <c r="C714" t="s">
        <v>2403</v>
      </c>
      <c r="D714" t="s">
        <v>1465</v>
      </c>
      <c r="E714" t="s">
        <v>1369</v>
      </c>
      <c r="F714" t="s">
        <v>1398</v>
      </c>
      <c r="G714" t="s">
        <v>1569</v>
      </c>
      <c r="H714" t="s">
        <v>2490</v>
      </c>
      <c r="I714" t="s">
        <v>67</v>
      </c>
    </row>
    <row r="715" spans="1:9">
      <c r="A715">
        <v>350315</v>
      </c>
      <c r="B715" t="s">
        <v>2588</v>
      </c>
      <c r="C715" t="s">
        <v>2494</v>
      </c>
      <c r="D715" t="s">
        <v>1465</v>
      </c>
      <c r="E715" t="s">
        <v>1369</v>
      </c>
      <c r="F715" t="s">
        <v>1398</v>
      </c>
      <c r="G715" t="s">
        <v>1569</v>
      </c>
      <c r="H715" t="s">
        <v>2490</v>
      </c>
      <c r="I715" t="s">
        <v>67</v>
      </c>
    </row>
    <row r="716" spans="1:9">
      <c r="A716">
        <v>344604</v>
      </c>
      <c r="B716" t="s">
        <v>2458</v>
      </c>
      <c r="C716" t="s">
        <v>2404</v>
      </c>
      <c r="D716" t="s">
        <v>1465</v>
      </c>
      <c r="E716" t="s">
        <v>1369</v>
      </c>
      <c r="F716" t="s">
        <v>1398</v>
      </c>
      <c r="G716" t="s">
        <v>1569</v>
      </c>
      <c r="H716" t="s">
        <v>2490</v>
      </c>
      <c r="I716" t="s">
        <v>67</v>
      </c>
    </row>
    <row r="717" spans="1:9">
      <c r="A717">
        <v>344612</v>
      </c>
      <c r="B717" t="s">
        <v>2459</v>
      </c>
      <c r="C717" t="s">
        <v>2405</v>
      </c>
      <c r="D717" t="s">
        <v>1465</v>
      </c>
      <c r="E717" t="s">
        <v>1369</v>
      </c>
      <c r="F717" t="s">
        <v>1398</v>
      </c>
      <c r="G717" t="s">
        <v>1569</v>
      </c>
      <c r="H717" t="s">
        <v>2490</v>
      </c>
      <c r="I717" t="s">
        <v>67</v>
      </c>
    </row>
    <row r="718" spans="1:9">
      <c r="A718">
        <v>322534</v>
      </c>
      <c r="B718" t="s">
        <v>2460</v>
      </c>
      <c r="C718" t="s">
        <v>2406</v>
      </c>
      <c r="D718" t="s">
        <v>1465</v>
      </c>
      <c r="E718" t="s">
        <v>1369</v>
      </c>
      <c r="F718" t="s">
        <v>1398</v>
      </c>
      <c r="G718" t="s">
        <v>1569</v>
      </c>
      <c r="H718" t="s">
        <v>2490</v>
      </c>
      <c r="I718" t="s">
        <v>67</v>
      </c>
    </row>
    <row r="719" spans="1:9">
      <c r="A719">
        <v>344725</v>
      </c>
      <c r="B719" t="s">
        <v>2461</v>
      </c>
      <c r="C719" t="s">
        <v>2407</v>
      </c>
      <c r="D719" t="s">
        <v>1465</v>
      </c>
      <c r="E719" t="s">
        <v>1369</v>
      </c>
      <c r="F719" t="s">
        <v>1398</v>
      </c>
      <c r="G719" t="s">
        <v>1569</v>
      </c>
      <c r="H719" t="s">
        <v>2490</v>
      </c>
      <c r="I719" t="s">
        <v>67</v>
      </c>
    </row>
    <row r="720" spans="1:9">
      <c r="A720">
        <v>344842</v>
      </c>
      <c r="B720" t="s">
        <v>2462</v>
      </c>
      <c r="C720" t="s">
        <v>2408</v>
      </c>
      <c r="D720" t="s">
        <v>1465</v>
      </c>
      <c r="E720" t="s">
        <v>1229</v>
      </c>
      <c r="F720" t="s">
        <v>1398</v>
      </c>
      <c r="G720" t="s">
        <v>1569</v>
      </c>
      <c r="H720" t="s">
        <v>2490</v>
      </c>
      <c r="I720" t="s">
        <v>67</v>
      </c>
    </row>
    <row r="721" spans="1:9">
      <c r="A721">
        <v>260127</v>
      </c>
      <c r="B721" t="s">
        <v>928</v>
      </c>
      <c r="C721" t="s">
        <v>929</v>
      </c>
      <c r="D721" t="s">
        <v>1465</v>
      </c>
      <c r="E721" t="s">
        <v>1229</v>
      </c>
      <c r="F721" t="s">
        <v>1398</v>
      </c>
      <c r="G721" t="s">
        <v>1569</v>
      </c>
      <c r="H721" t="s">
        <v>2490</v>
      </c>
      <c r="I721" t="s">
        <v>67</v>
      </c>
    </row>
    <row r="722" spans="1:9">
      <c r="A722">
        <v>293594</v>
      </c>
      <c r="B722" t="s">
        <v>793</v>
      </c>
      <c r="C722" t="s">
        <v>1453</v>
      </c>
      <c r="D722" t="s">
        <v>1465</v>
      </c>
      <c r="E722" t="s">
        <v>1207</v>
      </c>
      <c r="F722" t="s">
        <v>1405</v>
      </c>
      <c r="G722" t="s">
        <v>1574</v>
      </c>
      <c r="H722" t="s">
        <v>2490</v>
      </c>
      <c r="I722" t="s">
        <v>65</v>
      </c>
    </row>
    <row r="723" spans="1:9">
      <c r="A723">
        <v>296775</v>
      </c>
      <c r="B723" t="s">
        <v>1419</v>
      </c>
      <c r="C723" t="s">
        <v>1391</v>
      </c>
      <c r="D723" t="s">
        <v>1465</v>
      </c>
      <c r="E723" t="s">
        <v>1361</v>
      </c>
      <c r="F723" t="s">
        <v>1405</v>
      </c>
      <c r="G723" t="s">
        <v>1574</v>
      </c>
      <c r="H723" t="s">
        <v>2490</v>
      </c>
      <c r="I723" t="s">
        <v>65</v>
      </c>
    </row>
    <row r="724" spans="1:9">
      <c r="A724">
        <v>325860</v>
      </c>
      <c r="B724" t="s">
        <v>1666</v>
      </c>
      <c r="C724" t="s">
        <v>1667</v>
      </c>
      <c r="D724" t="s">
        <v>1465</v>
      </c>
      <c r="E724" t="s">
        <v>1207</v>
      </c>
      <c r="F724" t="s">
        <v>1405</v>
      </c>
      <c r="G724" t="s">
        <v>1574</v>
      </c>
      <c r="H724" t="s">
        <v>2490</v>
      </c>
      <c r="I724" t="s">
        <v>65</v>
      </c>
    </row>
    <row r="725" spans="1:9">
      <c r="A725">
        <v>345530</v>
      </c>
      <c r="B725" t="s">
        <v>2463</v>
      </c>
      <c r="C725" t="s">
        <v>2409</v>
      </c>
      <c r="D725" t="s">
        <v>1465</v>
      </c>
      <c r="E725" t="s">
        <v>478</v>
      </c>
      <c r="F725" t="s">
        <v>1398</v>
      </c>
      <c r="G725" t="s">
        <v>1569</v>
      </c>
      <c r="H725" t="s">
        <v>2490</v>
      </c>
      <c r="I725" t="s">
        <v>67</v>
      </c>
    </row>
    <row r="726" spans="1:9">
      <c r="A726">
        <v>345529</v>
      </c>
      <c r="B726" t="s">
        <v>2464</v>
      </c>
      <c r="C726" t="s">
        <v>2410</v>
      </c>
      <c r="D726" t="s">
        <v>1465</v>
      </c>
      <c r="E726" t="s">
        <v>478</v>
      </c>
      <c r="F726" t="s">
        <v>1398</v>
      </c>
      <c r="G726" t="s">
        <v>1569</v>
      </c>
      <c r="H726" t="s">
        <v>2490</v>
      </c>
      <c r="I726" t="s">
        <v>67</v>
      </c>
    </row>
    <row r="727" spans="1:9">
      <c r="A727">
        <v>345093</v>
      </c>
      <c r="B727" t="s">
        <v>2465</v>
      </c>
      <c r="C727" t="s">
        <v>2411</v>
      </c>
      <c r="D727" t="s">
        <v>1465</v>
      </c>
      <c r="E727" t="s">
        <v>478</v>
      </c>
      <c r="F727" t="s">
        <v>1398</v>
      </c>
      <c r="G727" t="s">
        <v>1569</v>
      </c>
      <c r="H727" t="s">
        <v>2490</v>
      </c>
      <c r="I727" t="s">
        <v>67</v>
      </c>
    </row>
    <row r="728" spans="1:9">
      <c r="A728">
        <v>345095</v>
      </c>
      <c r="B728" t="s">
        <v>2466</v>
      </c>
      <c r="C728" t="s">
        <v>2412</v>
      </c>
      <c r="D728" t="s">
        <v>1465</v>
      </c>
      <c r="E728" t="s">
        <v>1092</v>
      </c>
      <c r="F728" t="s">
        <v>1398</v>
      </c>
      <c r="G728" t="s">
        <v>1569</v>
      </c>
      <c r="H728" t="s">
        <v>2490</v>
      </c>
      <c r="I728" t="s">
        <v>67</v>
      </c>
    </row>
    <row r="729" spans="1:9">
      <c r="A729">
        <v>345428</v>
      </c>
      <c r="B729" t="s">
        <v>2467</v>
      </c>
      <c r="C729" t="s">
        <v>2413</v>
      </c>
      <c r="D729" t="s">
        <v>1465</v>
      </c>
      <c r="E729" t="s">
        <v>1092</v>
      </c>
      <c r="F729" t="s">
        <v>1398</v>
      </c>
      <c r="G729" t="s">
        <v>1569</v>
      </c>
      <c r="H729" t="s">
        <v>2490</v>
      </c>
      <c r="I729" t="s">
        <v>67</v>
      </c>
    </row>
    <row r="730" spans="1:9">
      <c r="A730">
        <v>345091</v>
      </c>
      <c r="B730" t="s">
        <v>2468</v>
      </c>
      <c r="C730" t="s">
        <v>2414</v>
      </c>
      <c r="D730" t="s">
        <v>1465</v>
      </c>
      <c r="E730" t="s">
        <v>588</v>
      </c>
      <c r="F730" t="s">
        <v>1398</v>
      </c>
      <c r="G730" t="s">
        <v>1569</v>
      </c>
      <c r="H730" t="s">
        <v>2490</v>
      </c>
      <c r="I730" t="s">
        <v>67</v>
      </c>
    </row>
    <row r="731" spans="1:9">
      <c r="A731">
        <v>296109</v>
      </c>
      <c r="B731" t="s">
        <v>2469</v>
      </c>
      <c r="C731" t="s">
        <v>2415</v>
      </c>
      <c r="D731" t="s">
        <v>1465</v>
      </c>
      <c r="E731" t="s">
        <v>588</v>
      </c>
      <c r="F731" t="s">
        <v>1398</v>
      </c>
      <c r="G731" t="s">
        <v>1569</v>
      </c>
      <c r="H731" t="s">
        <v>2490</v>
      </c>
      <c r="I731" t="s">
        <v>67</v>
      </c>
    </row>
    <row r="732" spans="1:9">
      <c r="A732">
        <v>345085</v>
      </c>
      <c r="B732" t="s">
        <v>2470</v>
      </c>
      <c r="C732" t="s">
        <v>2416</v>
      </c>
      <c r="D732" t="s">
        <v>1465</v>
      </c>
      <c r="E732" t="s">
        <v>588</v>
      </c>
      <c r="F732" t="s">
        <v>1398</v>
      </c>
      <c r="G732" t="s">
        <v>1569</v>
      </c>
      <c r="H732" t="s">
        <v>2490</v>
      </c>
      <c r="I732" t="s">
        <v>67</v>
      </c>
    </row>
    <row r="733" spans="1:9">
      <c r="A733">
        <v>296214</v>
      </c>
      <c r="B733" t="s">
        <v>2471</v>
      </c>
      <c r="C733" t="s">
        <v>2417</v>
      </c>
      <c r="D733" t="s">
        <v>1465</v>
      </c>
      <c r="E733" t="s">
        <v>588</v>
      </c>
      <c r="F733" t="s">
        <v>1398</v>
      </c>
      <c r="G733" t="s">
        <v>1569</v>
      </c>
      <c r="H733" t="s">
        <v>2490</v>
      </c>
      <c r="I733" t="s">
        <v>67</v>
      </c>
    </row>
    <row r="734" spans="1:9">
      <c r="A734">
        <v>345080</v>
      </c>
      <c r="B734" t="s">
        <v>2472</v>
      </c>
      <c r="C734" t="s">
        <v>2418</v>
      </c>
      <c r="D734" t="s">
        <v>1465</v>
      </c>
      <c r="E734" t="s">
        <v>588</v>
      </c>
      <c r="F734" t="s">
        <v>1398</v>
      </c>
      <c r="G734" t="s">
        <v>1569</v>
      </c>
      <c r="H734" t="s">
        <v>2490</v>
      </c>
      <c r="I734" t="s">
        <v>67</v>
      </c>
    </row>
    <row r="735" spans="1:9">
      <c r="A735">
        <v>344744</v>
      </c>
      <c r="B735" t="s">
        <v>2473</v>
      </c>
      <c r="C735" t="s">
        <v>2419</v>
      </c>
      <c r="D735" t="s">
        <v>1465</v>
      </c>
      <c r="E735" t="s">
        <v>1289</v>
      </c>
      <c r="F735" t="s">
        <v>1398</v>
      </c>
      <c r="G735" t="s">
        <v>1569</v>
      </c>
      <c r="H735" t="s">
        <v>2490</v>
      </c>
      <c r="I735" t="s">
        <v>67</v>
      </c>
    </row>
    <row r="736" spans="1:9">
      <c r="A736">
        <v>345089</v>
      </c>
      <c r="B736" t="s">
        <v>2474</v>
      </c>
      <c r="C736" t="s">
        <v>2420</v>
      </c>
      <c r="D736" t="s">
        <v>1465</v>
      </c>
      <c r="E736" t="s">
        <v>1289</v>
      </c>
      <c r="F736" t="s">
        <v>1398</v>
      </c>
      <c r="G736" t="s">
        <v>1569</v>
      </c>
      <c r="H736" t="s">
        <v>2490</v>
      </c>
      <c r="I736" t="s">
        <v>67</v>
      </c>
    </row>
    <row r="737" spans="1:9">
      <c r="A737">
        <v>345090</v>
      </c>
      <c r="B737" t="s">
        <v>2475</v>
      </c>
      <c r="C737" t="s">
        <v>2421</v>
      </c>
      <c r="D737" t="s">
        <v>1465</v>
      </c>
      <c r="E737" t="s">
        <v>1289</v>
      </c>
      <c r="F737" t="s">
        <v>1398</v>
      </c>
      <c r="G737" t="s">
        <v>1569</v>
      </c>
      <c r="H737" t="s">
        <v>2490</v>
      </c>
      <c r="I737" t="s">
        <v>67</v>
      </c>
    </row>
    <row r="738" spans="1:9">
      <c r="A738">
        <v>345086</v>
      </c>
      <c r="B738" t="s">
        <v>2476</v>
      </c>
      <c r="C738" t="s">
        <v>2422</v>
      </c>
      <c r="D738" t="s">
        <v>1465</v>
      </c>
      <c r="E738" t="s">
        <v>1289</v>
      </c>
      <c r="F738" t="s">
        <v>1398</v>
      </c>
      <c r="G738" t="s">
        <v>1569</v>
      </c>
      <c r="H738" t="s">
        <v>2490</v>
      </c>
      <c r="I738" t="s">
        <v>67</v>
      </c>
    </row>
    <row r="739" spans="1:9">
      <c r="A739">
        <v>345644</v>
      </c>
      <c r="B739" t="s">
        <v>2477</v>
      </c>
      <c r="C739" t="s">
        <v>2423</v>
      </c>
      <c r="D739" t="s">
        <v>1465</v>
      </c>
      <c r="E739" t="s">
        <v>801</v>
      </c>
      <c r="F739" t="s">
        <v>1405</v>
      </c>
      <c r="G739" t="s">
        <v>1574</v>
      </c>
      <c r="H739" t="s">
        <v>2490</v>
      </c>
      <c r="I739" t="s">
        <v>65</v>
      </c>
    </row>
    <row r="740" spans="1:9">
      <c r="A740">
        <v>345531</v>
      </c>
      <c r="B740" t="s">
        <v>2478</v>
      </c>
      <c r="C740" t="s">
        <v>2424</v>
      </c>
      <c r="D740" t="s">
        <v>1465</v>
      </c>
      <c r="E740" t="s">
        <v>801</v>
      </c>
      <c r="F740" t="s">
        <v>1405</v>
      </c>
      <c r="G740" t="s">
        <v>1574</v>
      </c>
      <c r="H740" t="s">
        <v>2490</v>
      </c>
      <c r="I740" t="s">
        <v>65</v>
      </c>
    </row>
    <row r="741" spans="1:9">
      <c r="A741">
        <v>345533</v>
      </c>
      <c r="B741" t="s">
        <v>2479</v>
      </c>
      <c r="C741" t="s">
        <v>2425</v>
      </c>
      <c r="D741" t="s">
        <v>1465</v>
      </c>
      <c r="E741" t="s">
        <v>801</v>
      </c>
      <c r="F741" t="s">
        <v>1405</v>
      </c>
      <c r="G741" t="s">
        <v>1574</v>
      </c>
      <c r="H741" t="s">
        <v>2490</v>
      </c>
      <c r="I741" t="s">
        <v>65</v>
      </c>
    </row>
    <row r="742" spans="1:9">
      <c r="A742">
        <v>345645</v>
      </c>
      <c r="B742" t="s">
        <v>2480</v>
      </c>
      <c r="C742" t="s">
        <v>2426</v>
      </c>
      <c r="D742" t="s">
        <v>1465</v>
      </c>
      <c r="E742" t="s">
        <v>2491</v>
      </c>
      <c r="F742" t="s">
        <v>610</v>
      </c>
      <c r="G742" t="s">
        <v>1574</v>
      </c>
      <c r="H742" t="s">
        <v>2490</v>
      </c>
      <c r="I742" t="s">
        <v>65</v>
      </c>
    </row>
    <row r="743" spans="1:9">
      <c r="A743">
        <v>347451</v>
      </c>
      <c r="B743" t="s">
        <v>2589</v>
      </c>
      <c r="C743" t="s">
        <v>2495</v>
      </c>
      <c r="D743" t="s">
        <v>1465</v>
      </c>
      <c r="E743" t="s">
        <v>1092</v>
      </c>
      <c r="F743" t="s">
        <v>1398</v>
      </c>
      <c r="G743" t="s">
        <v>1569</v>
      </c>
      <c r="H743" t="s">
        <v>2490</v>
      </c>
      <c r="I743" t="s">
        <v>67</v>
      </c>
    </row>
    <row r="744" spans="1:9">
      <c r="A744">
        <v>346465</v>
      </c>
      <c r="B744" t="s">
        <v>2590</v>
      </c>
      <c r="C744" t="s">
        <v>2496</v>
      </c>
      <c r="D744" t="s">
        <v>1465</v>
      </c>
      <c r="E744" t="s">
        <v>478</v>
      </c>
      <c r="F744" t="s">
        <v>1398</v>
      </c>
      <c r="G744" t="s">
        <v>1569</v>
      </c>
      <c r="H744" t="s">
        <v>2490</v>
      </c>
      <c r="I744" t="s">
        <v>67</v>
      </c>
    </row>
    <row r="745" spans="1:9">
      <c r="A745">
        <v>260269</v>
      </c>
      <c r="B745" t="s">
        <v>1412</v>
      </c>
      <c r="C745" t="s">
        <v>1384</v>
      </c>
      <c r="D745" t="s">
        <v>1465</v>
      </c>
      <c r="E745" t="s">
        <v>1229</v>
      </c>
      <c r="F745" t="s">
        <v>1398</v>
      </c>
      <c r="G745" t="s">
        <v>1569</v>
      </c>
      <c r="H745" t="s">
        <v>2490</v>
      </c>
      <c r="I745" t="s">
        <v>67</v>
      </c>
    </row>
    <row r="746" spans="1:9">
      <c r="A746">
        <v>243331</v>
      </c>
      <c r="B746" t="s">
        <v>1416</v>
      </c>
      <c r="C746" t="s">
        <v>1388</v>
      </c>
      <c r="D746" t="s">
        <v>1465</v>
      </c>
      <c r="E746" t="s">
        <v>1229</v>
      </c>
      <c r="F746" t="s">
        <v>1398</v>
      </c>
      <c r="G746" t="s">
        <v>1569</v>
      </c>
      <c r="H746" t="s">
        <v>2490</v>
      </c>
      <c r="I746" t="s">
        <v>67</v>
      </c>
    </row>
    <row r="747" spans="1:9">
      <c r="A747">
        <v>325894</v>
      </c>
      <c r="B747" t="s">
        <v>1613</v>
      </c>
      <c r="C747" t="s">
        <v>1614</v>
      </c>
      <c r="D747" t="s">
        <v>1465</v>
      </c>
      <c r="E747" t="s">
        <v>588</v>
      </c>
      <c r="F747" t="s">
        <v>1398</v>
      </c>
      <c r="G747" t="s">
        <v>1569</v>
      </c>
      <c r="H747" t="s">
        <v>2490</v>
      </c>
      <c r="I747" t="s">
        <v>67</v>
      </c>
    </row>
    <row r="748" spans="1:9">
      <c r="A748">
        <v>298971</v>
      </c>
      <c r="B748" t="s">
        <v>2591</v>
      </c>
      <c r="C748" t="s">
        <v>2497</v>
      </c>
      <c r="D748" t="s">
        <v>1465</v>
      </c>
      <c r="E748" t="s">
        <v>1367</v>
      </c>
      <c r="F748" t="s">
        <v>610</v>
      </c>
      <c r="G748" t="s">
        <v>1574</v>
      </c>
      <c r="H748" t="s">
        <v>2490</v>
      </c>
      <c r="I748" t="s">
        <v>65</v>
      </c>
    </row>
    <row r="749" spans="1:9">
      <c r="A749">
        <v>349918</v>
      </c>
      <c r="B749" t="s">
        <v>2592</v>
      </c>
      <c r="C749" t="s">
        <v>2498</v>
      </c>
      <c r="D749" t="s">
        <v>1465</v>
      </c>
      <c r="E749" t="s">
        <v>1367</v>
      </c>
      <c r="F749" t="s">
        <v>610</v>
      </c>
      <c r="G749" t="s">
        <v>1574</v>
      </c>
      <c r="H749" t="s">
        <v>2490</v>
      </c>
      <c r="I749" t="s">
        <v>65</v>
      </c>
    </row>
    <row r="750" spans="1:9">
      <c r="A750">
        <v>350056</v>
      </c>
      <c r="B750" t="s">
        <v>2593</v>
      </c>
      <c r="C750" t="s">
        <v>2499</v>
      </c>
      <c r="D750" t="s">
        <v>1465</v>
      </c>
      <c r="E750" t="s">
        <v>1367</v>
      </c>
      <c r="F750" t="s">
        <v>610</v>
      </c>
      <c r="G750" t="s">
        <v>1574</v>
      </c>
      <c r="H750" t="s">
        <v>2490</v>
      </c>
      <c r="I750" t="s">
        <v>65</v>
      </c>
    </row>
    <row r="751" spans="1:9">
      <c r="A751">
        <v>349902</v>
      </c>
      <c r="B751" t="s">
        <v>2594</v>
      </c>
      <c r="C751" t="s">
        <v>2500</v>
      </c>
      <c r="D751" t="s">
        <v>1465</v>
      </c>
      <c r="E751" t="s">
        <v>1367</v>
      </c>
      <c r="F751" t="s">
        <v>610</v>
      </c>
      <c r="G751" t="s">
        <v>1574</v>
      </c>
      <c r="H751" t="s">
        <v>2490</v>
      </c>
      <c r="I751" t="s">
        <v>65</v>
      </c>
    </row>
    <row r="752" spans="1:9">
      <c r="A752">
        <v>350043</v>
      </c>
      <c r="B752" t="s">
        <v>2595</v>
      </c>
      <c r="C752" t="s">
        <v>2501</v>
      </c>
      <c r="D752" t="s">
        <v>1465</v>
      </c>
      <c r="E752" t="s">
        <v>801</v>
      </c>
      <c r="F752" t="s">
        <v>1405</v>
      </c>
      <c r="G752" t="s">
        <v>1574</v>
      </c>
      <c r="H752" t="s">
        <v>2490</v>
      </c>
      <c r="I752" t="s">
        <v>65</v>
      </c>
    </row>
    <row r="753" spans="1:9">
      <c r="A753">
        <v>350046</v>
      </c>
      <c r="B753" t="s">
        <v>2596</v>
      </c>
      <c r="C753" t="s">
        <v>2502</v>
      </c>
      <c r="D753" t="s">
        <v>1465</v>
      </c>
      <c r="E753" t="s">
        <v>801</v>
      </c>
      <c r="F753" t="s">
        <v>1405</v>
      </c>
      <c r="G753" t="s">
        <v>1574</v>
      </c>
      <c r="H753" t="s">
        <v>2490</v>
      </c>
      <c r="I753" t="s">
        <v>65</v>
      </c>
    </row>
    <row r="754" spans="1:9">
      <c r="A754">
        <v>350082</v>
      </c>
      <c r="B754" t="s">
        <v>2597</v>
      </c>
      <c r="C754" t="s">
        <v>2503</v>
      </c>
      <c r="D754" t="s">
        <v>1465</v>
      </c>
      <c r="E754" t="s">
        <v>801</v>
      </c>
      <c r="F754" t="s">
        <v>1405</v>
      </c>
      <c r="G754" t="s">
        <v>1574</v>
      </c>
      <c r="H754" t="s">
        <v>2490</v>
      </c>
      <c r="I754" t="s">
        <v>65</v>
      </c>
    </row>
    <row r="755" spans="1:9">
      <c r="A755">
        <v>350048</v>
      </c>
      <c r="B755" t="s">
        <v>2598</v>
      </c>
      <c r="C755" t="s">
        <v>2504</v>
      </c>
      <c r="D755" t="s">
        <v>1465</v>
      </c>
      <c r="E755" t="s">
        <v>2491</v>
      </c>
      <c r="F755" t="s">
        <v>610</v>
      </c>
      <c r="G755" t="s">
        <v>1574</v>
      </c>
      <c r="H755" t="s">
        <v>2490</v>
      </c>
      <c r="I755" t="s">
        <v>65</v>
      </c>
    </row>
    <row r="756" spans="1:9">
      <c r="A756">
        <v>350053</v>
      </c>
      <c r="B756" t="s">
        <v>2599</v>
      </c>
      <c r="C756" t="s">
        <v>2505</v>
      </c>
      <c r="D756" t="s">
        <v>1465</v>
      </c>
      <c r="E756" t="s">
        <v>2491</v>
      </c>
      <c r="F756" t="s">
        <v>610</v>
      </c>
      <c r="G756" t="s">
        <v>1574</v>
      </c>
      <c r="H756" t="s">
        <v>2490</v>
      </c>
      <c r="I756" t="s">
        <v>65</v>
      </c>
    </row>
    <row r="757" spans="1:9">
      <c r="A757">
        <v>350055</v>
      </c>
      <c r="B757" t="s">
        <v>2600</v>
      </c>
      <c r="C757" t="s">
        <v>2506</v>
      </c>
      <c r="D757" t="s">
        <v>1465</v>
      </c>
      <c r="E757" t="s">
        <v>2491</v>
      </c>
      <c r="F757" t="s">
        <v>610</v>
      </c>
      <c r="G757" t="s">
        <v>1574</v>
      </c>
      <c r="H757" t="s">
        <v>2490</v>
      </c>
      <c r="I757" t="s">
        <v>65</v>
      </c>
    </row>
    <row r="758" spans="1:9">
      <c r="A758">
        <v>349989</v>
      </c>
      <c r="B758" t="s">
        <v>2601</v>
      </c>
      <c r="C758" t="s">
        <v>2507</v>
      </c>
      <c r="D758" t="s">
        <v>1465</v>
      </c>
      <c r="E758" t="s">
        <v>514</v>
      </c>
      <c r="F758" t="s">
        <v>610</v>
      </c>
      <c r="G758" t="s">
        <v>1574</v>
      </c>
      <c r="H758" t="s">
        <v>2490</v>
      </c>
      <c r="I758" t="s">
        <v>65</v>
      </c>
    </row>
    <row r="759" spans="1:9">
      <c r="A759">
        <v>349993</v>
      </c>
      <c r="B759" t="s">
        <v>2602</v>
      </c>
      <c r="C759" t="s">
        <v>2508</v>
      </c>
      <c r="D759" t="s">
        <v>1465</v>
      </c>
      <c r="E759" t="s">
        <v>514</v>
      </c>
      <c r="F759" t="s">
        <v>610</v>
      </c>
      <c r="G759" t="s">
        <v>1574</v>
      </c>
      <c r="H759" t="s">
        <v>2490</v>
      </c>
      <c r="I759" t="s">
        <v>65</v>
      </c>
    </row>
    <row r="760" spans="1:9">
      <c r="A760">
        <v>350034</v>
      </c>
      <c r="B760" t="s">
        <v>2603</v>
      </c>
      <c r="C760" t="s">
        <v>2509</v>
      </c>
      <c r="D760" t="s">
        <v>1465</v>
      </c>
      <c r="E760" t="s">
        <v>514</v>
      </c>
      <c r="F760" t="s">
        <v>610</v>
      </c>
      <c r="G760" t="s">
        <v>1574</v>
      </c>
      <c r="H760" t="s">
        <v>2490</v>
      </c>
      <c r="I760" t="s">
        <v>65</v>
      </c>
    </row>
    <row r="761" spans="1:9">
      <c r="A761">
        <v>350037</v>
      </c>
      <c r="B761" t="s">
        <v>2604</v>
      </c>
      <c r="C761" t="s">
        <v>2510</v>
      </c>
      <c r="D761" t="s">
        <v>1465</v>
      </c>
      <c r="E761" t="s">
        <v>514</v>
      </c>
      <c r="F761" t="s">
        <v>610</v>
      </c>
      <c r="G761" t="s">
        <v>1574</v>
      </c>
      <c r="H761" t="s">
        <v>2490</v>
      </c>
      <c r="I761" t="s">
        <v>65</v>
      </c>
    </row>
    <row r="762" spans="1:9">
      <c r="A762">
        <v>350040</v>
      </c>
      <c r="B762" t="s">
        <v>2605</v>
      </c>
      <c r="C762" t="s">
        <v>2511</v>
      </c>
      <c r="D762" t="s">
        <v>1465</v>
      </c>
      <c r="E762" t="s">
        <v>514</v>
      </c>
      <c r="F762" t="s">
        <v>610</v>
      </c>
      <c r="G762" t="s">
        <v>1574</v>
      </c>
      <c r="H762" t="s">
        <v>2490</v>
      </c>
      <c r="I762" t="s">
        <v>65</v>
      </c>
    </row>
    <row r="763" spans="1:9">
      <c r="A763">
        <v>266743</v>
      </c>
      <c r="B763" t="s">
        <v>2606</v>
      </c>
      <c r="C763" t="s">
        <v>2512</v>
      </c>
      <c r="D763" t="s">
        <v>1465</v>
      </c>
      <c r="E763" t="s">
        <v>478</v>
      </c>
      <c r="F763" t="s">
        <v>1398</v>
      </c>
      <c r="G763" t="s">
        <v>1569</v>
      </c>
      <c r="H763" t="s">
        <v>2490</v>
      </c>
      <c r="I763" t="s">
        <v>67</v>
      </c>
    </row>
    <row r="764" spans="1:9">
      <c r="A764">
        <v>349984</v>
      </c>
      <c r="B764" t="s">
        <v>2607</v>
      </c>
      <c r="C764" t="s">
        <v>2513</v>
      </c>
      <c r="D764" t="s">
        <v>1465</v>
      </c>
      <c r="E764" t="s">
        <v>478</v>
      </c>
      <c r="F764" t="s">
        <v>1398</v>
      </c>
      <c r="G764" t="s">
        <v>1569</v>
      </c>
      <c r="H764" t="s">
        <v>2490</v>
      </c>
      <c r="I764" t="s">
        <v>67</v>
      </c>
    </row>
    <row r="765" spans="1:9">
      <c r="A765">
        <v>349991</v>
      </c>
      <c r="B765" t="s">
        <v>2608</v>
      </c>
      <c r="C765" t="s">
        <v>2514</v>
      </c>
      <c r="D765" t="s">
        <v>1465</v>
      </c>
      <c r="E765" t="s">
        <v>588</v>
      </c>
      <c r="F765" t="s">
        <v>1398</v>
      </c>
      <c r="G765" t="s">
        <v>1569</v>
      </c>
      <c r="H765" t="s">
        <v>2490</v>
      </c>
      <c r="I765" t="s">
        <v>67</v>
      </c>
    </row>
    <row r="766" spans="1:9">
      <c r="A766">
        <v>299080</v>
      </c>
      <c r="B766" t="s">
        <v>2609</v>
      </c>
      <c r="C766" t="s">
        <v>2515</v>
      </c>
      <c r="D766" t="s">
        <v>1465</v>
      </c>
      <c r="E766" t="s">
        <v>588</v>
      </c>
      <c r="F766" t="s">
        <v>1398</v>
      </c>
      <c r="G766" t="s">
        <v>1569</v>
      </c>
      <c r="H766" t="s">
        <v>2490</v>
      </c>
      <c r="I766" t="s">
        <v>67</v>
      </c>
    </row>
    <row r="767" spans="1:9">
      <c r="A767">
        <v>349986</v>
      </c>
      <c r="B767" t="s">
        <v>2610</v>
      </c>
      <c r="C767" t="s">
        <v>2516</v>
      </c>
      <c r="D767" t="s">
        <v>1465</v>
      </c>
      <c r="E767" t="s">
        <v>588</v>
      </c>
      <c r="F767" t="s">
        <v>1398</v>
      </c>
      <c r="G767" t="s">
        <v>1569</v>
      </c>
      <c r="H767" t="s">
        <v>2490</v>
      </c>
      <c r="I767" t="s">
        <v>67</v>
      </c>
    </row>
    <row r="768" spans="1:9">
      <c r="A768">
        <v>350128</v>
      </c>
      <c r="B768" t="s">
        <v>2611</v>
      </c>
      <c r="C768" t="s">
        <v>2517</v>
      </c>
      <c r="D768" t="s">
        <v>1465</v>
      </c>
      <c r="E768" t="s">
        <v>514</v>
      </c>
      <c r="F768" t="s">
        <v>610</v>
      </c>
      <c r="G768" t="s">
        <v>1574</v>
      </c>
      <c r="H768" t="s">
        <v>2490</v>
      </c>
      <c r="I768" t="s">
        <v>65</v>
      </c>
    </row>
    <row r="769" spans="1:9">
      <c r="A769">
        <v>350368</v>
      </c>
      <c r="B769" t="s">
        <v>2612</v>
      </c>
      <c r="C769" t="s">
        <v>2518</v>
      </c>
      <c r="D769" t="s">
        <v>1465</v>
      </c>
      <c r="E769" t="s">
        <v>514</v>
      </c>
      <c r="F769" t="s">
        <v>610</v>
      </c>
      <c r="G769" t="s">
        <v>1574</v>
      </c>
      <c r="H769" t="s">
        <v>2490</v>
      </c>
      <c r="I769" t="s">
        <v>65</v>
      </c>
    </row>
    <row r="770" spans="1:9">
      <c r="A770">
        <v>293600</v>
      </c>
      <c r="B770" t="s">
        <v>2613</v>
      </c>
      <c r="C770" t="s">
        <v>2519</v>
      </c>
      <c r="D770" t="s">
        <v>1465</v>
      </c>
      <c r="E770" t="s">
        <v>514</v>
      </c>
      <c r="F770" t="s">
        <v>610</v>
      </c>
      <c r="G770" t="s">
        <v>1574</v>
      </c>
      <c r="H770" t="s">
        <v>2490</v>
      </c>
      <c r="I770" t="s">
        <v>65</v>
      </c>
    </row>
    <row r="771" spans="1:9">
      <c r="A771">
        <v>350317</v>
      </c>
      <c r="B771" t="s">
        <v>2614</v>
      </c>
      <c r="C771" t="s">
        <v>2520</v>
      </c>
      <c r="D771" t="s">
        <v>1465</v>
      </c>
      <c r="E771" t="s">
        <v>514</v>
      </c>
      <c r="F771" t="s">
        <v>610</v>
      </c>
      <c r="G771" t="s">
        <v>1574</v>
      </c>
      <c r="H771" t="s">
        <v>2490</v>
      </c>
      <c r="I771" t="s">
        <v>65</v>
      </c>
    </row>
    <row r="772" spans="1:9">
      <c r="A772">
        <v>350342</v>
      </c>
      <c r="B772" t="s">
        <v>2615</v>
      </c>
      <c r="C772" t="s">
        <v>2521</v>
      </c>
      <c r="D772" t="s">
        <v>1465</v>
      </c>
      <c r="E772" t="s">
        <v>801</v>
      </c>
      <c r="F772" t="s">
        <v>1405</v>
      </c>
      <c r="G772" t="s">
        <v>1574</v>
      </c>
      <c r="H772" t="s">
        <v>2490</v>
      </c>
      <c r="I772" t="s">
        <v>65</v>
      </c>
    </row>
    <row r="773" spans="1:9">
      <c r="A773">
        <v>350349</v>
      </c>
      <c r="B773" t="s">
        <v>2616</v>
      </c>
      <c r="C773" t="s">
        <v>2522</v>
      </c>
      <c r="D773" t="s">
        <v>1465</v>
      </c>
      <c r="E773" t="s">
        <v>801</v>
      </c>
      <c r="F773" t="s">
        <v>1405</v>
      </c>
      <c r="G773" t="s">
        <v>1574</v>
      </c>
      <c r="H773" t="s">
        <v>2490</v>
      </c>
      <c r="I773" t="s">
        <v>65</v>
      </c>
    </row>
    <row r="774" spans="1:9">
      <c r="A774">
        <v>350327</v>
      </c>
      <c r="B774" t="s">
        <v>2617</v>
      </c>
      <c r="C774" t="s">
        <v>2523</v>
      </c>
      <c r="D774" t="s">
        <v>1465</v>
      </c>
      <c r="E774" t="s">
        <v>801</v>
      </c>
      <c r="F774" t="s">
        <v>1405</v>
      </c>
      <c r="G774" t="s">
        <v>1574</v>
      </c>
      <c r="H774" t="s">
        <v>2490</v>
      </c>
      <c r="I774" t="s">
        <v>65</v>
      </c>
    </row>
    <row r="775" spans="1:9">
      <c r="A775">
        <v>350364</v>
      </c>
      <c r="B775" t="s">
        <v>2618</v>
      </c>
      <c r="C775" t="s">
        <v>2524</v>
      </c>
      <c r="D775" t="s">
        <v>1465</v>
      </c>
      <c r="E775" t="s">
        <v>1289</v>
      </c>
      <c r="F775" t="s">
        <v>1398</v>
      </c>
      <c r="G775" t="s">
        <v>1569</v>
      </c>
      <c r="H775" t="s">
        <v>2490</v>
      </c>
      <c r="I775" t="s">
        <v>67</v>
      </c>
    </row>
    <row r="776" spans="1:9">
      <c r="A776">
        <v>349506</v>
      </c>
      <c r="B776" t="s">
        <v>2619</v>
      </c>
      <c r="C776" t="s">
        <v>2525</v>
      </c>
      <c r="D776" t="s">
        <v>1465</v>
      </c>
      <c r="E776" t="s">
        <v>1361</v>
      </c>
      <c r="F776" t="s">
        <v>1405</v>
      </c>
      <c r="G776" t="s">
        <v>1594</v>
      </c>
      <c r="H776" t="s">
        <v>2490</v>
      </c>
      <c r="I776" t="s">
        <v>65</v>
      </c>
    </row>
    <row r="777" spans="1:9">
      <c r="A777">
        <v>349574</v>
      </c>
      <c r="B777" t="s">
        <v>2620</v>
      </c>
      <c r="C777" t="s">
        <v>2526</v>
      </c>
      <c r="D777" t="s">
        <v>1465</v>
      </c>
      <c r="E777" t="s">
        <v>1361</v>
      </c>
      <c r="F777" t="s">
        <v>1405</v>
      </c>
      <c r="G777" t="s">
        <v>1594</v>
      </c>
      <c r="H777" t="s">
        <v>2490</v>
      </c>
      <c r="I777" t="s">
        <v>65</v>
      </c>
    </row>
    <row r="778" spans="1:9">
      <c r="A778">
        <v>350319</v>
      </c>
      <c r="B778" t="s">
        <v>2621</v>
      </c>
      <c r="C778" t="s">
        <v>2527</v>
      </c>
      <c r="D778" t="s">
        <v>1465</v>
      </c>
      <c r="E778" t="s">
        <v>1361</v>
      </c>
      <c r="F778" t="s">
        <v>1405</v>
      </c>
      <c r="G778" t="s">
        <v>1594</v>
      </c>
      <c r="H778" t="s">
        <v>2490</v>
      </c>
      <c r="I778" t="s">
        <v>65</v>
      </c>
    </row>
    <row r="779" spans="1:9">
      <c r="A779">
        <v>350321</v>
      </c>
      <c r="B779" t="s">
        <v>2622</v>
      </c>
      <c r="C779" t="s">
        <v>2528</v>
      </c>
      <c r="D779" t="s">
        <v>1465</v>
      </c>
      <c r="E779" t="s">
        <v>1361</v>
      </c>
      <c r="F779" t="s">
        <v>1405</v>
      </c>
      <c r="G779" t="s">
        <v>1594</v>
      </c>
      <c r="H779" t="s">
        <v>2490</v>
      </c>
      <c r="I779" t="s">
        <v>65</v>
      </c>
    </row>
    <row r="780" spans="1:9">
      <c r="A780">
        <v>350356</v>
      </c>
      <c r="B780" t="s">
        <v>2623</v>
      </c>
      <c r="C780" t="s">
        <v>2529</v>
      </c>
      <c r="D780" t="s">
        <v>1465</v>
      </c>
      <c r="E780" t="s">
        <v>1369</v>
      </c>
      <c r="F780" t="s">
        <v>1398</v>
      </c>
      <c r="G780" t="s">
        <v>1569</v>
      </c>
      <c r="H780" t="s">
        <v>2490</v>
      </c>
      <c r="I780" t="s">
        <v>67</v>
      </c>
    </row>
    <row r="781" spans="1:9">
      <c r="A781">
        <v>350367</v>
      </c>
      <c r="B781" t="s">
        <v>2624</v>
      </c>
      <c r="C781" t="s">
        <v>2530</v>
      </c>
      <c r="D781" t="s">
        <v>1465</v>
      </c>
      <c r="E781" t="s">
        <v>1369</v>
      </c>
      <c r="F781" t="s">
        <v>1398</v>
      </c>
      <c r="G781" t="s">
        <v>1569</v>
      </c>
      <c r="H781" t="s">
        <v>2490</v>
      </c>
      <c r="I781" t="s">
        <v>67</v>
      </c>
    </row>
    <row r="782" spans="1:9">
      <c r="A782">
        <v>350344</v>
      </c>
      <c r="B782" t="s">
        <v>2625</v>
      </c>
      <c r="C782" t="s">
        <v>2531</v>
      </c>
      <c r="D782" t="s">
        <v>1465</v>
      </c>
      <c r="E782" t="s">
        <v>1369</v>
      </c>
      <c r="F782" t="s">
        <v>1398</v>
      </c>
      <c r="G782" t="s">
        <v>1569</v>
      </c>
      <c r="H782" t="s">
        <v>2490</v>
      </c>
      <c r="I782" t="s">
        <v>67</v>
      </c>
    </row>
    <row r="783" spans="1:9">
      <c r="A783">
        <v>350717</v>
      </c>
      <c r="B783" t="s">
        <v>2626</v>
      </c>
      <c r="C783" t="s">
        <v>2532</v>
      </c>
      <c r="D783" t="s">
        <v>1465</v>
      </c>
      <c r="E783" t="s">
        <v>801</v>
      </c>
      <c r="F783" t="s">
        <v>1405</v>
      </c>
      <c r="G783" t="s">
        <v>1574</v>
      </c>
      <c r="H783" t="s">
        <v>2490</v>
      </c>
      <c r="I783" t="s">
        <v>65</v>
      </c>
    </row>
    <row r="784" spans="1:9">
      <c r="A784">
        <v>350719</v>
      </c>
      <c r="B784" t="s">
        <v>2627</v>
      </c>
      <c r="C784" t="s">
        <v>2533</v>
      </c>
      <c r="D784" t="s">
        <v>1465</v>
      </c>
      <c r="E784" t="s">
        <v>2491</v>
      </c>
      <c r="F784" t="s">
        <v>610</v>
      </c>
      <c r="G784" t="s">
        <v>1574</v>
      </c>
      <c r="H784" t="s">
        <v>2490</v>
      </c>
      <c r="I784" t="s">
        <v>65</v>
      </c>
    </row>
    <row r="785" spans="1:9">
      <c r="A785">
        <v>350720</v>
      </c>
      <c r="B785" t="s">
        <v>2628</v>
      </c>
      <c r="C785" t="s">
        <v>2534</v>
      </c>
      <c r="D785" t="s">
        <v>1465</v>
      </c>
      <c r="E785" t="s">
        <v>2491</v>
      </c>
      <c r="F785" t="s">
        <v>610</v>
      </c>
      <c r="G785" t="s">
        <v>1574</v>
      </c>
      <c r="H785" t="s">
        <v>2490</v>
      </c>
      <c r="I785" t="s">
        <v>65</v>
      </c>
    </row>
    <row r="786" spans="1:9">
      <c r="A786">
        <v>350721</v>
      </c>
      <c r="B786" t="s">
        <v>2629</v>
      </c>
      <c r="C786" t="s">
        <v>2535</v>
      </c>
      <c r="D786" t="s">
        <v>1465</v>
      </c>
      <c r="E786" t="s">
        <v>2491</v>
      </c>
      <c r="F786" t="s">
        <v>610</v>
      </c>
      <c r="G786" t="s">
        <v>1574</v>
      </c>
      <c r="H786" t="s">
        <v>2490</v>
      </c>
      <c r="I786" t="s">
        <v>65</v>
      </c>
    </row>
    <row r="787" spans="1:9">
      <c r="A787">
        <v>350544</v>
      </c>
      <c r="B787" t="s">
        <v>2630</v>
      </c>
      <c r="C787" t="s">
        <v>2536</v>
      </c>
      <c r="D787" t="s">
        <v>1465</v>
      </c>
      <c r="E787" t="s">
        <v>1092</v>
      </c>
      <c r="F787" t="s">
        <v>1398</v>
      </c>
      <c r="G787" t="s">
        <v>1569</v>
      </c>
      <c r="H787" t="s">
        <v>2490</v>
      </c>
      <c r="I787" t="s">
        <v>67</v>
      </c>
    </row>
    <row r="788" spans="1:9">
      <c r="A788">
        <v>350724</v>
      </c>
      <c r="B788" t="s">
        <v>2631</v>
      </c>
      <c r="C788" t="s">
        <v>2537</v>
      </c>
      <c r="D788" t="s">
        <v>1465</v>
      </c>
      <c r="E788" t="s">
        <v>1092</v>
      </c>
      <c r="F788" t="s">
        <v>1398</v>
      </c>
      <c r="G788" t="s">
        <v>1569</v>
      </c>
      <c r="H788" t="s">
        <v>2490</v>
      </c>
      <c r="I788" t="s">
        <v>67</v>
      </c>
    </row>
    <row r="789" spans="1:9">
      <c r="A789">
        <v>350728</v>
      </c>
      <c r="B789" t="s">
        <v>2632</v>
      </c>
      <c r="C789" t="s">
        <v>2538</v>
      </c>
      <c r="D789" t="s">
        <v>1465</v>
      </c>
      <c r="E789" t="s">
        <v>1092</v>
      </c>
      <c r="F789" t="s">
        <v>1398</v>
      </c>
      <c r="G789" t="s">
        <v>1569</v>
      </c>
      <c r="H789" t="s">
        <v>2490</v>
      </c>
      <c r="I789" t="s">
        <v>67</v>
      </c>
    </row>
    <row r="790" spans="1:9">
      <c r="A790">
        <v>350730</v>
      </c>
      <c r="B790" t="s">
        <v>2633</v>
      </c>
      <c r="C790" t="s">
        <v>2539</v>
      </c>
      <c r="D790" t="s">
        <v>1465</v>
      </c>
      <c r="E790" t="s">
        <v>2491</v>
      </c>
      <c r="F790" t="s">
        <v>610</v>
      </c>
      <c r="G790" t="s">
        <v>1574</v>
      </c>
      <c r="H790" t="s">
        <v>2490</v>
      </c>
      <c r="I790" t="s">
        <v>65</v>
      </c>
    </row>
    <row r="791" spans="1:9">
      <c r="A791">
        <v>350731</v>
      </c>
      <c r="B791" t="s">
        <v>2634</v>
      </c>
      <c r="C791" t="s">
        <v>2540</v>
      </c>
      <c r="D791" t="s">
        <v>1465</v>
      </c>
      <c r="E791" t="s">
        <v>2491</v>
      </c>
      <c r="F791" t="s">
        <v>610</v>
      </c>
      <c r="G791" t="s">
        <v>1574</v>
      </c>
      <c r="H791" t="s">
        <v>2490</v>
      </c>
      <c r="I791" t="s">
        <v>65</v>
      </c>
    </row>
    <row r="792" spans="1:9">
      <c r="A792">
        <v>350732</v>
      </c>
      <c r="B792" t="s">
        <v>2635</v>
      </c>
      <c r="C792" t="s">
        <v>2541</v>
      </c>
      <c r="D792" t="s">
        <v>1465</v>
      </c>
      <c r="E792" t="s">
        <v>2491</v>
      </c>
      <c r="F792" t="s">
        <v>610</v>
      </c>
      <c r="G792" t="s">
        <v>1574</v>
      </c>
      <c r="H792" t="s">
        <v>2490</v>
      </c>
      <c r="I792" t="s">
        <v>65</v>
      </c>
    </row>
    <row r="793" spans="1:9">
      <c r="A793">
        <v>350722</v>
      </c>
      <c r="B793" t="s">
        <v>2636</v>
      </c>
      <c r="C793" t="s">
        <v>2542</v>
      </c>
      <c r="D793" t="s">
        <v>1465</v>
      </c>
      <c r="E793" t="s">
        <v>1289</v>
      </c>
      <c r="F793" t="s">
        <v>1398</v>
      </c>
      <c r="G793" t="s">
        <v>1569</v>
      </c>
      <c r="H793" t="s">
        <v>2490</v>
      </c>
      <c r="I793" t="s">
        <v>67</v>
      </c>
    </row>
    <row r="794" spans="1:9">
      <c r="A794">
        <v>350550</v>
      </c>
      <c r="B794" t="s">
        <v>2637</v>
      </c>
      <c r="C794" t="s">
        <v>2543</v>
      </c>
      <c r="D794" t="s">
        <v>1465</v>
      </c>
      <c r="E794" t="s">
        <v>1289</v>
      </c>
      <c r="F794" t="s">
        <v>1398</v>
      </c>
      <c r="G794" t="s">
        <v>1569</v>
      </c>
      <c r="H794" t="s">
        <v>2490</v>
      </c>
      <c r="I794" t="s">
        <v>67</v>
      </c>
    </row>
    <row r="795" spans="1:9">
      <c r="A795">
        <v>350553</v>
      </c>
      <c r="B795" t="s">
        <v>2638</v>
      </c>
      <c r="C795" t="s">
        <v>2544</v>
      </c>
      <c r="D795" t="s">
        <v>1465</v>
      </c>
      <c r="E795" t="s">
        <v>1289</v>
      </c>
      <c r="F795" t="s">
        <v>1398</v>
      </c>
      <c r="G795" t="s">
        <v>1569</v>
      </c>
      <c r="H795" t="s">
        <v>2490</v>
      </c>
      <c r="I795" t="s">
        <v>67</v>
      </c>
    </row>
    <row r="796" spans="1:9">
      <c r="A796">
        <v>350570</v>
      </c>
      <c r="B796" t="s">
        <v>2639</v>
      </c>
      <c r="C796" t="s">
        <v>2545</v>
      </c>
      <c r="D796" t="s">
        <v>1465</v>
      </c>
      <c r="E796" t="s">
        <v>588</v>
      </c>
      <c r="F796" t="s">
        <v>1398</v>
      </c>
      <c r="G796" t="s">
        <v>1569</v>
      </c>
      <c r="H796" t="s">
        <v>2490</v>
      </c>
      <c r="I796" t="s">
        <v>67</v>
      </c>
    </row>
    <row r="797" spans="1:9">
      <c r="A797">
        <v>350716</v>
      </c>
      <c r="B797" t="s">
        <v>2640</v>
      </c>
      <c r="C797" t="s">
        <v>2546</v>
      </c>
      <c r="D797" t="s">
        <v>1465</v>
      </c>
      <c r="E797" t="s">
        <v>588</v>
      </c>
      <c r="F797" t="s">
        <v>1398</v>
      </c>
      <c r="G797" t="s">
        <v>1569</v>
      </c>
      <c r="H797" t="s">
        <v>2490</v>
      </c>
      <c r="I797" t="s">
        <v>67</v>
      </c>
    </row>
    <row r="798" spans="1:9">
      <c r="A798">
        <v>350725</v>
      </c>
      <c r="B798" t="s">
        <v>2641</v>
      </c>
      <c r="C798" t="s">
        <v>2547</v>
      </c>
      <c r="D798" t="s">
        <v>1465</v>
      </c>
      <c r="E798" t="s">
        <v>588</v>
      </c>
      <c r="F798" t="s">
        <v>1398</v>
      </c>
      <c r="G798" t="s">
        <v>1569</v>
      </c>
      <c r="H798" t="s">
        <v>2490</v>
      </c>
      <c r="I798" t="s">
        <v>67</v>
      </c>
    </row>
    <row r="799" spans="1:9">
      <c r="A799">
        <v>350562</v>
      </c>
      <c r="B799" t="s">
        <v>2642</v>
      </c>
      <c r="C799" t="s">
        <v>2548</v>
      </c>
      <c r="D799" t="s">
        <v>1465</v>
      </c>
      <c r="E799" t="s">
        <v>961</v>
      </c>
      <c r="F799" t="s">
        <v>1394</v>
      </c>
      <c r="G799" t="s">
        <v>1573</v>
      </c>
      <c r="H799" t="s">
        <v>2490</v>
      </c>
      <c r="I799" t="s">
        <v>59</v>
      </c>
    </row>
    <row r="800" spans="1:9">
      <c r="A800">
        <v>350790</v>
      </c>
      <c r="B800" t="s">
        <v>2643</v>
      </c>
      <c r="C800" t="s">
        <v>2549</v>
      </c>
      <c r="D800" t="s">
        <v>1465</v>
      </c>
      <c r="E800" t="s">
        <v>478</v>
      </c>
      <c r="F800" t="s">
        <v>1398</v>
      </c>
      <c r="G800" t="s">
        <v>1569</v>
      </c>
      <c r="H800" t="s">
        <v>2490</v>
      </c>
      <c r="I800" t="s">
        <v>67</v>
      </c>
    </row>
    <row r="801" spans="1:9">
      <c r="A801">
        <v>350926</v>
      </c>
      <c r="B801" t="s">
        <v>2644</v>
      </c>
      <c r="C801" t="s">
        <v>2550</v>
      </c>
      <c r="D801" t="s">
        <v>1465</v>
      </c>
      <c r="E801" t="s">
        <v>1028</v>
      </c>
      <c r="F801" t="s">
        <v>1394</v>
      </c>
      <c r="G801" t="s">
        <v>1573</v>
      </c>
      <c r="H801" t="s">
        <v>2490</v>
      </c>
      <c r="I801" t="s">
        <v>59</v>
      </c>
    </row>
    <row r="802" spans="1:9">
      <c r="A802">
        <v>350928</v>
      </c>
      <c r="B802" t="s">
        <v>2645</v>
      </c>
      <c r="C802" t="s">
        <v>2551</v>
      </c>
      <c r="D802" t="s">
        <v>1465</v>
      </c>
      <c r="E802" t="s">
        <v>1028</v>
      </c>
      <c r="F802" t="s">
        <v>1394</v>
      </c>
      <c r="G802" t="s">
        <v>1573</v>
      </c>
      <c r="H802" t="s">
        <v>2490</v>
      </c>
      <c r="I802" t="s">
        <v>59</v>
      </c>
    </row>
    <row r="803" spans="1:9">
      <c r="A803">
        <v>350929</v>
      </c>
      <c r="B803" t="s">
        <v>2646</v>
      </c>
      <c r="C803" t="s">
        <v>2552</v>
      </c>
      <c r="D803" t="s">
        <v>1465</v>
      </c>
      <c r="E803" t="s">
        <v>1028</v>
      </c>
      <c r="F803" t="s">
        <v>1394</v>
      </c>
      <c r="G803" t="s">
        <v>1573</v>
      </c>
      <c r="H803" t="s">
        <v>2490</v>
      </c>
      <c r="I803" t="s">
        <v>59</v>
      </c>
    </row>
    <row r="804" spans="1:9">
      <c r="A804">
        <v>350947</v>
      </c>
      <c r="B804" t="s">
        <v>2647</v>
      </c>
      <c r="C804" t="s">
        <v>2553</v>
      </c>
      <c r="D804" t="s">
        <v>1465</v>
      </c>
      <c r="E804" t="s">
        <v>961</v>
      </c>
      <c r="F804" t="s">
        <v>1394</v>
      </c>
      <c r="G804" t="s">
        <v>1573</v>
      </c>
      <c r="H804" t="s">
        <v>2490</v>
      </c>
      <c r="I804" t="s">
        <v>59</v>
      </c>
    </row>
    <row r="805" spans="1:9">
      <c r="A805">
        <v>350950</v>
      </c>
      <c r="B805" t="s">
        <v>2648</v>
      </c>
      <c r="C805" t="s">
        <v>2554</v>
      </c>
      <c r="D805" t="s">
        <v>1465</v>
      </c>
      <c r="E805" t="s">
        <v>961</v>
      </c>
      <c r="F805" t="s">
        <v>1394</v>
      </c>
      <c r="G805" t="s">
        <v>1573</v>
      </c>
      <c r="H805" t="s">
        <v>2490</v>
      </c>
      <c r="I805" t="s">
        <v>59</v>
      </c>
    </row>
    <row r="806" spans="1:9">
      <c r="A806">
        <v>350930</v>
      </c>
      <c r="B806" t="s">
        <v>2649</v>
      </c>
      <c r="C806" t="s">
        <v>2555</v>
      </c>
      <c r="D806" t="s">
        <v>1465</v>
      </c>
      <c r="E806" t="s">
        <v>1092</v>
      </c>
      <c r="F806" t="s">
        <v>1398</v>
      </c>
      <c r="G806" t="s">
        <v>1569</v>
      </c>
      <c r="H806" t="s">
        <v>2490</v>
      </c>
      <c r="I806" t="s">
        <v>67</v>
      </c>
    </row>
    <row r="807" spans="1:9">
      <c r="A807">
        <v>350932</v>
      </c>
      <c r="B807" t="s">
        <v>2650</v>
      </c>
      <c r="C807" t="s">
        <v>2556</v>
      </c>
      <c r="D807" t="s">
        <v>1465</v>
      </c>
      <c r="E807" t="s">
        <v>1092</v>
      </c>
      <c r="F807" t="s">
        <v>1398</v>
      </c>
      <c r="G807" t="s">
        <v>1569</v>
      </c>
      <c r="H807" t="s">
        <v>2490</v>
      </c>
      <c r="I807" t="s">
        <v>67</v>
      </c>
    </row>
    <row r="808" spans="1:9">
      <c r="A808">
        <v>350933</v>
      </c>
      <c r="B808" t="s">
        <v>2651</v>
      </c>
      <c r="C808" t="s">
        <v>2557</v>
      </c>
      <c r="D808" t="s">
        <v>1465</v>
      </c>
      <c r="E808" t="s">
        <v>478</v>
      </c>
      <c r="F808" t="s">
        <v>1398</v>
      </c>
      <c r="G808" t="s">
        <v>1569</v>
      </c>
      <c r="H808" t="s">
        <v>2490</v>
      </c>
      <c r="I808" t="s">
        <v>67</v>
      </c>
    </row>
    <row r="809" spans="1:9">
      <c r="A809">
        <v>350934</v>
      </c>
      <c r="B809" t="s">
        <v>2652</v>
      </c>
      <c r="C809" t="s">
        <v>2558</v>
      </c>
      <c r="D809" t="s">
        <v>1465</v>
      </c>
      <c r="E809" t="s">
        <v>478</v>
      </c>
      <c r="F809" t="s">
        <v>1398</v>
      </c>
      <c r="G809" t="s">
        <v>1569</v>
      </c>
      <c r="H809" t="s">
        <v>2490</v>
      </c>
      <c r="I809" t="s">
        <v>67</v>
      </c>
    </row>
    <row r="810" spans="1:9">
      <c r="A810">
        <v>350935</v>
      </c>
      <c r="B810" t="s">
        <v>2653</v>
      </c>
      <c r="C810" t="s">
        <v>2559</v>
      </c>
      <c r="D810" t="s">
        <v>1465</v>
      </c>
      <c r="E810" t="s">
        <v>478</v>
      </c>
      <c r="F810" t="s">
        <v>1398</v>
      </c>
      <c r="G810" t="s">
        <v>1569</v>
      </c>
      <c r="H810" t="s">
        <v>2490</v>
      </c>
      <c r="I810" t="s">
        <v>67</v>
      </c>
    </row>
    <row r="811" spans="1:9">
      <c r="A811">
        <v>350963</v>
      </c>
      <c r="B811" t="s">
        <v>2654</v>
      </c>
      <c r="C811" t="s">
        <v>2560</v>
      </c>
      <c r="D811" t="s">
        <v>1465</v>
      </c>
      <c r="E811" t="s">
        <v>478</v>
      </c>
      <c r="F811" t="s">
        <v>1398</v>
      </c>
      <c r="G811" t="s">
        <v>1569</v>
      </c>
      <c r="H811" t="s">
        <v>2490</v>
      </c>
      <c r="I811" t="s">
        <v>67</v>
      </c>
    </row>
    <row r="812" spans="1:9">
      <c r="A812">
        <v>350958</v>
      </c>
      <c r="B812" t="s">
        <v>2655</v>
      </c>
      <c r="C812" t="s">
        <v>2561</v>
      </c>
      <c r="D812" t="s">
        <v>1465</v>
      </c>
      <c r="E812" t="s">
        <v>588</v>
      </c>
      <c r="F812" t="s">
        <v>1398</v>
      </c>
      <c r="G812" t="s">
        <v>1569</v>
      </c>
      <c r="H812" t="s">
        <v>2490</v>
      </c>
      <c r="I812" t="s">
        <v>67</v>
      </c>
    </row>
    <row r="813" spans="1:9">
      <c r="A813">
        <v>350669</v>
      </c>
      <c r="B813" t="s">
        <v>2656</v>
      </c>
      <c r="C813" t="s">
        <v>2562</v>
      </c>
      <c r="D813" t="s">
        <v>1465</v>
      </c>
      <c r="E813" t="s">
        <v>700</v>
      </c>
      <c r="F813" t="s">
        <v>1394</v>
      </c>
      <c r="G813" t="s">
        <v>1573</v>
      </c>
      <c r="H813" t="s">
        <v>2490</v>
      </c>
      <c r="I813" t="s">
        <v>59</v>
      </c>
    </row>
    <row r="814" spans="1:9">
      <c r="A814">
        <v>350667</v>
      </c>
      <c r="B814" t="s">
        <v>2657</v>
      </c>
      <c r="C814" t="s">
        <v>2563</v>
      </c>
      <c r="D814" t="s">
        <v>1465</v>
      </c>
      <c r="E814" t="s">
        <v>700</v>
      </c>
      <c r="F814" t="s">
        <v>1394</v>
      </c>
      <c r="G814" t="s">
        <v>1573</v>
      </c>
      <c r="H814" t="s">
        <v>2490</v>
      </c>
      <c r="I814" t="s">
        <v>59</v>
      </c>
    </row>
    <row r="815" spans="1:9">
      <c r="A815">
        <v>351235</v>
      </c>
      <c r="B815" t="s">
        <v>2658</v>
      </c>
      <c r="C815" t="s">
        <v>2564</v>
      </c>
      <c r="D815" t="s">
        <v>1465</v>
      </c>
      <c r="E815" t="s">
        <v>514</v>
      </c>
      <c r="F815" t="s">
        <v>610</v>
      </c>
      <c r="G815" t="s">
        <v>1574</v>
      </c>
      <c r="H815" t="s">
        <v>2490</v>
      </c>
      <c r="I815" t="s">
        <v>65</v>
      </c>
    </row>
    <row r="816" spans="1:9">
      <c r="A816">
        <v>234560</v>
      </c>
      <c r="B816" t="s">
        <v>2659</v>
      </c>
      <c r="C816" t="s">
        <v>2565</v>
      </c>
      <c r="D816" t="s">
        <v>1465</v>
      </c>
      <c r="E816" t="s">
        <v>514</v>
      </c>
      <c r="F816" t="s">
        <v>610</v>
      </c>
      <c r="G816" t="s">
        <v>1574</v>
      </c>
      <c r="H816" t="s">
        <v>2490</v>
      </c>
      <c r="I816" t="s">
        <v>65</v>
      </c>
    </row>
    <row r="817" spans="1:9">
      <c r="A817">
        <v>351240</v>
      </c>
      <c r="B817" t="s">
        <v>2660</v>
      </c>
      <c r="C817" t="s">
        <v>2566</v>
      </c>
      <c r="D817" t="s">
        <v>1465</v>
      </c>
      <c r="E817" t="s">
        <v>514</v>
      </c>
      <c r="F817" t="s">
        <v>610</v>
      </c>
      <c r="G817" t="s">
        <v>1574</v>
      </c>
      <c r="H817" t="s">
        <v>2490</v>
      </c>
      <c r="I817" t="s">
        <v>65</v>
      </c>
    </row>
    <row r="818" spans="1:9">
      <c r="A818">
        <v>350936</v>
      </c>
      <c r="B818" t="s">
        <v>2661</v>
      </c>
      <c r="C818" t="s">
        <v>2567</v>
      </c>
      <c r="D818" t="s">
        <v>1465</v>
      </c>
      <c r="E818" t="s">
        <v>2491</v>
      </c>
      <c r="F818" t="s">
        <v>610</v>
      </c>
      <c r="G818" t="s">
        <v>1574</v>
      </c>
      <c r="H818" t="s">
        <v>2490</v>
      </c>
      <c r="I818" t="s">
        <v>65</v>
      </c>
    </row>
    <row r="819" spans="1:9">
      <c r="A819">
        <v>350939</v>
      </c>
      <c r="B819" t="s">
        <v>2662</v>
      </c>
      <c r="C819" t="s">
        <v>2568</v>
      </c>
      <c r="D819" t="s">
        <v>1465</v>
      </c>
      <c r="E819" t="s">
        <v>2491</v>
      </c>
      <c r="F819" t="s">
        <v>610</v>
      </c>
      <c r="G819" t="s">
        <v>1574</v>
      </c>
      <c r="H819" t="s">
        <v>2490</v>
      </c>
      <c r="I819" t="s">
        <v>65</v>
      </c>
    </row>
    <row r="820" spans="1:9">
      <c r="A820">
        <v>351305</v>
      </c>
      <c r="B820" t="s">
        <v>2663</v>
      </c>
      <c r="C820" t="s">
        <v>2569</v>
      </c>
      <c r="D820" t="s">
        <v>1465</v>
      </c>
      <c r="E820" t="s">
        <v>588</v>
      </c>
      <c r="F820" t="s">
        <v>1398</v>
      </c>
      <c r="G820" t="s">
        <v>1569</v>
      </c>
      <c r="H820" t="s">
        <v>2490</v>
      </c>
      <c r="I820" t="s">
        <v>67</v>
      </c>
    </row>
    <row r="821" spans="1:9">
      <c r="A821">
        <v>351251</v>
      </c>
      <c r="B821" t="s">
        <v>2664</v>
      </c>
      <c r="C821" t="s">
        <v>2570</v>
      </c>
      <c r="D821" t="s">
        <v>1465</v>
      </c>
      <c r="E821" t="s">
        <v>801</v>
      </c>
      <c r="F821" t="s">
        <v>1405</v>
      </c>
      <c r="G821" t="s">
        <v>1574</v>
      </c>
      <c r="H821" t="s">
        <v>2490</v>
      </c>
      <c r="I821" t="s">
        <v>65</v>
      </c>
    </row>
    <row r="822" spans="1:9">
      <c r="A822">
        <v>351254</v>
      </c>
      <c r="B822" t="s">
        <v>2665</v>
      </c>
      <c r="C822" t="s">
        <v>2571</v>
      </c>
      <c r="D822" t="s">
        <v>1465</v>
      </c>
      <c r="E822" t="s">
        <v>801</v>
      </c>
      <c r="F822" t="s">
        <v>1405</v>
      </c>
      <c r="G822" t="s">
        <v>1574</v>
      </c>
      <c r="H822" t="s">
        <v>2490</v>
      </c>
      <c r="I822" t="s">
        <v>65</v>
      </c>
    </row>
    <row r="823" spans="1:9">
      <c r="A823">
        <v>351258</v>
      </c>
      <c r="B823" t="s">
        <v>2666</v>
      </c>
      <c r="C823" t="s">
        <v>2572</v>
      </c>
      <c r="D823" t="s">
        <v>1465</v>
      </c>
      <c r="E823" t="s">
        <v>801</v>
      </c>
      <c r="F823" t="s">
        <v>1405</v>
      </c>
      <c r="G823" t="s">
        <v>1574</v>
      </c>
      <c r="H823" t="s">
        <v>2490</v>
      </c>
      <c r="I823" t="s">
        <v>65</v>
      </c>
    </row>
    <row r="824" spans="1:9">
      <c r="A824">
        <v>351231</v>
      </c>
      <c r="B824" t="s">
        <v>2667</v>
      </c>
      <c r="C824" t="s">
        <v>2573</v>
      </c>
      <c r="D824" t="s">
        <v>1465</v>
      </c>
      <c r="E824" t="s">
        <v>1028</v>
      </c>
      <c r="F824" t="s">
        <v>1394</v>
      </c>
      <c r="G824" t="s">
        <v>1573</v>
      </c>
      <c r="H824" t="s">
        <v>2490</v>
      </c>
      <c r="I824" t="s">
        <v>59</v>
      </c>
    </row>
    <row r="825" spans="1:9">
      <c r="A825">
        <v>351232</v>
      </c>
      <c r="B825" t="s">
        <v>2668</v>
      </c>
      <c r="C825" t="s">
        <v>2574</v>
      </c>
      <c r="D825" t="s">
        <v>1465</v>
      </c>
      <c r="E825" t="s">
        <v>1028</v>
      </c>
      <c r="F825" t="s">
        <v>1394</v>
      </c>
      <c r="G825" t="s">
        <v>1573</v>
      </c>
      <c r="H825" t="s">
        <v>2490</v>
      </c>
      <c r="I825" t="s">
        <v>59</v>
      </c>
    </row>
    <row r="826" spans="1:9">
      <c r="A826">
        <v>351263</v>
      </c>
      <c r="B826" t="s">
        <v>2669</v>
      </c>
      <c r="C826" t="s">
        <v>2575</v>
      </c>
      <c r="D826" t="s">
        <v>1465</v>
      </c>
      <c r="E826" t="s">
        <v>1289</v>
      </c>
      <c r="F826" t="s">
        <v>1398</v>
      </c>
      <c r="G826" t="s">
        <v>1569</v>
      </c>
      <c r="H826" t="s">
        <v>2490</v>
      </c>
      <c r="I826" t="s">
        <v>67</v>
      </c>
    </row>
    <row r="827" spans="1:9">
      <c r="A827">
        <v>351294</v>
      </c>
      <c r="B827" t="s">
        <v>2670</v>
      </c>
      <c r="C827" t="s">
        <v>2576</v>
      </c>
      <c r="D827" t="s">
        <v>1465</v>
      </c>
      <c r="E827" t="s">
        <v>1289</v>
      </c>
      <c r="F827" t="s">
        <v>1398</v>
      </c>
      <c r="G827" t="s">
        <v>1569</v>
      </c>
      <c r="H827" t="s">
        <v>2490</v>
      </c>
      <c r="I827" t="s">
        <v>67</v>
      </c>
    </row>
    <row r="828" spans="1:9">
      <c r="A828">
        <v>351296</v>
      </c>
      <c r="B828" t="s">
        <v>2671</v>
      </c>
      <c r="C828" t="s">
        <v>2577</v>
      </c>
      <c r="D828" t="s">
        <v>1465</v>
      </c>
      <c r="E828" t="s">
        <v>1289</v>
      </c>
      <c r="F828" t="s">
        <v>1398</v>
      </c>
      <c r="G828" t="s">
        <v>1569</v>
      </c>
      <c r="H828" t="s">
        <v>2490</v>
      </c>
      <c r="I828" t="s">
        <v>67</v>
      </c>
    </row>
    <row r="829" spans="1:9">
      <c r="A829">
        <v>297538</v>
      </c>
      <c r="B829" t="s">
        <v>2672</v>
      </c>
      <c r="C829" t="s">
        <v>2578</v>
      </c>
      <c r="D829" t="s">
        <v>1465</v>
      </c>
      <c r="E829" t="s">
        <v>1289</v>
      </c>
      <c r="F829" t="s">
        <v>1398</v>
      </c>
      <c r="G829" t="s">
        <v>1569</v>
      </c>
      <c r="H829" t="s">
        <v>2490</v>
      </c>
      <c r="I829" t="s">
        <v>67</v>
      </c>
    </row>
    <row r="830" spans="1:9">
      <c r="A830">
        <v>351304</v>
      </c>
      <c r="B830" t="s">
        <v>2673</v>
      </c>
      <c r="C830" t="s">
        <v>2579</v>
      </c>
      <c r="D830" t="s">
        <v>1465</v>
      </c>
      <c r="E830" t="s">
        <v>1289</v>
      </c>
      <c r="F830" t="s">
        <v>1398</v>
      </c>
      <c r="G830" t="s">
        <v>1569</v>
      </c>
      <c r="H830" t="s">
        <v>2490</v>
      </c>
      <c r="I830" t="s">
        <v>67</v>
      </c>
    </row>
    <row r="831" spans="1:9">
      <c r="A831">
        <v>351260</v>
      </c>
      <c r="B831" t="s">
        <v>2674</v>
      </c>
      <c r="C831" t="s">
        <v>2580</v>
      </c>
      <c r="D831" t="s">
        <v>1465</v>
      </c>
      <c r="E831" t="s">
        <v>1361</v>
      </c>
      <c r="F831" t="s">
        <v>1405</v>
      </c>
      <c r="G831" t="s">
        <v>1594</v>
      </c>
      <c r="H831" t="s">
        <v>2490</v>
      </c>
      <c r="I831" t="s">
        <v>65</v>
      </c>
    </row>
    <row r="832" spans="1:9">
      <c r="A832">
        <v>351216</v>
      </c>
      <c r="B832" t="s">
        <v>2675</v>
      </c>
      <c r="C832" t="s">
        <v>2581</v>
      </c>
      <c r="D832" t="s">
        <v>1465</v>
      </c>
      <c r="E832" t="s">
        <v>1369</v>
      </c>
      <c r="F832" t="s">
        <v>1398</v>
      </c>
      <c r="G832" t="s">
        <v>1569</v>
      </c>
      <c r="H832" t="s">
        <v>2490</v>
      </c>
      <c r="I832" t="s">
        <v>67</v>
      </c>
    </row>
    <row r="833" spans="1:9">
      <c r="A833">
        <v>351230</v>
      </c>
      <c r="B833" t="s">
        <v>2676</v>
      </c>
      <c r="C833" t="s">
        <v>2582</v>
      </c>
      <c r="D833" t="s">
        <v>1465</v>
      </c>
      <c r="E833" t="s">
        <v>1369</v>
      </c>
      <c r="F833" t="s">
        <v>1398</v>
      </c>
      <c r="G833" t="s">
        <v>1569</v>
      </c>
      <c r="H833" t="s">
        <v>2490</v>
      </c>
      <c r="I833" t="s">
        <v>67</v>
      </c>
    </row>
    <row r="834" spans="1:9">
      <c r="A834">
        <v>351245</v>
      </c>
      <c r="B834" t="s">
        <v>2677</v>
      </c>
      <c r="C834" t="s">
        <v>2583</v>
      </c>
      <c r="D834" t="s">
        <v>1465</v>
      </c>
      <c r="E834" t="s">
        <v>1223</v>
      </c>
      <c r="F834" t="s">
        <v>1399</v>
      </c>
      <c r="G834" t="s">
        <v>1576</v>
      </c>
      <c r="H834" t="s">
        <v>2490</v>
      </c>
      <c r="I834" t="s">
        <v>66</v>
      </c>
    </row>
    <row r="835" spans="1:9">
      <c r="A835">
        <v>351247</v>
      </c>
      <c r="B835" t="s">
        <v>2678</v>
      </c>
      <c r="C835" t="s">
        <v>2584</v>
      </c>
      <c r="D835" t="s">
        <v>1465</v>
      </c>
      <c r="E835" t="s">
        <v>1223</v>
      </c>
      <c r="F835" t="s">
        <v>1399</v>
      </c>
      <c r="G835" t="s">
        <v>1576</v>
      </c>
      <c r="H835" t="s">
        <v>2490</v>
      </c>
      <c r="I835" t="s">
        <v>66</v>
      </c>
    </row>
    <row r="836" spans="1:9">
      <c r="A836">
        <v>351250</v>
      </c>
      <c r="B836" t="s">
        <v>2679</v>
      </c>
      <c r="C836" t="s">
        <v>2585</v>
      </c>
      <c r="D836" t="s">
        <v>1465</v>
      </c>
      <c r="E836" t="s">
        <v>1223</v>
      </c>
      <c r="F836" t="s">
        <v>1399</v>
      </c>
      <c r="G836" t="s">
        <v>1576</v>
      </c>
      <c r="H836" t="s">
        <v>2490</v>
      </c>
      <c r="I836" t="s">
        <v>66</v>
      </c>
    </row>
    <row r="837" spans="1:9">
      <c r="A837">
        <v>26469</v>
      </c>
      <c r="B837" t="s">
        <v>1746</v>
      </c>
      <c r="C837" t="s">
        <v>1747</v>
      </c>
      <c r="D837" t="s">
        <v>1748</v>
      </c>
      <c r="E837" t="s">
        <v>1749</v>
      </c>
      <c r="F837" t="s">
        <v>1750</v>
      </c>
      <c r="G837" t="s">
        <v>1705</v>
      </c>
      <c r="H837" t="s">
        <v>2427</v>
      </c>
      <c r="I837" t="s">
        <v>63</v>
      </c>
    </row>
    <row r="838" spans="1:9">
      <c r="A838">
        <v>138778</v>
      </c>
      <c r="B838" t="s">
        <v>1422</v>
      </c>
      <c r="C838" t="s">
        <v>1394</v>
      </c>
      <c r="D838" t="s">
        <v>1704</v>
      </c>
      <c r="E838" t="s">
        <v>1404</v>
      </c>
      <c r="F838" t="s">
        <v>1458</v>
      </c>
      <c r="G838" t="s">
        <v>1705</v>
      </c>
      <c r="H838" t="s">
        <v>2427</v>
      </c>
      <c r="I838" t="s">
        <v>63</v>
      </c>
    </row>
    <row r="839" spans="1:9">
      <c r="A839">
        <v>80701</v>
      </c>
      <c r="B839" t="s">
        <v>1423</v>
      </c>
      <c r="C839" t="s">
        <v>1395</v>
      </c>
      <c r="D839" t="s">
        <v>1467</v>
      </c>
      <c r="E839" t="s">
        <v>1398</v>
      </c>
      <c r="F839" t="s">
        <v>1404</v>
      </c>
      <c r="G839" t="s">
        <v>1705</v>
      </c>
      <c r="H839" t="s">
        <v>2427</v>
      </c>
      <c r="I839" t="s">
        <v>63</v>
      </c>
    </row>
    <row r="840" spans="1:9">
      <c r="A840">
        <v>54896</v>
      </c>
      <c r="B840" t="s">
        <v>1424</v>
      </c>
      <c r="C840" t="s">
        <v>1396</v>
      </c>
      <c r="D840" t="s">
        <v>1464</v>
      </c>
      <c r="E840" t="s">
        <v>1402</v>
      </c>
      <c r="F840" t="s">
        <v>1404</v>
      </c>
      <c r="G840" t="s">
        <v>1564</v>
      </c>
      <c r="H840" t="s">
        <v>2427</v>
      </c>
      <c r="I840" t="s">
        <v>63</v>
      </c>
    </row>
    <row r="841" spans="1:9">
      <c r="A841">
        <v>230924</v>
      </c>
      <c r="B841" t="s">
        <v>1425</v>
      </c>
      <c r="C841" t="s">
        <v>1397</v>
      </c>
      <c r="D841" t="s">
        <v>1464</v>
      </c>
      <c r="E841" t="s">
        <v>1405</v>
      </c>
      <c r="F841" t="s">
        <v>1404</v>
      </c>
      <c r="G841" t="s">
        <v>1564</v>
      </c>
      <c r="H841" t="s">
        <v>2427</v>
      </c>
      <c r="I841" t="s">
        <v>63</v>
      </c>
    </row>
    <row r="842" spans="1:9">
      <c r="A842">
        <v>27746</v>
      </c>
      <c r="B842" t="s">
        <v>1426</v>
      </c>
      <c r="C842" t="s">
        <v>1398</v>
      </c>
      <c r="D842" t="s">
        <v>1704</v>
      </c>
      <c r="E842" t="s">
        <v>1404</v>
      </c>
      <c r="F842" t="s">
        <v>1458</v>
      </c>
      <c r="G842" t="s">
        <v>1705</v>
      </c>
      <c r="H842" t="s">
        <v>2427</v>
      </c>
      <c r="I842" t="s">
        <v>63</v>
      </c>
    </row>
    <row r="843" spans="1:9">
      <c r="A843">
        <v>183717</v>
      </c>
      <c r="B843" t="s">
        <v>1427</v>
      </c>
      <c r="C843" t="s">
        <v>1399</v>
      </c>
      <c r="D843" t="s">
        <v>1704</v>
      </c>
      <c r="E843" t="s">
        <v>1404</v>
      </c>
      <c r="F843" t="s">
        <v>1458</v>
      </c>
      <c r="G843" t="s">
        <v>1705</v>
      </c>
      <c r="H843" t="s">
        <v>2427</v>
      </c>
      <c r="I843" t="s">
        <v>63</v>
      </c>
    </row>
    <row r="844" spans="1:9">
      <c r="A844">
        <v>54884</v>
      </c>
      <c r="B844" t="s">
        <v>1428</v>
      </c>
      <c r="C844" t="s">
        <v>1400</v>
      </c>
      <c r="D844" t="s">
        <v>1464</v>
      </c>
      <c r="E844" t="s">
        <v>1399</v>
      </c>
      <c r="F844" t="s">
        <v>1404</v>
      </c>
      <c r="G844" t="s">
        <v>1564</v>
      </c>
      <c r="H844" t="s">
        <v>2427</v>
      </c>
      <c r="I844" t="s">
        <v>63</v>
      </c>
    </row>
    <row r="845" spans="1:9">
      <c r="A845">
        <v>255419</v>
      </c>
      <c r="B845" t="s">
        <v>1429</v>
      </c>
      <c r="C845" t="s">
        <v>1401</v>
      </c>
      <c r="D845" t="s">
        <v>1706</v>
      </c>
      <c r="E845" t="s">
        <v>1404</v>
      </c>
      <c r="F845" t="s">
        <v>1458</v>
      </c>
      <c r="G845" t="s">
        <v>1705</v>
      </c>
      <c r="H845" t="s">
        <v>2427</v>
      </c>
      <c r="I845" t="s">
        <v>63</v>
      </c>
    </row>
    <row r="846" spans="1:9">
      <c r="A846">
        <v>165823</v>
      </c>
      <c r="B846" t="s">
        <v>1430</v>
      </c>
      <c r="C846" t="s">
        <v>1402</v>
      </c>
      <c r="D846" t="s">
        <v>1704</v>
      </c>
      <c r="E846" t="s">
        <v>1404</v>
      </c>
      <c r="F846" t="s">
        <v>1458</v>
      </c>
      <c r="G846" t="s">
        <v>1705</v>
      </c>
      <c r="H846" t="s">
        <v>2427</v>
      </c>
      <c r="I846" t="s">
        <v>63</v>
      </c>
    </row>
    <row r="847" spans="1:9">
      <c r="A847">
        <v>185123</v>
      </c>
      <c r="B847" t="s">
        <v>1431</v>
      </c>
      <c r="C847" t="s">
        <v>1403</v>
      </c>
      <c r="D847" t="s">
        <v>1464</v>
      </c>
      <c r="E847" t="s">
        <v>1394</v>
      </c>
      <c r="F847" t="s">
        <v>1404</v>
      </c>
      <c r="G847" t="s">
        <v>1564</v>
      </c>
      <c r="H847" t="s">
        <v>2427</v>
      </c>
      <c r="I847" t="s">
        <v>63</v>
      </c>
    </row>
    <row r="848" spans="1:9">
      <c r="A848">
        <v>115983</v>
      </c>
      <c r="B848" t="s">
        <v>1432</v>
      </c>
      <c r="C848" t="s">
        <v>1404</v>
      </c>
      <c r="D848" t="s">
        <v>1707</v>
      </c>
      <c r="E848" t="s">
        <v>1458</v>
      </c>
      <c r="F848" t="s">
        <v>1749</v>
      </c>
      <c r="G848" t="s">
        <v>1705</v>
      </c>
      <c r="H848" t="s">
        <v>2427</v>
      </c>
      <c r="I848" t="s">
        <v>63</v>
      </c>
    </row>
    <row r="849" spans="1:9">
      <c r="A849">
        <v>31531</v>
      </c>
      <c r="B849" t="s">
        <v>1433</v>
      </c>
      <c r="C849" t="s">
        <v>1405</v>
      </c>
      <c r="D849" t="s">
        <v>1704</v>
      </c>
      <c r="E849" t="s">
        <v>1404</v>
      </c>
      <c r="F849" t="s">
        <v>1404</v>
      </c>
      <c r="G849" t="s">
        <v>1705</v>
      </c>
      <c r="H849" t="s">
        <v>2427</v>
      </c>
      <c r="I849" t="s">
        <v>63</v>
      </c>
    </row>
    <row r="850" spans="1:9">
      <c r="A850">
        <v>80601</v>
      </c>
      <c r="B850" t="s">
        <v>1434</v>
      </c>
      <c r="C850" t="s">
        <v>1406</v>
      </c>
      <c r="D850" t="s">
        <v>1464</v>
      </c>
      <c r="E850" t="s">
        <v>1399</v>
      </c>
      <c r="F850" t="s">
        <v>1404</v>
      </c>
      <c r="G850" t="s">
        <v>1564</v>
      </c>
      <c r="H850" t="s">
        <v>2427</v>
      </c>
      <c r="I850" t="s">
        <v>63</v>
      </c>
    </row>
    <row r="851" spans="1:9">
      <c r="A851">
        <v>145024</v>
      </c>
      <c r="B851" t="s">
        <v>1435</v>
      </c>
      <c r="C851" t="s">
        <v>1407</v>
      </c>
      <c r="D851" t="s">
        <v>1464</v>
      </c>
      <c r="E851" t="s">
        <v>1405</v>
      </c>
      <c r="F851" t="s">
        <v>1404</v>
      </c>
      <c r="G851" t="s">
        <v>1564</v>
      </c>
      <c r="H851" t="s">
        <v>2427</v>
      </c>
      <c r="I851" t="s">
        <v>63</v>
      </c>
    </row>
    <row r="852" spans="1:9">
      <c r="A852">
        <v>172950</v>
      </c>
      <c r="B852" t="s">
        <v>1436</v>
      </c>
      <c r="C852" t="s">
        <v>1408</v>
      </c>
      <c r="D852" t="s">
        <v>1464</v>
      </c>
      <c r="E852" t="s">
        <v>1398</v>
      </c>
      <c r="F852" t="s">
        <v>1404</v>
      </c>
      <c r="G852" t="s">
        <v>1564</v>
      </c>
      <c r="H852" t="s">
        <v>2427</v>
      </c>
      <c r="I852" t="s">
        <v>63</v>
      </c>
    </row>
    <row r="853" spans="1:9">
      <c r="A853">
        <v>312060</v>
      </c>
      <c r="B853" t="s">
        <v>1439</v>
      </c>
      <c r="C853" t="s">
        <v>1411</v>
      </c>
      <c r="D853" t="s">
        <v>1708</v>
      </c>
      <c r="E853" t="s">
        <v>1404</v>
      </c>
      <c r="F853" t="s">
        <v>1458</v>
      </c>
      <c r="G853" t="s">
        <v>1705</v>
      </c>
      <c r="H853" t="s">
        <v>2427</v>
      </c>
      <c r="I853" t="s">
        <v>63</v>
      </c>
    </row>
    <row r="854" spans="1:9">
      <c r="A854">
        <v>183053</v>
      </c>
      <c r="B854" t="s">
        <v>1437</v>
      </c>
      <c r="C854" t="s">
        <v>1409</v>
      </c>
      <c r="D854" t="s">
        <v>1464</v>
      </c>
      <c r="E854" t="s">
        <v>1398</v>
      </c>
      <c r="F854" t="s">
        <v>1404</v>
      </c>
      <c r="G854" t="s">
        <v>1564</v>
      </c>
      <c r="H854" t="s">
        <v>2427</v>
      </c>
      <c r="I854" t="s">
        <v>63</v>
      </c>
    </row>
    <row r="855" spans="1:9">
      <c r="A855">
        <v>81571</v>
      </c>
      <c r="B855" t="s">
        <v>1438</v>
      </c>
      <c r="C855" t="s">
        <v>1410</v>
      </c>
      <c r="D855" t="s">
        <v>1464</v>
      </c>
      <c r="E855" t="s">
        <v>1405</v>
      </c>
      <c r="F855" t="s">
        <v>1404</v>
      </c>
      <c r="G855" t="s">
        <v>1564</v>
      </c>
      <c r="H855" t="s">
        <v>2427</v>
      </c>
      <c r="I855" t="s">
        <v>63</v>
      </c>
    </row>
    <row r="856" spans="1:9">
      <c r="A856">
        <v>44106</v>
      </c>
      <c r="B856" t="s">
        <v>609</v>
      </c>
      <c r="C856" t="s">
        <v>610</v>
      </c>
      <c r="D856" t="s">
        <v>1704</v>
      </c>
      <c r="E856" t="s">
        <v>1404</v>
      </c>
      <c r="F856" t="s">
        <v>1404</v>
      </c>
      <c r="G856" t="s">
        <v>1705</v>
      </c>
      <c r="H856" t="s">
        <v>2427</v>
      </c>
      <c r="I856" t="s">
        <v>63</v>
      </c>
    </row>
    <row r="857" spans="1:9">
      <c r="A857">
        <v>240248</v>
      </c>
      <c r="B857" t="s">
        <v>1414</v>
      </c>
      <c r="C857" t="s">
        <v>1386</v>
      </c>
      <c r="D857" t="s">
        <v>1465</v>
      </c>
      <c r="E857" t="s">
        <v>1207</v>
      </c>
      <c r="F857" t="s">
        <v>1405</v>
      </c>
      <c r="G857" t="s">
        <v>1574</v>
      </c>
      <c r="H857" t="s">
        <v>2490</v>
      </c>
      <c r="I857" t="s">
        <v>65</v>
      </c>
    </row>
    <row r="858" spans="1:9">
      <c r="A858">
        <v>310657</v>
      </c>
      <c r="B858" t="s">
        <v>1415</v>
      </c>
      <c r="C858" t="s">
        <v>1387</v>
      </c>
      <c r="D858" t="s">
        <v>1465</v>
      </c>
      <c r="E858" t="s">
        <v>478</v>
      </c>
      <c r="F858" t="s">
        <v>1398</v>
      </c>
      <c r="G858" t="s">
        <v>1569</v>
      </c>
      <c r="H858" t="s">
        <v>2490</v>
      </c>
      <c r="I858" t="s">
        <v>67</v>
      </c>
    </row>
    <row r="859" spans="1:9">
      <c r="A859">
        <v>274237</v>
      </c>
      <c r="B859" t="s">
        <v>1418</v>
      </c>
      <c r="C859" t="s">
        <v>1390</v>
      </c>
      <c r="D859" t="s">
        <v>1465</v>
      </c>
      <c r="E859" t="s">
        <v>1369</v>
      </c>
      <c r="F859" t="s">
        <v>1398</v>
      </c>
      <c r="G859" t="s">
        <v>1569</v>
      </c>
      <c r="H859" t="s">
        <v>2490</v>
      </c>
      <c r="I859" t="s">
        <v>67</v>
      </c>
    </row>
    <row r="860" spans="1:9">
      <c r="A860">
        <v>273874</v>
      </c>
      <c r="B860" t="s">
        <v>1421</v>
      </c>
      <c r="C860" t="s">
        <v>1393</v>
      </c>
      <c r="D860" t="s">
        <v>1465</v>
      </c>
      <c r="E860" t="s">
        <v>1361</v>
      </c>
      <c r="F860" t="s">
        <v>1405</v>
      </c>
      <c r="G860" t="s">
        <v>1574</v>
      </c>
      <c r="H860" t="s">
        <v>2490</v>
      </c>
      <c r="I860" t="s">
        <v>65</v>
      </c>
    </row>
    <row r="861" spans="1:9">
      <c r="A861">
        <v>299079</v>
      </c>
      <c r="B861" t="s">
        <v>1417</v>
      </c>
      <c r="C861" t="s">
        <v>1389</v>
      </c>
      <c r="D861" t="s">
        <v>1465</v>
      </c>
      <c r="E861" t="s">
        <v>1289</v>
      </c>
      <c r="F861" t="s">
        <v>1398</v>
      </c>
      <c r="G861" t="s">
        <v>1569</v>
      </c>
      <c r="H861" t="s">
        <v>2490</v>
      </c>
      <c r="I861" t="s">
        <v>67</v>
      </c>
    </row>
    <row r="862" spans="1:9">
      <c r="A862">
        <v>267969</v>
      </c>
      <c r="B862" t="s">
        <v>1413</v>
      </c>
      <c r="C862" t="s">
        <v>1385</v>
      </c>
      <c r="D862" t="s">
        <v>1465</v>
      </c>
      <c r="E862" t="s">
        <v>1369</v>
      </c>
      <c r="F862" t="s">
        <v>1398</v>
      </c>
      <c r="G862" t="s">
        <v>1569</v>
      </c>
      <c r="H862" t="s">
        <v>2490</v>
      </c>
      <c r="I862" t="s">
        <v>67</v>
      </c>
    </row>
    <row r="863" spans="1:9">
      <c r="A863">
        <v>329247</v>
      </c>
      <c r="B863" t="s">
        <v>1788</v>
      </c>
      <c r="C863" t="s">
        <v>1789</v>
      </c>
      <c r="D863" t="s">
        <v>1465</v>
      </c>
      <c r="E863" t="s">
        <v>1092</v>
      </c>
      <c r="F863" t="s">
        <v>1398</v>
      </c>
      <c r="G863" t="s">
        <v>1569</v>
      </c>
      <c r="H863" t="s">
        <v>2490</v>
      </c>
      <c r="I863" t="s">
        <v>67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Personel Listesi Güncel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2026-08-18T09:14:22Z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