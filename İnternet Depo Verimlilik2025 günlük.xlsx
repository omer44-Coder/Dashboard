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365" documentId="13_ncr:1_{5C53DD68-2375-405F-8904-01DDF28FFD40}" xr6:coauthVersionLast="47" xr6:coauthVersionMax="47" xr10:uidLastSave="{0ADD67EC-1F7A-4564-AAAF-731CE1E7536F}"/>
  <bookViews>
    <workbookView xWindow="-108" yWindow="-108" windowWidth="23256" windowHeight="13896" firstSheet="1" activeTab="4" xr2:uid="{00000000-000D-0000-FFFF-FFFF00000000}"/>
  </bookViews>
  <sheets>
    <sheet name="Personel Listesi" sheetId="83" state="hidden" r:id="rId1"/>
    <sheet name="Genel" sheetId="11" r:id="rId2"/>
    <sheet name="Genel Müşteri Çıkış" sheetId="41" r:id="rId3"/>
    <sheet name="Çalışma saatleri" sheetId="8" r:id="rId4"/>
    <sheet name="2025 Birimler Pivot" sheetId="54" r:id="rId5"/>
    <sheet name="Haftalık Genel" sheetId="76" r:id="rId6"/>
    <sheet name="KPI TABLO" sheetId="79" r:id="rId7"/>
    <sheet name="Koli Kabul" sheetId="1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54" l="1"/>
  <c r="H11" i="54"/>
  <c r="N574" i="8"/>
  <c r="O574" i="8"/>
  <c r="Q574" i="8"/>
  <c r="P574" i="8" s="1"/>
  <c r="R574" i="8"/>
  <c r="N575" i="8"/>
  <c r="O575" i="8"/>
  <c r="Q575" i="8"/>
  <c r="P575" i="8" s="1"/>
  <c r="R575" i="8"/>
  <c r="N576" i="8"/>
  <c r="O576" i="8"/>
  <c r="Q576" i="8"/>
  <c r="P576" i="8" s="1"/>
  <c r="R576" i="8"/>
  <c r="N577" i="8"/>
  <c r="O577" i="8"/>
  <c r="Q577" i="8"/>
  <c r="P577" i="8" s="1"/>
  <c r="R577" i="8"/>
  <c r="N578" i="8"/>
  <c r="O578" i="8"/>
  <c r="Q578" i="8"/>
  <c r="P578" i="8" s="1"/>
  <c r="R578" i="8"/>
  <c r="N579" i="8"/>
  <c r="O579" i="8"/>
  <c r="Q579" i="8"/>
  <c r="P579" i="8" s="1"/>
  <c r="R579" i="8"/>
  <c r="HB11" i="5" l="1"/>
  <c r="HC11" i="5"/>
  <c r="HD11" i="5"/>
  <c r="HE11" i="5"/>
  <c r="HF11" i="5"/>
  <c r="HG11" i="5"/>
  <c r="HH11" i="5"/>
  <c r="HB11" i="11"/>
  <c r="HC11" i="11"/>
  <c r="HD11" i="11"/>
  <c r="HE11" i="11"/>
  <c r="HF11" i="11"/>
  <c r="HG11" i="11"/>
  <c r="HH11" i="11"/>
  <c r="HB11" i="41"/>
  <c r="HC11" i="41"/>
  <c r="HD11" i="41"/>
  <c r="HE11" i="41"/>
  <c r="HF11" i="41"/>
  <c r="HG11" i="41"/>
  <c r="HH11" i="41"/>
  <c r="HB11" i="7" l="1"/>
  <c r="HC11" i="7"/>
  <c r="HD11" i="7"/>
  <c r="HE11" i="7"/>
  <c r="HF11" i="7"/>
  <c r="HG11" i="7"/>
  <c r="HH11" i="7"/>
  <c r="HB11" i="6"/>
  <c r="HC11" i="6"/>
  <c r="HD11" i="6"/>
  <c r="HE11" i="6"/>
  <c r="HF11" i="6"/>
  <c r="HG11" i="6"/>
  <c r="HH11" i="6"/>
  <c r="HB11" i="16"/>
  <c r="HC11" i="16"/>
  <c r="HD11" i="16"/>
  <c r="HE11" i="16"/>
  <c r="HF11" i="16"/>
  <c r="HG11" i="16"/>
  <c r="HH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HH11" i="3"/>
  <c r="AC574" i="8"/>
  <c r="AD574" i="8"/>
  <c r="AF574" i="8" s="1"/>
  <c r="AE574" i="8"/>
  <c r="AG574" i="8"/>
  <c r="AC575" i="8"/>
  <c r="AD575" i="8"/>
  <c r="AE575" i="8"/>
  <c r="AF575" i="8"/>
  <c r="AG575" i="8"/>
  <c r="AC576" i="8"/>
  <c r="AD576" i="8"/>
  <c r="AE576" i="8"/>
  <c r="AF576" i="8"/>
  <c r="AG576" i="8"/>
  <c r="AC577" i="8"/>
  <c r="AE577" i="8" s="1"/>
  <c r="AD577" i="8"/>
  <c r="AF577" i="8"/>
  <c r="AG577" i="8"/>
  <c r="AC578" i="8"/>
  <c r="AD578" i="8"/>
  <c r="AE578" i="8"/>
  <c r="AF578" i="8"/>
  <c r="AG578" i="8"/>
  <c r="AC579" i="8"/>
  <c r="AD579" i="8"/>
  <c r="AE579" i="8"/>
  <c r="AF579" i="8"/>
  <c r="AG579" i="8"/>
  <c r="AB574" i="8"/>
  <c r="AB575" i="8"/>
  <c r="AB576" i="8"/>
  <c r="AB577" i="8"/>
  <c r="AB578" i="8"/>
  <c r="AB579" i="8"/>
  <c r="X574" i="8"/>
  <c r="X575" i="8"/>
  <c r="X576" i="8"/>
  <c r="X577" i="8"/>
  <c r="X578" i="8"/>
  <c r="X579" i="8"/>
  <c r="W574" i="8"/>
  <c r="W575" i="8"/>
  <c r="W576" i="8"/>
  <c r="W577" i="8"/>
  <c r="W578" i="8"/>
  <c r="W579" i="8"/>
  <c r="HB11" i="2"/>
  <c r="HC11" i="2"/>
  <c r="HD11" i="2"/>
  <c r="HE11" i="2"/>
  <c r="HF11" i="2"/>
  <c r="HG11" i="2"/>
  <c r="HH11" i="2"/>
  <c r="AA24" i="54"/>
  <c r="H10" i="54"/>
  <c r="X567" i="8"/>
  <c r="N567" i="8"/>
  <c r="O567" i="8"/>
  <c r="Q567" i="8"/>
  <c r="P567" i="8" s="1"/>
  <c r="R567" i="8"/>
  <c r="N568" i="8"/>
  <c r="O568" i="8"/>
  <c r="Q568" i="8"/>
  <c r="P568" i="8" s="1"/>
  <c r="R568" i="8"/>
  <c r="N569" i="8"/>
  <c r="O569" i="8"/>
  <c r="Q569" i="8"/>
  <c r="P569" i="8" s="1"/>
  <c r="R569" i="8"/>
  <c r="N570" i="8"/>
  <c r="O570" i="8"/>
  <c r="P570" i="8"/>
  <c r="Q570" i="8"/>
  <c r="R570" i="8"/>
  <c r="N571" i="8"/>
  <c r="O571" i="8"/>
  <c r="Q571" i="8"/>
  <c r="P571" i="8" s="1"/>
  <c r="R571" i="8"/>
  <c r="N572" i="8"/>
  <c r="O572" i="8"/>
  <c r="Q572" i="8"/>
  <c r="P572" i="8" s="1"/>
  <c r="R572" i="8"/>
  <c r="N573" i="8"/>
  <c r="O573" i="8"/>
  <c r="Q573" i="8"/>
  <c r="P573" i="8" s="1"/>
  <c r="R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C567" i="8"/>
  <c r="AD567" i="8"/>
  <c r="AE567" i="8"/>
  <c r="AF567" i="8"/>
  <c r="AG567" i="8"/>
  <c r="AC568" i="8"/>
  <c r="AD568" i="8"/>
  <c r="AE568" i="8"/>
  <c r="AF568" i="8"/>
  <c r="AG568" i="8"/>
  <c r="AC569" i="8"/>
  <c r="AE569" i="8" s="1"/>
  <c r="AD569" i="8"/>
  <c r="AF569" i="8"/>
  <c r="AG569" i="8"/>
  <c r="AC570" i="8"/>
  <c r="AD570" i="8"/>
  <c r="AE570" i="8"/>
  <c r="AF570" i="8"/>
  <c r="AG570" i="8"/>
  <c r="AC571" i="8"/>
  <c r="AD571" i="8"/>
  <c r="AE571" i="8"/>
  <c r="AF571" i="8"/>
  <c r="AG571" i="8"/>
  <c r="AC572" i="8"/>
  <c r="AE572" i="8" s="1"/>
  <c r="AD572" i="8"/>
  <c r="AF572" i="8" s="1"/>
  <c r="AG572" i="8"/>
  <c r="AC573" i="8"/>
  <c r="AD573" i="8"/>
  <c r="AE573" i="8"/>
  <c r="AF573" i="8"/>
  <c r="AG573" i="8"/>
  <c r="AB564" i="8"/>
  <c r="AB565" i="8"/>
  <c r="AB567" i="8"/>
  <c r="AB568" i="8"/>
  <c r="AB569" i="8"/>
  <c r="AB570" i="8"/>
  <c r="AB571" i="8"/>
  <c r="AB572" i="8"/>
  <c r="AB573" i="8"/>
  <c r="X564" i="8"/>
  <c r="X565" i="8"/>
  <c r="X566" i="8"/>
  <c r="X568" i="8"/>
  <c r="X569" i="8"/>
  <c r="X570" i="8"/>
  <c r="X571" i="8"/>
  <c r="X572" i="8"/>
  <c r="X573" i="8"/>
  <c r="X563" i="8"/>
  <c r="W563" i="8"/>
  <c r="W566" i="8"/>
  <c r="W567" i="8"/>
  <c r="W568" i="8"/>
  <c r="W569" i="8"/>
  <c r="W570" i="8"/>
  <c r="W571" i="8"/>
  <c r="W572" i="8"/>
  <c r="W573" i="8"/>
  <c r="GN11" i="7" l="1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C560" i="8"/>
  <c r="AE560" i="8" s="1"/>
  <c r="R560" i="8" s="1"/>
  <c r="AC561" i="8"/>
  <c r="AE561" i="8" s="1"/>
  <c r="R561" i="8" s="1"/>
  <c r="AC562" i="8"/>
  <c r="AE562" i="8" s="1"/>
  <c r="R562" i="8" s="1"/>
  <c r="AC563" i="8"/>
  <c r="AE563" i="8" s="1"/>
  <c r="R563" i="8" s="1"/>
  <c r="AC564" i="8"/>
  <c r="AE564" i="8" s="1"/>
  <c r="R564" i="8" s="1"/>
  <c r="AC565" i="8"/>
  <c r="AE565" i="8" s="1"/>
  <c r="R565" i="8" s="1"/>
  <c r="R559" i="8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G561" i="8"/>
  <c r="AG560" i="8"/>
  <c r="AG562" i="8"/>
  <c r="AG563" i="8"/>
  <c r="AG564" i="8"/>
  <c r="AG565" i="8"/>
  <c r="AB563" i="8"/>
  <c r="AD563" i="8" s="1"/>
  <c r="AF563" i="8" s="1"/>
  <c r="Q563" i="8" s="1"/>
  <c r="P563" i="8" s="1"/>
  <c r="AD564" i="8"/>
  <c r="AF564" i="8" s="1"/>
  <c r="Q564" i="8" s="1"/>
  <c r="P564" i="8" s="1"/>
  <c r="AD565" i="8"/>
  <c r="AF565" i="8" s="1"/>
  <c r="N565" i="8" s="1"/>
  <c r="X560" i="8"/>
  <c r="AB560" i="8" s="1"/>
  <c r="AD560" i="8" s="1"/>
  <c r="AF560" i="8" s="1"/>
  <c r="X561" i="8"/>
  <c r="AB561" i="8" s="1"/>
  <c r="AD561" i="8" s="1"/>
  <c r="AF561" i="8" s="1"/>
  <c r="X562" i="8"/>
  <c r="AB562" i="8" s="1"/>
  <c r="AD562" i="8" s="1"/>
  <c r="AF562" i="8" s="1"/>
  <c r="Q562" i="8" s="1"/>
  <c r="P562" i="8" s="1"/>
  <c r="W560" i="8"/>
  <c r="W561" i="8"/>
  <c r="W562" i="8"/>
  <c r="W564" i="8"/>
  <c r="W565" i="8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X553" i="8"/>
  <c r="AB553" i="8" s="1"/>
  <c r="AD553" i="8" s="1"/>
  <c r="AF553" i="8" s="1"/>
  <c r="X554" i="8"/>
  <c r="AB554" i="8" s="1"/>
  <c r="AD554" i="8" s="1"/>
  <c r="AF554" i="8" s="1"/>
  <c r="X555" i="8"/>
  <c r="X556" i="8"/>
  <c r="X557" i="8"/>
  <c r="X558" i="8"/>
  <c r="X559" i="8"/>
  <c r="W553" i="8"/>
  <c r="W554" i="8"/>
  <c r="W555" i="8"/>
  <c r="W556" i="8"/>
  <c r="W557" i="8"/>
  <c r="W558" i="8"/>
  <c r="W559" i="8"/>
  <c r="R552" i="8"/>
  <c r="AC553" i="8"/>
  <c r="AE553" i="8"/>
  <c r="R553" i="8" s="1"/>
  <c r="AC554" i="8"/>
  <c r="AE554" i="8" s="1"/>
  <c r="R554" i="8" s="1"/>
  <c r="AC555" i="8"/>
  <c r="AE555" i="8"/>
  <c r="R555" i="8" s="1"/>
  <c r="AC556" i="8"/>
  <c r="AE556" i="8" s="1"/>
  <c r="R556" i="8" s="1"/>
  <c r="AD556" i="8"/>
  <c r="AF556" i="8" s="1"/>
  <c r="AC557" i="8"/>
  <c r="AE557" i="8"/>
  <c r="R557" i="8" s="1"/>
  <c r="AC558" i="8"/>
  <c r="AE558" i="8" s="1"/>
  <c r="R558" i="8" s="1"/>
  <c r="AC559" i="8"/>
  <c r="AE559" i="8"/>
  <c r="AB555" i="8"/>
  <c r="AD555" i="8" s="1"/>
  <c r="AF555" i="8" s="1"/>
  <c r="AB556" i="8"/>
  <c r="AB557" i="8"/>
  <c r="AD557" i="8" s="1"/>
  <c r="AF557" i="8" s="1"/>
  <c r="AB558" i="8"/>
  <c r="AD558" i="8" s="1"/>
  <c r="AF558" i="8" s="1"/>
  <c r="AB559" i="8"/>
  <c r="AD559" i="8" s="1"/>
  <c r="AF559" i="8" s="1"/>
  <c r="Q559" i="8" s="1"/>
  <c r="P559" i="8" s="1"/>
  <c r="O552" i="8"/>
  <c r="O553" i="8"/>
  <c r="O554" i="8"/>
  <c r="O555" i="8"/>
  <c r="O556" i="8"/>
  <c r="O557" i="8"/>
  <c r="O558" i="8"/>
  <c r="O559" i="8"/>
  <c r="AG553" i="8"/>
  <c r="AG554" i="8"/>
  <c r="AG555" i="8"/>
  <c r="AG556" i="8"/>
  <c r="AG557" i="8"/>
  <c r="AG558" i="8"/>
  <c r="AG559" i="8"/>
  <c r="AG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N546" i="8"/>
  <c r="O546" i="8"/>
  <c r="Q546" i="8"/>
  <c r="P546" i="8" s="1"/>
  <c r="R546" i="8"/>
  <c r="N547" i="8"/>
  <c r="O547" i="8"/>
  <c r="P547" i="8"/>
  <c r="Q547" i="8"/>
  <c r="R547" i="8"/>
  <c r="N548" i="8"/>
  <c r="O548" i="8"/>
  <c r="Q548" i="8"/>
  <c r="P548" i="8" s="1"/>
  <c r="R548" i="8"/>
  <c r="N549" i="8"/>
  <c r="O549" i="8"/>
  <c r="Q549" i="8"/>
  <c r="P549" i="8" s="1"/>
  <c r="R549" i="8"/>
  <c r="N550" i="8"/>
  <c r="O550" i="8"/>
  <c r="Q550" i="8"/>
  <c r="P550" i="8" s="1"/>
  <c r="R550" i="8"/>
  <c r="N551" i="8"/>
  <c r="O551" i="8"/>
  <c r="Q551" i="8"/>
  <c r="P551" i="8" s="1"/>
  <c r="R551" i="8"/>
  <c r="M326" i="83"/>
  <c r="X546" i="8"/>
  <c r="FZ11" i="4"/>
  <c r="GA11" i="4"/>
  <c r="GB11" i="4"/>
  <c r="GC11" i="4"/>
  <c r="GD11" i="4"/>
  <c r="GE11" i="4"/>
  <c r="AC546" i="8"/>
  <c r="AE546" i="8" s="1"/>
  <c r="AD546" i="8"/>
  <c r="AF546" i="8"/>
  <c r="AG546" i="8"/>
  <c r="AC547" i="8"/>
  <c r="AD547" i="8"/>
  <c r="AF547" i="8" s="1"/>
  <c r="AE547" i="8"/>
  <c r="AG547" i="8"/>
  <c r="AC548" i="8"/>
  <c r="AD548" i="8"/>
  <c r="AE548" i="8"/>
  <c r="AF548" i="8"/>
  <c r="AG548" i="8"/>
  <c r="AC549" i="8"/>
  <c r="AE549" i="8" s="1"/>
  <c r="AD549" i="8"/>
  <c r="AF549" i="8" s="1"/>
  <c r="AG549" i="8"/>
  <c r="AC550" i="8"/>
  <c r="AD550" i="8"/>
  <c r="AE550" i="8"/>
  <c r="AF550" i="8"/>
  <c r="AG550" i="8"/>
  <c r="AC551" i="8"/>
  <c r="AD551" i="8"/>
  <c r="AE551" i="8"/>
  <c r="AF551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X547" i="8"/>
  <c r="X548" i="8"/>
  <c r="X549" i="8"/>
  <c r="X550" i="8"/>
  <c r="X551" i="8"/>
  <c r="W546" i="8"/>
  <c r="W547" i="8"/>
  <c r="W548" i="8"/>
  <c r="W549" i="8"/>
  <c r="W550" i="8"/>
  <c r="W551" i="8"/>
  <c r="FY11" i="7" l="1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X368" i="8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R539" i="8" s="1"/>
  <c r="AD539" i="8"/>
  <c r="AF539" i="8" s="1"/>
  <c r="AG539" i="8"/>
  <c r="AC540" i="8"/>
  <c r="AE540" i="8" s="1"/>
  <c r="R540" i="8" s="1"/>
  <c r="AD540" i="8"/>
  <c r="AF540" i="8" s="1"/>
  <c r="Q540" i="8" s="1"/>
  <c r="AG540" i="8"/>
  <c r="AC541" i="8"/>
  <c r="AD541" i="8"/>
  <c r="AF541" i="8" s="1"/>
  <c r="Q541" i="8" s="1"/>
  <c r="AE541" i="8"/>
  <c r="N541" i="8" s="1"/>
  <c r="AG541" i="8"/>
  <c r="AC542" i="8"/>
  <c r="AE542" i="8" s="1"/>
  <c r="R542" i="8" s="1"/>
  <c r="AD542" i="8"/>
  <c r="AF542" i="8" s="1"/>
  <c r="N542" i="8" s="1"/>
  <c r="AG542" i="8"/>
  <c r="AC543" i="8"/>
  <c r="AE543" i="8" s="1"/>
  <c r="R543" i="8" s="1"/>
  <c r="AD543" i="8"/>
  <c r="AF543" i="8" s="1"/>
  <c r="AG543" i="8"/>
  <c r="AC544" i="8"/>
  <c r="AE544" i="8" s="1"/>
  <c r="R544" i="8" s="1"/>
  <c r="AD544" i="8"/>
  <c r="AF544" i="8" s="1"/>
  <c r="N544" i="8" s="1"/>
  <c r="AG544" i="8"/>
  <c r="AC545" i="8"/>
  <c r="AE545" i="8" s="1"/>
  <c r="AD545" i="8"/>
  <c r="AF545" i="8" s="1"/>
  <c r="Q545" i="8" s="1"/>
  <c r="AG545" i="8"/>
  <c r="P545" i="8" l="1"/>
  <c r="N545" i="8"/>
  <c r="R545" i="8"/>
  <c r="N539" i="8"/>
  <c r="Q539" i="8"/>
  <c r="P539" i="8" s="1"/>
  <c r="P541" i="8"/>
  <c r="N543" i="8"/>
  <c r="Q543" i="8"/>
  <c r="P543" i="8" s="1"/>
  <c r="P540" i="8"/>
  <c r="R541" i="8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R535" i="8"/>
  <c r="O536" i="8"/>
  <c r="O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R532" i="8" s="1"/>
  <c r="AC533" i="8"/>
  <c r="AE533" i="8" s="1"/>
  <c r="R533" i="8" s="1"/>
  <c r="AG533" i="8"/>
  <c r="AC534" i="8"/>
  <c r="AE534" i="8" s="1"/>
  <c r="R534" i="8" s="1"/>
  <c r="AG534" i="8"/>
  <c r="AC535" i="8"/>
  <c r="AE535" i="8" s="1"/>
  <c r="AG535" i="8"/>
  <c r="AC536" i="8"/>
  <c r="AE536" i="8" s="1"/>
  <c r="R536" i="8" s="1"/>
  <c r="AG536" i="8"/>
  <c r="AC537" i="8"/>
  <c r="AE537" i="8" s="1"/>
  <c r="R537" i="8" s="1"/>
  <c r="AG537" i="8"/>
  <c r="AD532" i="8"/>
  <c r="AF532" i="8" s="1"/>
  <c r="X532" i="8"/>
  <c r="X533" i="8"/>
  <c r="AD533" i="8" s="1"/>
  <c r="AF533" i="8" s="1"/>
  <c r="X534" i="8"/>
  <c r="AD534" i="8" s="1"/>
  <c r="AF534" i="8" s="1"/>
  <c r="X535" i="8"/>
  <c r="AD535" i="8" s="1"/>
  <c r="AF535" i="8" s="1"/>
  <c r="X536" i="8"/>
  <c r="AD536" i="8" s="1"/>
  <c r="AF536" i="8" s="1"/>
  <c r="X537" i="8"/>
  <c r="AD537" i="8" s="1"/>
  <c r="AF537" i="8" s="1"/>
  <c r="W532" i="8"/>
  <c r="W533" i="8"/>
  <c r="W534" i="8"/>
  <c r="W535" i="8"/>
  <c r="W536" i="8"/>
  <c r="W537" i="8"/>
  <c r="N533" i="8" l="1"/>
  <c r="Q533" i="8"/>
  <c r="P533" i="8" s="1"/>
  <c r="N532" i="8"/>
  <c r="Q532" i="8"/>
  <c r="P532" i="8" s="1"/>
  <c r="N535" i="8"/>
  <c r="Q535" i="8"/>
  <c r="P535" i="8" s="1"/>
  <c r="Q537" i="8"/>
  <c r="P537" i="8" s="1"/>
  <c r="N537" i="8"/>
  <c r="Q536" i="8"/>
  <c r="P536" i="8" s="1"/>
  <c r="N536" i="8"/>
  <c r="Q534" i="8"/>
  <c r="P534" i="8" s="1"/>
  <c r="N534" i="8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P524" i="8" s="1"/>
  <c r="O525" i="8"/>
  <c r="O526" i="8"/>
  <c r="R526" i="8"/>
  <c r="O527" i="8"/>
  <c r="O528" i="8"/>
  <c r="O529" i="8"/>
  <c r="O530" i="8"/>
  <c r="O531" i="8"/>
  <c r="AG524" i="8"/>
  <c r="AG525" i="8"/>
  <c r="AG526" i="8"/>
  <c r="AG527" i="8"/>
  <c r="AG528" i="8"/>
  <c r="AG529" i="8"/>
  <c r="AG530" i="8"/>
  <c r="AG531" i="8"/>
  <c r="AC525" i="8"/>
  <c r="AE525" i="8"/>
  <c r="R525" i="8" s="1"/>
  <c r="AC526" i="8"/>
  <c r="AE526" i="8" s="1"/>
  <c r="AC527" i="8"/>
  <c r="AE527" i="8" s="1"/>
  <c r="R527" i="8" s="1"/>
  <c r="AC528" i="8"/>
  <c r="AE528" i="8" s="1"/>
  <c r="R528" i="8" s="1"/>
  <c r="AC529" i="8"/>
  <c r="AE529" i="8"/>
  <c r="R529" i="8" s="1"/>
  <c r="AC530" i="8"/>
  <c r="AE530" i="8" s="1"/>
  <c r="R530" i="8" s="1"/>
  <c r="AC531" i="8"/>
  <c r="AE531" i="8" s="1"/>
  <c r="R531" i="8" s="1"/>
  <c r="AB528" i="8"/>
  <c r="AD528" i="8" s="1"/>
  <c r="AF528" i="8" s="1"/>
  <c r="X524" i="8"/>
  <c r="AB524" i="8" s="1"/>
  <c r="X525" i="8"/>
  <c r="AB525" i="8" s="1"/>
  <c r="AD525" i="8" s="1"/>
  <c r="AF525" i="8" s="1"/>
  <c r="X526" i="8"/>
  <c r="AB526" i="8" s="1"/>
  <c r="AD526" i="8" s="1"/>
  <c r="AF526" i="8" s="1"/>
  <c r="X527" i="8"/>
  <c r="AB527" i="8" s="1"/>
  <c r="AD527" i="8" s="1"/>
  <c r="AF527" i="8" s="1"/>
  <c r="X528" i="8"/>
  <c r="X529" i="8"/>
  <c r="AB529" i="8" s="1"/>
  <c r="AD529" i="8" s="1"/>
  <c r="AF529" i="8" s="1"/>
  <c r="X530" i="8"/>
  <c r="AB530" i="8" s="1"/>
  <c r="AD530" i="8" s="1"/>
  <c r="AF530" i="8" s="1"/>
  <c r="X531" i="8"/>
  <c r="AD531" i="8" s="1"/>
  <c r="AF531" i="8" s="1"/>
  <c r="W525" i="8"/>
  <c r="W526" i="8"/>
  <c r="W527" i="8"/>
  <c r="W528" i="8"/>
  <c r="W529" i="8"/>
  <c r="W530" i="8"/>
  <c r="W531" i="8"/>
  <c r="N528" i="8" l="1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31" i="8"/>
  <c r="Q531" i="8"/>
  <c r="P531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X521" i="8"/>
  <c r="AB521" i="8" s="1"/>
  <c r="AD521" i="8" s="1"/>
  <c r="AF521" i="8" s="1"/>
  <c r="AG519" i="8"/>
  <c r="AG520" i="8"/>
  <c r="AG521" i="8"/>
  <c r="AG522" i="8"/>
  <c r="AG523" i="8"/>
  <c r="AG518" i="8"/>
  <c r="AC518" i="8"/>
  <c r="AE518" i="8" s="1"/>
  <c r="R518" i="8" s="1"/>
  <c r="AC519" i="8"/>
  <c r="AE519" i="8" s="1"/>
  <c r="R519" i="8" s="1"/>
  <c r="AC520" i="8"/>
  <c r="AE520" i="8"/>
  <c r="R520" i="8" s="1"/>
  <c r="AC521" i="8"/>
  <c r="AE521" i="8" s="1"/>
  <c r="R521" i="8" s="1"/>
  <c r="AC522" i="8"/>
  <c r="AE522" i="8" s="1"/>
  <c r="R522" i="8" s="1"/>
  <c r="AD523" i="8"/>
  <c r="AF523" i="8" s="1"/>
  <c r="AC523" i="8"/>
  <c r="AE523" i="8" s="1"/>
  <c r="R523" i="8" s="1"/>
  <c r="X517" i="8"/>
  <c r="X518" i="8"/>
  <c r="AB518" i="8" s="1"/>
  <c r="AD518" i="8" s="1"/>
  <c r="AF518" i="8" s="1"/>
  <c r="X519" i="8"/>
  <c r="AB519" i="8" s="1"/>
  <c r="AD519" i="8" s="1"/>
  <c r="AF519" i="8" s="1"/>
  <c r="X520" i="8"/>
  <c r="AB520" i="8" s="1"/>
  <c r="AD520" i="8" s="1"/>
  <c r="AF520" i="8" s="1"/>
  <c r="X522" i="8"/>
  <c r="AB522" i="8" s="1"/>
  <c r="AD522" i="8" s="1"/>
  <c r="AF522" i="8" s="1"/>
  <c r="X523" i="8"/>
  <c r="AB523" i="8" s="1"/>
  <c r="W517" i="8"/>
  <c r="W518" i="8"/>
  <c r="W519" i="8"/>
  <c r="W520" i="8"/>
  <c r="W521" i="8"/>
  <c r="W522" i="8"/>
  <c r="W523" i="8"/>
  <c r="P517" i="8" l="1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C498" i="8"/>
  <c r="AE498" i="8" s="1"/>
  <c r="R498" i="8" s="1"/>
  <c r="AC499" i="8"/>
  <c r="AE499" i="8" s="1"/>
  <c r="R499" i="8" s="1"/>
  <c r="AC500" i="8"/>
  <c r="AE500" i="8"/>
  <c r="R500" i="8" s="1"/>
  <c r="AC501" i="8"/>
  <c r="AE501" i="8" s="1"/>
  <c r="R501" i="8" s="1"/>
  <c r="AC502" i="8"/>
  <c r="AE502" i="8"/>
  <c r="R502" i="8" s="1"/>
  <c r="AC503" i="8"/>
  <c r="AE503" i="8" s="1"/>
  <c r="R503" i="8" s="1"/>
  <c r="AC504" i="8"/>
  <c r="AE504" i="8" s="1"/>
  <c r="R504" i="8" s="1"/>
  <c r="AC505" i="8"/>
  <c r="AE505" i="8" s="1"/>
  <c r="R505" i="8" s="1"/>
  <c r="AC506" i="8"/>
  <c r="AE506" i="8" s="1"/>
  <c r="R506" i="8" s="1"/>
  <c r="AC507" i="8"/>
  <c r="AE507" i="8" s="1"/>
  <c r="R507" i="8" s="1"/>
  <c r="AD507" i="8"/>
  <c r="AF507" i="8" s="1"/>
  <c r="N507" i="8" s="1"/>
  <c r="AC508" i="8"/>
  <c r="AE508" i="8"/>
  <c r="AC509" i="8"/>
  <c r="AE509" i="8" s="1"/>
  <c r="R509" i="8" s="1"/>
  <c r="R510" i="8"/>
  <c r="AC511" i="8"/>
  <c r="AE511" i="8" s="1"/>
  <c r="R511" i="8" s="1"/>
  <c r="AC512" i="8"/>
  <c r="AE512" i="8"/>
  <c r="R512" i="8" s="1"/>
  <c r="R513" i="8"/>
  <c r="R514" i="8"/>
  <c r="R515" i="8"/>
  <c r="AC516" i="8"/>
  <c r="AE516" i="8" s="1"/>
  <c r="R516" i="8" s="1"/>
  <c r="AB503" i="8"/>
  <c r="AD503" i="8" s="1"/>
  <c r="AF503" i="8" s="1"/>
  <c r="N503" i="8" s="1"/>
  <c r="AB507" i="8"/>
  <c r="AB509" i="8"/>
  <c r="AD509" i="8" s="1"/>
  <c r="AF509" i="8" s="1"/>
  <c r="N509" i="8" s="1"/>
  <c r="AB510" i="8"/>
  <c r="R508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AB497" i="8" s="1"/>
  <c r="AD497" i="8" s="1"/>
  <c r="AF497" i="8" s="1"/>
  <c r="N497" i="8" s="1"/>
  <c r="W498" i="8"/>
  <c r="X498" i="8"/>
  <c r="AB498" i="8" s="1"/>
  <c r="AD498" i="8" s="1"/>
  <c r="AF498" i="8" s="1"/>
  <c r="W499" i="8"/>
  <c r="X499" i="8"/>
  <c r="AB499" i="8" s="1"/>
  <c r="AD499" i="8" s="1"/>
  <c r="AF499" i="8" s="1"/>
  <c r="N499" i="8" s="1"/>
  <c r="W500" i="8"/>
  <c r="X500" i="8"/>
  <c r="AB500" i="8" s="1"/>
  <c r="AD500" i="8" s="1"/>
  <c r="AF500" i="8" s="1"/>
  <c r="N500" i="8" s="1"/>
  <c r="W501" i="8"/>
  <c r="X501" i="8"/>
  <c r="AB501" i="8" s="1"/>
  <c r="AD501" i="8" s="1"/>
  <c r="AF501" i="8" s="1"/>
  <c r="N501" i="8" s="1"/>
  <c r="W502" i="8"/>
  <c r="X502" i="8"/>
  <c r="AB502" i="8" s="1"/>
  <c r="AD502" i="8" s="1"/>
  <c r="AF502" i="8" s="1"/>
  <c r="N502" i="8" s="1"/>
  <c r="W503" i="8"/>
  <c r="X503" i="8"/>
  <c r="W504" i="8"/>
  <c r="X504" i="8"/>
  <c r="AB504" i="8" s="1"/>
  <c r="AD504" i="8" s="1"/>
  <c r="AF504" i="8" s="1"/>
  <c r="N504" i="8" s="1"/>
  <c r="W505" i="8"/>
  <c r="X505" i="8"/>
  <c r="AB505" i="8" s="1"/>
  <c r="AD505" i="8" s="1"/>
  <c r="AF505" i="8" s="1"/>
  <c r="N505" i="8" s="1"/>
  <c r="W506" i="8"/>
  <c r="X506" i="8"/>
  <c r="AB506" i="8" s="1"/>
  <c r="AD506" i="8" s="1"/>
  <c r="AF506" i="8" s="1"/>
  <c r="N506" i="8" s="1"/>
  <c r="W507" i="8"/>
  <c r="X507" i="8"/>
  <c r="W508" i="8"/>
  <c r="X508" i="8"/>
  <c r="AB508" i="8" s="1"/>
  <c r="AD508" i="8" s="1"/>
  <c r="AF508" i="8" s="1"/>
  <c r="N508" i="8" s="1"/>
  <c r="W509" i="8"/>
  <c r="X509" i="8"/>
  <c r="W511" i="8"/>
  <c r="X511" i="8"/>
  <c r="AB511" i="8" s="1"/>
  <c r="AD511" i="8" s="1"/>
  <c r="AF511" i="8" s="1"/>
  <c r="N511" i="8" s="1"/>
  <c r="W512" i="8"/>
  <c r="X512" i="8"/>
  <c r="AB512" i="8" s="1"/>
  <c r="AD512" i="8" s="1"/>
  <c r="AF512" i="8" s="1"/>
  <c r="W513" i="8"/>
  <c r="X513" i="8"/>
  <c r="AB513" i="8" s="1"/>
  <c r="W514" i="8"/>
  <c r="X514" i="8"/>
  <c r="AB514" i="8" s="1"/>
  <c r="W515" i="8"/>
  <c r="X515" i="8"/>
  <c r="AB515" i="8" s="1"/>
  <c r="W516" i="8"/>
  <c r="X516" i="8"/>
  <c r="AB516" i="8" s="1"/>
  <c r="AD516" i="8" s="1"/>
  <c r="AF516" i="8" s="1"/>
  <c r="N512" i="8" l="1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7" i="8"/>
  <c r="AE482" i="8"/>
  <c r="R482" i="8" s="1"/>
  <c r="AF482" i="8"/>
  <c r="AE487" i="8"/>
  <c r="R487" i="8" s="1"/>
  <c r="AF487" i="8"/>
  <c r="W490" i="8"/>
  <c r="X490" i="8"/>
  <c r="AB490" i="8" s="1"/>
  <c r="AD490" i="8" s="1"/>
  <c r="AF490" i="8" s="1"/>
  <c r="W491" i="8"/>
  <c r="X491" i="8"/>
  <c r="W492" i="8"/>
  <c r="X492" i="8"/>
  <c r="AB492" i="8" s="1"/>
  <c r="AD492" i="8" s="1"/>
  <c r="AF492" i="8" s="1"/>
  <c r="N492" i="8" s="1"/>
  <c r="W493" i="8"/>
  <c r="X493" i="8"/>
  <c r="AB493" i="8" s="1"/>
  <c r="AD493" i="8" s="1"/>
  <c r="AF493" i="8" s="1"/>
  <c r="W494" i="8"/>
  <c r="X494" i="8"/>
  <c r="AB494" i="8" s="1"/>
  <c r="AD494" i="8" s="1"/>
  <c r="AF494" i="8" s="1"/>
  <c r="W495" i="8"/>
  <c r="X495" i="8"/>
  <c r="AB495" i="8" s="1"/>
  <c r="AD495" i="8" s="1"/>
  <c r="AF495" i="8" s="1"/>
  <c r="AC490" i="8"/>
  <c r="AE490" i="8" s="1"/>
  <c r="R490" i="8" s="1"/>
  <c r="AC491" i="8"/>
  <c r="AE491" i="8" s="1"/>
  <c r="R491" i="8" s="1"/>
  <c r="AC492" i="8"/>
  <c r="AE492" i="8" s="1"/>
  <c r="R492" i="8" s="1"/>
  <c r="AC493" i="8"/>
  <c r="AE493" i="8" s="1"/>
  <c r="R493" i="8" s="1"/>
  <c r="AC494" i="8"/>
  <c r="AE494" i="8" s="1"/>
  <c r="R494" i="8" s="1"/>
  <c r="AC495" i="8"/>
  <c r="AE495" i="8" s="1"/>
  <c r="R495" i="8" s="1"/>
  <c r="AB491" i="8"/>
  <c r="AD491" i="8" s="1"/>
  <c r="AF491" i="8" s="1"/>
  <c r="N491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N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AC488" i="8"/>
  <c r="AE488" i="8" s="1"/>
  <c r="R488" i="8" s="1"/>
  <c r="AD488" i="8"/>
  <c r="AF488" i="8" s="1"/>
  <c r="AC489" i="8"/>
  <c r="AE489" i="8" s="1"/>
  <c r="R489" i="8" s="1"/>
  <c r="X483" i="8"/>
  <c r="AB483" i="8" s="1"/>
  <c r="AD483" i="8" s="1"/>
  <c r="X484" i="8"/>
  <c r="AB484" i="8" s="1"/>
  <c r="AD484" i="8" s="1"/>
  <c r="AF484" i="8" s="1"/>
  <c r="N484" i="8" s="1"/>
  <c r="X486" i="8"/>
  <c r="AB486" i="8" s="1"/>
  <c r="X488" i="8"/>
  <c r="AB488" i="8" s="1"/>
  <c r="X489" i="8"/>
  <c r="AB489" i="8" s="1"/>
  <c r="AD489" i="8" s="1"/>
  <c r="AF489" i="8" s="1"/>
  <c r="N489" i="8" s="1"/>
  <c r="W485" i="8"/>
  <c r="W486" i="8"/>
  <c r="W488" i="8"/>
  <c r="W489" i="8"/>
  <c r="DO11" i="4"/>
  <c r="W483" i="8"/>
  <c r="Q488" i="8" l="1"/>
  <c r="P488" i="8" s="1"/>
  <c r="N488" i="8"/>
  <c r="Q486" i="8"/>
  <c r="P486" i="8" s="1"/>
  <c r="N486" i="8"/>
  <c r="Q484" i="8"/>
  <c r="P484" i="8" s="1"/>
  <c r="Q485" i="8"/>
  <c r="P485" i="8" s="1"/>
  <c r="AF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X476" i="8"/>
  <c r="AB476" i="8" s="1"/>
  <c r="AD476" i="8" s="1"/>
  <c r="AF476" i="8" s="1"/>
  <c r="N476" i="8" s="1"/>
  <c r="X477" i="8"/>
  <c r="AB477" i="8" s="1"/>
  <c r="AD477" i="8" s="1"/>
  <c r="AF477" i="8" s="1"/>
  <c r="N477" i="8" s="1"/>
  <c r="X478" i="8"/>
  <c r="AB478" i="8" s="1"/>
  <c r="AD478" i="8" s="1"/>
  <c r="AF478" i="8" s="1"/>
  <c r="N478" i="8" s="1"/>
  <c r="X479" i="8"/>
  <c r="AB479" i="8" s="1"/>
  <c r="AD479" i="8" s="1"/>
  <c r="AF479" i="8" s="1"/>
  <c r="N479" i="8" s="1"/>
  <c r="X480" i="8"/>
  <c r="AB480" i="8" s="1"/>
  <c r="AD480" i="8" s="1"/>
  <c r="AF480" i="8" s="1"/>
  <c r="N480" i="8" s="1"/>
  <c r="X481" i="8"/>
  <c r="AB481" i="8" s="1"/>
  <c r="AD481" i="8" s="1"/>
  <c r="AF481" i="8" s="1"/>
  <c r="N481" i="8" s="1"/>
  <c r="W476" i="8"/>
  <c r="W477" i="8"/>
  <c r="W478" i="8"/>
  <c r="W479" i="8"/>
  <c r="W480" i="8"/>
  <c r="W481" i="8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R469" i="8" s="1"/>
  <c r="AC470" i="8"/>
  <c r="AE470" i="8" s="1"/>
  <c r="R470" i="8" s="1"/>
  <c r="AC471" i="8"/>
  <c r="AE471" i="8" s="1"/>
  <c r="R471" i="8" s="1"/>
  <c r="AC472" i="8"/>
  <c r="AE472" i="8" s="1"/>
  <c r="R472" i="8" s="1"/>
  <c r="AC473" i="8"/>
  <c r="AE473" i="8" s="1"/>
  <c r="R473" i="8" s="1"/>
  <c r="AC474" i="8"/>
  <c r="AE474" i="8" s="1"/>
  <c r="R474" i="8" s="1"/>
  <c r="AC475" i="8"/>
  <c r="X468" i="8"/>
  <c r="X469" i="8"/>
  <c r="AB469" i="8" s="1"/>
  <c r="AD469" i="8" s="1"/>
  <c r="AF469" i="8" s="1"/>
  <c r="N469" i="8" s="1"/>
  <c r="X470" i="8"/>
  <c r="AB470" i="8" s="1"/>
  <c r="AD470" i="8" s="1"/>
  <c r="AF470" i="8" s="1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N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71" i="8"/>
  <c r="AD471" i="8" s="1"/>
  <c r="AF471" i="8" s="1"/>
  <c r="N471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E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 s="1"/>
  <c r="R465" i="8" s="1"/>
  <c r="AC466" i="8"/>
  <c r="AE466" i="8" s="1"/>
  <c r="R466" i="8" s="1"/>
  <c r="AC467" i="8"/>
  <c r="AE467" i="8" s="1"/>
  <c r="R467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AB464" i="8" s="1"/>
  <c r="AD464" i="8" s="1"/>
  <c r="AF464" i="8" s="1"/>
  <c r="X465" i="8"/>
  <c r="AB465" i="8" s="1"/>
  <c r="AD465" i="8" s="1"/>
  <c r="AF465" i="8" s="1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C455" i="8"/>
  <c r="AE455" i="8" s="1"/>
  <c r="R455" i="8" s="1"/>
  <c r="AC456" i="8"/>
  <c r="AE456" i="8" s="1"/>
  <c r="R456" i="8" s="1"/>
  <c r="AC457" i="8"/>
  <c r="AE457" i="8" s="1"/>
  <c r="R457" i="8" s="1"/>
  <c r="AC458" i="8"/>
  <c r="AE458" i="8" s="1"/>
  <c r="R458" i="8" s="1"/>
  <c r="AC459" i="8"/>
  <c r="AE459" i="8" s="1"/>
  <c r="R459" i="8" s="1"/>
  <c r="AC460" i="8"/>
  <c r="AE460" i="8" s="1"/>
  <c r="R460" i="8" s="1"/>
  <c r="X455" i="8"/>
  <c r="AB455" i="8" s="1"/>
  <c r="AD455" i="8" s="1"/>
  <c r="AF455" i="8" s="1"/>
  <c r="N455" i="8" s="1"/>
  <c r="X456" i="8"/>
  <c r="AB456" i="8" s="1"/>
  <c r="AD456" i="8" s="1"/>
  <c r="AF456" i="8" s="1"/>
  <c r="N456" i="8" s="1"/>
  <c r="X457" i="8"/>
  <c r="AB457" i="8" s="1"/>
  <c r="AD457" i="8" s="1"/>
  <c r="AF457" i="8" s="1"/>
  <c r="N457" i="8" s="1"/>
  <c r="X458" i="8"/>
  <c r="AB458" i="8" s="1"/>
  <c r="AD458" i="8" s="1"/>
  <c r="AF458" i="8" s="1"/>
  <c r="N458" i="8" s="1"/>
  <c r="X459" i="8"/>
  <c r="AB459" i="8" s="1"/>
  <c r="AD459" i="8" s="1"/>
  <c r="AF459" i="8" s="1"/>
  <c r="N459" i="8" s="1"/>
  <c r="X460" i="8"/>
  <c r="AB460" i="8" s="1"/>
  <c r="AD460" i="8" s="1"/>
  <c r="AF460" i="8" s="1"/>
  <c r="W455" i="8"/>
  <c r="W456" i="8"/>
  <c r="W457" i="8"/>
  <c r="W458" i="8"/>
  <c r="W459" i="8"/>
  <c r="W460" i="8"/>
  <c r="N460" i="8" l="1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N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AD448" i="8" s="1"/>
  <c r="AF448" i="8" s="1"/>
  <c r="W449" i="8"/>
  <c r="X449" i="8"/>
  <c r="AB449" i="8" s="1"/>
  <c r="AD449" i="8" s="1"/>
  <c r="AF449" i="8" s="1"/>
  <c r="N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N448" i="8" l="1"/>
  <c r="N450" i="8"/>
  <c r="Q450" i="8"/>
  <c r="P450" i="8" s="1"/>
  <c r="Q449" i="8"/>
  <c r="P449" i="8" s="1"/>
  <c r="Q448" i="8"/>
  <c r="P448" i="8" s="1"/>
  <c r="Q452" i="8"/>
  <c r="P452" i="8" s="1"/>
  <c r="AB453" i="8"/>
  <c r="AD453" i="8" s="1"/>
  <c r="AF453" i="8" s="1"/>
  <c r="N453" i="8" s="1"/>
  <c r="AD451" i="8"/>
  <c r="AF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X438" i="8"/>
  <c r="AB438" i="8" s="1"/>
  <c r="AD438" i="8" s="1"/>
  <c r="AF438" i="8" s="1"/>
  <c r="X439" i="8"/>
  <c r="AB439" i="8" s="1"/>
  <c r="AD439" i="8" s="1"/>
  <c r="AF439" i="8" s="1"/>
  <c r="X440" i="8"/>
  <c r="AB440" i="8" s="1"/>
  <c r="AD440" i="8" s="1"/>
  <c r="AF440" i="8" s="1"/>
  <c r="X441" i="8"/>
  <c r="AB441" i="8" s="1"/>
  <c r="AD441" i="8" s="1"/>
  <c r="AF441" i="8" s="1"/>
  <c r="X442" i="8"/>
  <c r="AB442" i="8" s="1"/>
  <c r="AD442" i="8" s="1"/>
  <c r="AF442" i="8" s="1"/>
  <c r="N442" i="8" s="1"/>
  <c r="X443" i="8"/>
  <c r="AB443" i="8" s="1"/>
  <c r="AD443" i="8" s="1"/>
  <c r="AF443" i="8" s="1"/>
  <c r="X444" i="8"/>
  <c r="AB444" i="8" s="1"/>
  <c r="AD444" i="8" s="1"/>
  <c r="AF444" i="8" s="1"/>
  <c r="N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R434" i="8" s="1"/>
  <c r="AC435" i="8"/>
  <c r="AE435" i="8" s="1"/>
  <c r="R435" i="8" s="1"/>
  <c r="AC436" i="8"/>
  <c r="AE436" i="8" s="1"/>
  <c r="R436" i="8" s="1"/>
  <c r="AC437" i="8"/>
  <c r="AE437" i="8" s="1"/>
  <c r="R437" i="8" s="1"/>
  <c r="AC438" i="8"/>
  <c r="AE438" i="8" s="1"/>
  <c r="R438" i="8" s="1"/>
  <c r="AC439" i="8"/>
  <c r="AE439" i="8" s="1"/>
  <c r="R439" i="8" s="1"/>
  <c r="AC440" i="8"/>
  <c r="AE440" i="8" s="1"/>
  <c r="R440" i="8" s="1"/>
  <c r="X433" i="8"/>
  <c r="X434" i="8"/>
  <c r="AB434" i="8" s="1"/>
  <c r="AD434" i="8" s="1"/>
  <c r="AF434" i="8" s="1"/>
  <c r="N434" i="8" s="1"/>
  <c r="X435" i="8"/>
  <c r="AB435" i="8" s="1"/>
  <c r="AD435" i="8" s="1"/>
  <c r="AF435" i="8" s="1"/>
  <c r="N435" i="8" s="1"/>
  <c r="X436" i="8"/>
  <c r="X437" i="8"/>
  <c r="AB437" i="8" s="1"/>
  <c r="AD437" i="8" s="1"/>
  <c r="AF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N440" i="8" l="1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AB427" i="8" s="1"/>
  <c r="AD427" i="8" s="1"/>
  <c r="AF427" i="8" s="1"/>
  <c r="X428" i="8"/>
  <c r="AB428" i="8" s="1"/>
  <c r="AD428" i="8" s="1"/>
  <c r="AF428" i="8" s="1"/>
  <c r="X429" i="8"/>
  <c r="AB429" i="8" s="1"/>
  <c r="AD429" i="8" s="1"/>
  <c r="AF429" i="8" s="1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 s="1"/>
  <c r="R429" i="8" s="1"/>
  <c r="AC430" i="8"/>
  <c r="AE430" i="8" s="1"/>
  <c r="R430" i="8" s="1"/>
  <c r="AC431" i="8"/>
  <c r="AE431" i="8"/>
  <c r="R431" i="8" s="1"/>
  <c r="AC432" i="8"/>
  <c r="AE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N427" i="8" l="1"/>
  <c r="N430" i="8"/>
  <c r="N429" i="8"/>
  <c r="N431" i="8"/>
  <c r="N428" i="8"/>
  <c r="AB432" i="8"/>
  <c r="AD432" i="8" s="1"/>
  <c r="AF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N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R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 s="1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 s="1"/>
  <c r="AC389" i="8"/>
  <c r="AE389" i="8" s="1"/>
  <c r="AC390" i="8"/>
  <c r="AE390" i="8" s="1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E398" i="8" s="1"/>
  <c r="AD398" i="8"/>
  <c r="AF398" i="8" s="1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 s="1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<sst xmlns="http://schemas.openxmlformats.org/spreadsheetml/2006/main" count="14479" uniqueCount="2593">
  <si>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</si>
  <si>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</si>
  <si>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</si>
  <si>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</si>
  <si>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</si>
  <si>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</si>
  <si>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</si>
  <si>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</si>
  <si>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</si>
  <si>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</si>
  <si>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</si>
  <si>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</si>
  <si>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</si>
  <si>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</si>
  <si>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</si>
  <si>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</si>
  <si>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</si>
  <si>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</si>
  <si>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</si>
  <si>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</si>
  <si>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</si>
  <si>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</si>
  <si>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</si>
  <si>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</si>
  <si>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</si>
  <si>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</si>
  <si>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</si>
  <si>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</si>
  <si>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</si>
  <si>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</si>
  <si>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</si>
  <si>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</si>
  <si>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</si>
  <si>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</si>
  <si>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</si>
  <si>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</si>
  <si>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</si>
  <si>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</si>
  <si>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</si>
  <si>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</si>
  <si>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</si>
  <si>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</si>
  <si>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</si>
  <si>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</si>
  <si>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</si>
  <si>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</si>
  <si>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</si>
  <si>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</si>
  <si>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</si>
  <si>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</si>
  <si>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</si>
  <si>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</si>
  <si>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</si>
  <si>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</si>
  <si>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</si>
  <si>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</si>
  <si>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</si>
  <si>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</si>
  <si>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</si>
  <si>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</si>
  <si>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</si>
  <si>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</si>
  <si>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</si>
  <si>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</si>
  <si>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</si>
  <si>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</si>
  <si>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</si>
  <si>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</si>
  <si>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</si>
  <si>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</si>
  <si>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</si>
  <si>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</si>
  <si>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</si>
  <si>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</si>
  <si>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</si>
  <si>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</si>
  <si>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</si>
  <si>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</si>
  <si>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</si>
  <si>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</si>
  <si>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</si>
  <si>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</si>
  <si>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</si>
  <si>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</si>
  <si>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</si>
  <si>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</si>
  <si>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</si>
  <si>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</si>
  <si>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</si>
  <si>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</si>
  <si>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</si>
  <si>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</si>
  <si>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</si>
  <si>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</si>
  <si>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</si>
  <si>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</si>
  <si>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</si>
  <si>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</si>
  <si>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</si>
  <si>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</si>
  <si>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</si>
  <si>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</si>
  <si>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</si>
  <si>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</si>
  <si>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</si>
  <si>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</si>
  <si>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</si>
  <si>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</si>
  <si>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</si>
  <si>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</si>
  <si>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</si>
  <si>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</si>
  <si>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</si>
  <si>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</si>
  <si>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</si>
  <si>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</si>
  <si>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</si>
  <si>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</si>
  <si>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</si>
  <si>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</si>
  <si>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</si>
  <si>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</si>
  <si>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</si>
  <si>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</si>
  <si>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</si>
  <si>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</si>
  <si>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</si>
  <si>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</si>
  <si>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</si>
  <si>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</si>
  <si>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</si>
  <si>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</si>
  <si>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</si>
  <si>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</si>
  <si>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</si>
  <si>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</si>
  <si>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</si>
  <si>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</si>
  <si>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</si>
  <si>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</si>
  <si>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</si>
  <si>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</si>
  <si>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</si>
  <si>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</si>
  <si>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</si>
  <si>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</si>
  <si>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</si>
  <si>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</si>
  <si>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</si>
  <si>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</si>
  <si>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</si>
  <si>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</si>
  <si>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</si>
  <si>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</si>
  <si>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</si>
  <si>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</si>
  <si>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</si>
  <si>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</si>
  <si>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</si>
  <si>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</si>
  <si>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</si>
  <si>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</si>
  <si>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</si>
  <si>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</si>
  <si>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</si>
  <si>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</si>
  <si>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</si>
  <si>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</si>
  <si>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</si>
  <si>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</si>
  <si>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</si>
  <si>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</si>
  <si>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</si>
  <si>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</si>
  <si>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</si>
  <si>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</si>
  <si>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</si>
  <si>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</si>
  <si>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</si>
  <si>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</si>
  <si>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</si>
  <si>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</si>
  <si>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</si>
  <si>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</si>
  <si>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</si>
  <si>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</si>
  <si>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</si>
  <si>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</si>
  <si>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</si>
  <si>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</si>
  <si>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</si>
  <si>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</si>
  <si>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</si>
  <si>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</si>
  <si>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</si>
  <si>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</si>
  <si>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</si>
  <si>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</si>
  <si>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</si>
  <si>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</si>
  <si>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</si>
  <si>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</si>
  <si>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</si>
  <si>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</si>
  <si>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</si>
  <si>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</si>
  <si>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</si>
  <si>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</si>
  <si>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</si>
  <si>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</si>
  <si>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</si>
  <si>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</si>
  <si>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</si>
  <si>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</si>
  <si>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</si>
  <si>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</si>
  <si>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</si>
  <si>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</si>
  <si>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</si>
  <si>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</si>
  <si>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</si>
  <si>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</si>
  <si>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</si>
  <si>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</si>
  <si>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</si>
  <si>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</si>
  <si>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</si>
  <si>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</si>
  <si>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</si>
  <si>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</si>
  <si>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</si>
  <si>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</si>
  <si>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</si>
  <si>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</si>
  <si>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</si>
  <si>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</si>
  <si>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</si>
  <si>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</si>
  <si>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</si>
  <si>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</si>
  <si>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</si>
  <si>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</si>
  <si>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</si>
  <si>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</si>
  <si>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</si>
  <si>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</si>
  <si>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</si>
  <si>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</si>
  <si>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</si>
  <si>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</si>
  <si>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</si>
  <si>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</si>
  <si>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</si>
  <si>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</si>
  <si>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</si>
  <si>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</si>
  <si>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</si>
  <si>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</si>
  <si>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</si>
  <si>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</si>
  <si>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</si>
  <si>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</si>
  <si>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</si>
  <si>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</si>
  <si>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</si>
  <si>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</si>
  <si>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</si>
  <si>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</si>
  <si>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</si>
  <si>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</si>
  <si>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</si>
  <si>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</si>
  <si>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</si>
  <si>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</si>
  <si>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</si>
  <si>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</si>
  <si>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</si>
  <si>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</si>
  <si>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</si>
  <si>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</si>
  <si>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</si>
  <si>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</si>
  <si>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</si>
  <si>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</si>
  <si>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</si>
  <si>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</si>
  <si>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</si>
  <si>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</si>
  <si>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</si>
  <si>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</si>
  <si>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</si>
  <si>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</si>
  <si>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</si>
  <si>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</si>
  <si>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</si>
  <si>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</si>
  <si>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</si>
  <si>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</si>
  <si>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</si>
  <si>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</si>
  <si>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</si>
  <si>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</si>
  <si>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</si>
  <si>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</si>
  <si>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</si>
  <si>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</si>
  <si>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</si>
  <si>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</si>
  <si>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</si>
  <si>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</si>
  <si>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</si>
  <si>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</si>
  <si>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</si>
  <si>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</si>
  <si>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</si>
  <si>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</si>
  <si>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</si>
  <si>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</si>
  <si>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</si>
  <si>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</si>
  <si>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</si>
  <si>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</si>
  <si>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</si>
  <si>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</si>
  <si>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</si>
  <si>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</si>
  <si>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</si>
  <si>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</si>
  <si>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</si>
  <si>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</si>
  <si>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</si>
  <si>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</si>
  <si>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</si>
  <si>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</si>
  <si>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</si>
  <si>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</si>
  <si>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</si>
  <si>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</si>
  <si>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</si>
  <si>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</si>
  <si>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</si>
  <si>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</si>
  <si>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</si>
  <si>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</si>
  <si>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</si>
  <si>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</si>
  <si>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</si>
  <si>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</si>
  <si>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</si>
  <si>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</si>
  <si>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</si>
  <si>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</si>
  <si>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</si>
  <si>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</si>
  <si>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</si>
  <si>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</si>
  <si>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</si>
  <si>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</si>
  <si>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</si>
  <si>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</si>
  <si>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</si>
  <si>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</si>
  <si>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</si>
  <si>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</si>
  <si>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</si>
  <si>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</si>
  <si>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</si>
  <si>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</si>
  <si>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</si>
  <si>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</si>
  <si>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</si>
  <si>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</si>
  <si>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</si>
  <si>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</si>
  <si>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</si>
  <si>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</si>
  <si>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</si>
  <si>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</si>
  <si>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</si>
  <si>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</si>
  <si>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</si>
  <si>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</si>
  <si>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</si>
  <si>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</si>
  <si>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</si>
  <si>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</si>
  <si>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</si>
  <si>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</si>
  <si>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</si>
  <si>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</si>
  <si>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</si>
  <si>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</si>
  <si>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</si>
  <si>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</si>
  <si>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</si>
  <si>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</si>
  <si>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</si>
  <si>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</si>
  <si>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</si>
  <si>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</si>
  <si>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</si>
  <si>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</si>
  <si>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</si>
  <si>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</si>
  <si>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</si>
  <si>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</si>
  <si>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</si>
  <si>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</si>
  <si>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</si>
  <si>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</si>
  <si>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</si>
  <si>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</si>
  <si>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</si>
  <si>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</si>
  <si>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</si>
  <si>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</si>
  <si>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</si>
  <si>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</si>
  <si>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</si>
  <si>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</si>
  <si>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</si>
  <si>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</si>
  <si>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</si>
  <si>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</si>
  <si>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</si>
  <si>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</si>
  <si>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</si>
  <si>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</si>
  <si>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</si>
  <si>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</si>
  <si>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</si>
  <si>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</si>
  <si>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</si>
  <si>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</si>
  <si>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</si>
  <si>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</si>
  <si>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</si>
  <si>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</si>
  <si>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</si>
  <si>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</si>
  <si>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</si>
  <si>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</si>
  <si>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</si>
  <si>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</si>
  <si>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</si>
  <si>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</si>
  <si>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</si>
  <si>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</si>
  <si>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</si>
  <si>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</si>
  <si>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</si>
  <si>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</si>
  <si>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</si>
  <si>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</si>
  <si>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</si>
  <si>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</si>
  <si>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</si>
  <si>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</si>
  <si>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</si>
  <si>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</si>
  <si>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</si>
  <si>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</si>
  <si>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</si>
  <si>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</si>
  <si>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</si>
  <si>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</si>
  <si>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</si>
  <si>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</si>
  <si>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</si>
  <si>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</si>
  <si>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</si>
  <si>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</si>
  <si>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</si>
  <si>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</si>
  <si>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</si>
  <si>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</si>
  <si>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</si>
  <si>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</si>
  <si>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</si>
  <si>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</si>
  <si>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</si>
  <si>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</si>
  <si>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</si>
  <si>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</si>
  <si>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</si>
  <si>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</si>
  <si>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</si>
  <si>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</si>
  <si>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</si>
  <si>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</si>
  <si>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</si>
  <si>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</si>
  <si>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</si>
  <si>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</si>
  <si>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</si>
  <si>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</si>
  <si>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</si>
  <si>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</si>
  <si>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</si>
  <si>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</si>
  <si>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</si>
  <si>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</si>
  <si>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</si>
  <si>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</si>
  <si>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</si>
  <si>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</si>
  <si>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</si>
  <si>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</si>
  <si>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</si>
  <si>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</si>
  <si>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</si>
  <si>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</si>
  <si>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</si>
  <si>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</si>
  <si>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</si>
  <si>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</si>
  <si>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</si>
  <si>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</si>
  <si>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</si>
  <si>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</si>
  <si>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</si>
  <si>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</si>
  <si>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</si>
  <si>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</si>
  <si>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</si>
  <si>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</si>
  <si>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</si>
  <si>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</si>
  <si>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</si>
  <si>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</si>
  <si>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</si>
  <si>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</si>
  <si>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</si>
  <si>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</si>
  <si>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</si>
  <si>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</si>
  <si>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</si>
  <si>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</si>
  <si>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</si>
  <si>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</si>
  <si>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</si>
  <si>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</si>
  <si>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</si>
  <si>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</si>
  <si>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</si>
  <si>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</si>
  <si>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</si>
  <si>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</si>
  <si>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</si>
  <si>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</si>
  <si>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</si>
  <si>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</si>
  <si>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</si>
  <si>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</si>
  <si>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</si>
  <si>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</si>
  <si>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</si>
  <si>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</si>
  <si>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</si>
  <si>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</si>
  <si>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</si>
  <si>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</si>
  <si>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</si>
  <si>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</si>
  <si>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</si>
  <si>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</si>
  <si>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</si>
  <si>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</si>
  <si>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</si>
  <si>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</si>
  <si>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</si>
  <si>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</si>
  <si>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</si>
  <si>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</si>
  <si>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</si>
  <si>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</si>
  <si>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</si>
  <si>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</si>
  <si>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</si>
  <si>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</si>
  <si>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</si>
  <si>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</si>
  <si>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</si>
  <si>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</si>
  <si>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</si>
  <si>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</si>
  <si>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</si>
  <si>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</si>
  <si>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</si>
  <si>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</si>
  <si>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</si>
  <si>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</si>
  <si>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</si>
  <si>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</si>
  <si>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</si>
  <si>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</si>
  <si>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</si>
  <si>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</si>
  <si>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</si>
  <si>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</si>
  <si>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</si>
  <si>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</si>
  <si>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</si>
  <si>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</si>
  <si>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</si>
  <si>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</si>
  <si>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</si>
  <si>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</si>
  <si>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</si>
  <si>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</si>
  <si>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</si>
  <si>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</si>
  <si>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</si>
  <si>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</si>
  <si>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</si>
  <si>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</si>
  <si>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</si>
  <si>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</si>
  <si>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</si>
  <si>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</si>
  <si>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</si>
  <si>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</si>
  <si>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</si>
  <si>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</si>
  <si>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</si>
  <si>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</si>
  <si>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</si>
  <si>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</si>
  <si>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</si>
  <si>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</si>
  <si>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</si>
  <si>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</si>
  <si>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</si>
  <si>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</si>
  <si>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</si>
  <si>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</si>
  <si>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</si>
  <si>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</si>
  <si>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</si>
  <si>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</si>
  <si>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</si>
  <si>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</si>
  <si>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</si>
  <si>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</si>
  <si>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</si>
  <si>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</si>
  <si>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</si>
  <si>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</si>
  <si>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</si>
  <si>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</si>
  <si>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</si>
  <si>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</si>
  <si>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</si>
  <si>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</si>
  <si>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</si>
  <si>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</si>
  <si>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</si>
  <si>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</si>
  <si>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</si>
  <si>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</si>
  <si>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</si>
  <si>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</si>
  <si>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</si>
  <si>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</si>
  <si>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</si>
  <si>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</si>
  <si>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</si>
  <si>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</si>
  <si>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</si>
  <si>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</si>
  <si>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</si>
  <si>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</si>
  <si>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</si>
  <si>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</si>
  <si>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</si>
  <si>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</si>
  <si>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</si>
  <si>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</si>
  <si>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</si>
  <si>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</si>
  <si>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</si>
  <si>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</si>
  <si>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</si>
  <si>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</si>
  <si>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</si>
  <si>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</si>
  <si>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</si>
  <si>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</si>
  <si>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</si>
  <si>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</si>
  <si>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</si>
  <si>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</si>
  <si>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</si>
  <si>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</si>
  <si>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</si>
  <si>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</si>
  <si>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</si>
  <si>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</si>
  <si>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</si>
  <si>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</si>
  <si>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</si>
  <si>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</si>
  <si>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</si>
  <si>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</si>
  <si>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</si>
  <si>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</si>
  <si>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</si>
  <si>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</si>
  <si>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</si>
  <si>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</si>
  <si>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</si>
  <si>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</si>
  <si>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</si>
  <si>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</si>
  <si>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</si>
  <si>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</si>
  <si>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</si>
  <si>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</si>
  <si>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</si>
  <si>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</si>
  <si>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</si>
  <si>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</si>
  <si>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</si>
  <si>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</si>
  <si>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</si>
  <si>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</si>
  <si>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</si>
  <si>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</si>
  <si>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</si>
  <si>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</si>
  <si>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</si>
  <si>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</si>
  <si>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</si>
  <si>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</si>
  <si>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</si>
  <si>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</si>
  <si>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</si>
  <si>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</si>
  <si>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</si>
  <si>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</si>
  <si>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</si>
  <si>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</si>
  <si>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</si>
  <si>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</si>
  <si>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</si>
  <si>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</si>
  <si>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</si>
  <si>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</si>
  <si>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</si>
  <si>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</si>
  <si>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</si>
  <si>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</si>
  <si>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</si>
  <si>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</si>
  <si>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</si>
  <si>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</si>
  <si>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</si>
  <si>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</si>
  <si>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</si>
  <si>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</si>
  <si>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</si>
  <si>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</si>
  <si>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</si>
  <si>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</si>
  <si>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</si>
  <si>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</si>
  <si>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</si>
  <si>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</si>
  <si>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</si>
  <si>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</si>
  <si>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</si>
  <si>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</si>
  <si>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</si>
  <si>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</si>
  <si>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</si>
  <si>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</si>
  <si>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</si>
  <si>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</si>
  <si>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</si>
  <si>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</si>
  <si>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</si>
  <si>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</si>
  <si>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</si>
  <si>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</si>
  <si>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</si>
  <si>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</si>
  <si>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</si>
  <si>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</si>
  <si>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</si>
  <si>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</si>
  <si>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</si>
  <si>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</si>
  <si>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</si>
  <si>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</si>
  <si>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</si>
  <si>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</si>
  <si>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</si>
  <si>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</si>
  <si>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</si>
  <si>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</si>
  <si>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</si>
  <si>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</si>
  <si>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</si>
  <si>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</si>
  <si>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</si>
  <si>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</si>
  <si>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</si>
  <si>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</si>
  <si>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</si>
  <si>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</si>
  <si>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</si>
  <si>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</si>
  <si>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</si>
  <si>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</si>
  <si>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</si>
  <si>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</si>
  <si>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</si>
  <si>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</si>
  <si>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</si>
  <si>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</si>
  <si>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</si>
  <si>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</si>
  <si>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</si>
  <si>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</si>
  <si>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</si>
  <si>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</si>
  <si>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</si>
  <si>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</si>
  <si>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</si>
  <si>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</si>
  <si>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</si>
  <si>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</si>
  <si>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</si>
  <si>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</si>
  <si>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</si>
  <si>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</si>
  <si>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</si>
  <si>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</si>
  <si>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</si>
  <si>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</si>
  <si>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</si>
  <si>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</si>
  <si>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</si>
  <si>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</si>
  <si>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</si>
  <si>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</si>
  <si>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</si>
  <si>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</si>
  <si>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</si>
  <si>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</si>
  <si>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</si>
  <si>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</si>
  <si>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</si>
  <si>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</si>
  <si>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</si>
  <si>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</si>
  <si>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</si>
  <si>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</si>
  <si>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</si>
  <si>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</si>
  <si>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</si>
  <si>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</si>
  <si>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</si>
  <si>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</si>
  <si>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</si>
  <si>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</si>
  <si>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</si>
  <si>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</si>
  <si>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</si>
  <si>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</si>
  <si>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</si>
  <si>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</si>
  <si>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</si>
  <si>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</si>
  <si>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</si>
  <si>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</si>
  <si>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</si>
  <si>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</si>
  <si>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</si>
  <si>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</si>
  <si>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</si>
  <si>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</si>
  <si>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</si>
  <si>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</si>
  <si>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</si>
  <si>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</si>
  <si>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</si>
  <si>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</si>
  <si>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</si>
  <si>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</si>
  <si>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</si>
  <si>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</si>
  <si>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</si>
  <si>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</si>
  <si>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</si>
  <si>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</si>
  <si>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</si>
  <si>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</si>
  <si>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</si>
  <si>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</si>
  <si>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</si>
  <si>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</si>
  <si>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</si>
  <si>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</si>
  <si>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</si>
  <si>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</si>
  <si>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</si>
  <si>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</si>
  <si>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</si>
  <si>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</si>
  <si>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</si>
  <si>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</si>
  <si>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</si>
  <si>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</si>
  <si>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</si>
  <si>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</si>
  <si>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</si>
  <si>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</si>
  <si>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</si>
  <si>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</si>
  <si>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</si>
  <si>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</si>
  <si>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</si>
  <si>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</si>
  <si>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</si>
  <si>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</si>
  <si>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</si>
  <si>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</si>
  <si>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</si>
  <si>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</si>
  <si>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</si>
  <si>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</si>
  <si>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</si>
  <si>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</si>
  <si>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</si>
  <si>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</si>
  <si>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</si>
  <si>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</si>
  <si>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</si>
  <si>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</si>
  <si>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</si>
  <si>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</si>
  <si>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</si>
  <si>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</si>
  <si>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</si>
  <si>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</si>
  <si>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</si>
  <si>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</si>
  <si>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</si>
  <si>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</si>
  <si>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</si>
  <si>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</si>
  <si>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</si>
  <si>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</si>
  <si>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</si>
  <si>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</si>
  <si>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</si>
  <si>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</si>
  <si>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</si>
  <si>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</si>
  <si>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</si>
  <si>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</si>
  <si>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</si>
  <si>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</si>
  <si>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</si>
  <si>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</si>
  <si>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</si>
  <si>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</si>
  <si>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</si>
  <si>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</si>
  <si>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</si>
  <si>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</si>
  <si>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</si>
  <si>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</si>
  <si>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</si>
  <si>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</si>
  <si>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</si>
  <si>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</si>
  <si>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</si>
  <si>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</si>
  <si>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</si>
  <si>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</si>
  <si>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</si>
  <si>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</si>
  <si>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</si>
  <si>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</si>
  <si>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</si>
  <si>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</si>
  <si>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</si>
  <si>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</si>
  <si>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</si>
  <si>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</si>
  <si>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</si>
  <si>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</si>
  <si>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</si>
  <si>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</si>
  <si>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</si>
  <si>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</si>
  <si>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</si>
  <si>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</si>
  <si>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</si>
  <si>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</si>
  <si>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</si>
  <si>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</si>
  <si>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</si>
  <si>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</si>
  <si>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</si>
  <si>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</si>
  <si>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</si>
  <si>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</si>
  <si>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</si>
  <si>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</si>
  <si>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</si>
  <si>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</si>
  <si>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</si>
  <si>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</si>
  <si>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</si>
  <si>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</si>
  <si>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</si>
  <si>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</si>
  <si>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</si>
  <si>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</si>
  <si>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</si>
  <si>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</si>
  <si>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</si>
  <si>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</si>
  <si>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</si>
  <si>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</si>
  <si>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</si>
  <si>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</si>
  <si>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</si>
  <si>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</si>
  <si>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</si>
  <si>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</si>
  <si>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</si>
  <si>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</si>
  <si>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</si>
  <si>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</si>
  <si>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</si>
  <si>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</si>
  <si>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</si>
  <si>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</si>
  <si>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</si>
  <si>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</si>
  <si>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</si>
  <si>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</si>
  <si>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</si>
  <si>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</si>
  <si>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</si>
  <si>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</si>
  <si>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</si>
  <si>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</si>
  <si>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</si>
  <si>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</si>
  <si>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</si>
  <si>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</si>
  <si>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</si>
  <si>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</si>
  <si>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</si>
  <si>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</si>
  <si>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</si>
  <si>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</si>
  <si>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</si>
  <si>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</si>
  <si>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</si>
  <si>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</si>
  <si>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</si>
  <si>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</si>
  <si>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</si>
  <si>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</si>
  <si>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</si>
  <si>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</si>
  <si>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</si>
  <si>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</si>
  <si>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</si>
  <si>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</si>
  <si>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</si>
  <si>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</si>
  <si>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</si>
  <si>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</si>
  <si>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</si>
  <si>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</si>
  <si>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</si>
  <si>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</si>
  <si>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</si>
  <si>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</si>
  <si>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</si>
  <si>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</si>
  <si>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</si>
  <si>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</si>
  <si>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</si>
  <si>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</si>
  <si>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</si>
  <si>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</si>
  <si>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</si>
  <si>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</si>
  <si>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</si>
  <si>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</si>
  <si>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</si>
  <si>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</si>
  <si>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</si>
  <si>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</si>
  <si>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</si>
  <si>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</si>
  <si>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</si>
  <si>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</si>
  <si>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</si>
  <si>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</si>
  <si>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</si>
  <si>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</si>
  <si>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</si>
  <si>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</si>
  <si>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</si>
  <si>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</si>
  <si>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</si>
  <si>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</si>
  <si>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</si>
  <si>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</si>
  <si>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</si>
  <si>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</si>
  <si>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</si>
  <si>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</si>
  <si>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</si>
  <si>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</si>
  <si>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</si>
  <si>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</si>
  <si>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</si>
  <si>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</si>
  <si>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</si>
  <si>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</si>
  <si>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</si>
  <si>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</si>
  <si>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</si>
  <si>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</si>
  <si>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</si>
  <si>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</si>
  <si>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</si>
  <si>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</si>
  <si>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</si>
  <si>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</si>
  <si>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</si>
  <si>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</si>
  <si>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</si>
  <si>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</si>
  <si>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</si>
  <si>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</si>
  <si>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</si>
  <si>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</si>
  <si>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</si>
  <si>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</si>
  <si>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</si>
  <si>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</si>
  <si>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</si>
  <si>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</si>
  <si>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</si>
  <si>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</si>
  <si>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</si>
  <si>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</si>
  <si>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</si>
  <si>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</si>
  <si>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</si>
  <si>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</si>
  <si>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</si>
  <si>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</si>
  <si>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</si>
  <si>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</si>
  <si>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</si>
  <si>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</si>
  <si>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</si>
  <si>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</si>
  <si>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</si>
  <si>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</si>
  <si>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</si>
  <si>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</si>
  <si>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</si>
  <si>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</si>
  <si>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</si>
  <si>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</si>
  <si>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</si>
  <si>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</si>
  <si>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</si>
  <si>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</si>
  <si>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</si>
  <si>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</si>
  <si>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</si>
  <si>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</si>
  <si>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</si>
  <si>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</si>
  <si>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</si>
  <si>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</si>
  <si>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</si>
  <si>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</si>
  <si>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</si>
  <si>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</si>
  <si>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</si>
  <si>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</si>
  <si>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</si>
  <si>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</si>
  <si>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</si>
  <si>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</si>
  <si>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</si>
  <si>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</si>
  <si>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</si>
  <si>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</si>
  <si>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</si>
  <si>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</si>
  <si>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</si>
  <si>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</si>
  <si>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</si>
  <si>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</si>
  <si>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</si>
  <si>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</si>
  <si>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</si>
  <si>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</si>
  <si>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</si>
  <si>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</si>
  <si>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</si>
  <si>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</si>
  <si>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</si>
  <si>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</si>
  <si>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</si>
  <si>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</si>
  <si>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</si>
  <si>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</si>
  <si>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</si>
  <si>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</si>
  <si>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</si>
  <si>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</si>
  <si>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</si>
  <si>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</si>
  <si>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</si>
  <si>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</si>
  <si>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</si>
  <si>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</si>
  <si>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</si>
  <si>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</si>
  <si>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</si>
  <si>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</si>
  <si>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</si>
  <si>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</si>
  <si>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</si>
  <si>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</si>
  <si>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</si>
  <si>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</si>
  <si>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</si>
  <si>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</si>
  <si>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</si>
  <si>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</si>
  <si>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</si>
  <si>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</si>
  <si>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</si>
  <si>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</si>
  <si>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</si>
  <si>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</si>
  <si>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</si>
  <si>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</si>
  <si>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</si>
  <si>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</si>
  <si>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</si>
  <si>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</si>
  <si>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</si>
  <si>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</si>
  <si>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</si>
  <si>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</si>
  <si>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</si>
  <si>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</si>
  <si>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</si>
  <si>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</si>
  <si>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</si>
  <si>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</si>
  <si>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</si>
  <si>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</si>
  <si>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</si>
  <si>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</si>
  <si>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</si>
  <si>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</si>
  <si>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</si>
  <si>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</si>
  <si>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</si>
  <si>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</si>
  <si>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</si>
  <si>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</si>
  <si>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</si>
  <si>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</si>
  <si>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</si>
  <si>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</si>
  <si>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</si>
  <si>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</si>
  <si>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</si>
  <si>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</si>
  <si>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</si>
  <si>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</si>
  <si>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</si>
  <si>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</si>
  <si>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</si>
  <si>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</si>
  <si>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</si>
  <si>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</si>
  <si>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</si>
  <si>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</si>
  <si>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</si>
  <si>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</si>
  <si>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</si>
  <si>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</si>
  <si>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</si>
  <si>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</si>
  <si>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</si>
  <si>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</si>
  <si>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</si>
  <si>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</si>
  <si>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</si>
  <si>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</si>
  <si>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</si>
  <si>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</si>
  <si>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</si>
  <si>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</si>
  <si>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</si>
  <si>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</si>
  <si>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</si>
  <si>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</si>
  <si>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</si>
  <si>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</si>
  <si>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</si>
  <si>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</si>
  <si>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</si>
  <si>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</si>
  <si>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</si>
  <si>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</si>
  <si>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</si>
  <si>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</si>
  <si>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</si>
  <si>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</si>
  <si>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</si>
  <si>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</si>
  <si>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</si>
  <si>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</si>
  <si>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</si>
  <si>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</si>
  <si>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</si>
  <si>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</si>
  <si>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</si>
  <si>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</si>
  <si>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</si>
  <si>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</si>
  <si>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</si>
  <si>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</si>
  <si>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</si>
  <si>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</si>
  <si>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</si>
  <si>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</si>
  <si>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</si>
  <si>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</si>
  <si>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</si>
  <si>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</si>
  <si>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</si>
  <si>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</si>
  <si>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</si>
  <si>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</si>
  <si>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</si>
  <si>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</si>
  <si>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</si>
  <si>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</si>
  <si>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</si>
  <si>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</si>
  <si>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</si>
  <si>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</si>
  <si>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</si>
  <si>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</si>
  <si>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</si>
  <si>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</si>
  <si>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</si>
  <si>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</si>
  <si>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</si>
  <si>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</si>
  <si>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</si>
  <si>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</si>
  <si>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</si>
  <si>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</si>
  <si>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</si>
  <si>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</si>
  <si>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</si>
  <si>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</si>
  <si>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</si>
  <si>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</si>
  <si>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</si>
  <si>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</si>
  <si>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</si>
  <si>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</si>
  <si>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</si>
  <si>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</si>
  <si>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</si>
  <si>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</si>
  <si>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</si>
  <si>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</si>
  <si>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</si>
  <si>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</si>
  <si>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</si>
  <si>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</si>
  <si>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</si>
  <si>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</si>
  <si>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</si>
  <si>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</si>
  <si>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</si>
  <si>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</si>
  <si>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</si>
  <si>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</si>
  <si>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</si>
  <si>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</si>
  <si>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</si>
  <si>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</si>
  <si>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</si>
  <si>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</si>
  <si>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</si>
  <si>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</si>
  <si>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</si>
  <si>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</si>
  <si>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</si>
  <si>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</si>
  <si>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</si>
  <si>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</si>
  <si>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</si>
  <si>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</si>
  <si>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</si>
  <si>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</si>
  <si>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</si>
  <si>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</si>
  <si>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</si>
  <si>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</si>
  <si>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</si>
  <si>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</si>
  <si>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</si>
  <si>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</si>
  <si>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</si>
  <si>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</si>
  <si>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</si>
  <si>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</si>
  <si>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</si>
  <si>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</si>
  <si>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</si>
  <si>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</si>
  <si>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</si>
  <si>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</si>
  <si>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</si>
  <si>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</si>
  <si>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</si>
  <si>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</si>
  <si>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</si>
  <si>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</si>
  <si>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</si>
  <si>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</si>
  <si>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</si>
  <si>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</si>
  <si>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</si>
  <si>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</si>
  <si>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</si>
  <si>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</si>
  <si>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</si>
  <si>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</si>
  <si>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</si>
  <si>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</si>
  <si>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</si>
  <si>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</si>
  <si>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</si>
  <si>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</si>
  <si>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</si>
  <si>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</si>
  <si>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</si>
  <si>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</si>
  <si>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</si>
  <si>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</si>
  <si>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</si>
  <si>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</si>
  <si>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</si>
  <si>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</si>
  <si>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</si>
  <si>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</si>
  <si>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</si>
  <si>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</si>
  <si>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</si>
  <si>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</si>
  <si>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</si>
  <si>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</si>
  <si>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</si>
  <si>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</si>
  <si>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</si>
  <si>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</si>
  <si>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</si>
  <si>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</si>
  <si>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</si>
  <si>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</si>
  <si>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</si>
  <si>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</si>
  <si>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</si>
  <si>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</si>
  <si>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</si>
  <si>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</si>
  <si>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</si>
  <si>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</si>
  <si>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</si>
  <si>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</si>
  <si>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</si>
  <si>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</si>
  <si>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</si>
  <si>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</si>
  <si>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</si>
  <si>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</si>
  <si>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</si>
  <si>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</si>
  <si>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</si>
  <si>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</si>
  <si>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</si>
  <si>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</si>
  <si>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</si>
  <si>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</si>
  <si>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</si>
  <si>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</si>
  <si>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</si>
  <si>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</si>
  <si>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</si>
  <si>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</si>
  <si>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</si>
  <si>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</si>
  <si>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</si>
  <si>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</si>
  <si>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</si>
  <si>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</si>
  <si>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</si>
  <si>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</si>
  <si>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</si>
  <si>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</si>
  <si>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</si>
  <si>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</si>
  <si>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</si>
  <si>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</si>
  <si>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</si>
  <si>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</si>
  <si>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</si>
  <si>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</si>
  <si>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</si>
  <si>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</si>
  <si>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</si>
  <si>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</si>
  <si>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</si>
  <si>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</si>
  <si>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</si>
  <si>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</si>
  <si>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</si>
  <si>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</si>
  <si>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</si>
  <si>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</si>
  <si>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</si>
  <si>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</si>
  <si>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</si>
  <si>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</si>
  <si>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</si>
  <si>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</si>
  <si>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</si>
  <si>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</si>
  <si>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</si>
  <si>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</si>
  <si>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</si>
  <si>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</si>
  <si>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</si>
  <si>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</si>
  <si>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</si>
  <si>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</si>
  <si>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</si>
  <si>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</si>
  <si>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</si>
  <si>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</si>
  <si>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</si>
  <si>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</si>
  <si>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</si>
  <si>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</si>
  <si>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</si>
  <si>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</si>
  <si>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</si>
  <si>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</si>
  <si>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</si>
  <si>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</si>
  <si>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</si>
  <si>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</si>
  <si>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</si>
  <si>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</si>
  <si>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</si>
  <si>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</si>
  <si>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</si>
  <si>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</si>
  <si>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</si>
  <si>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</si>
  <si>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</si>
  <si>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</si>
  <si>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</si>
  <si>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</si>
  <si>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</si>
  <si>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</si>
  <si>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</si>
  <si>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</si>
  <si>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</si>
  <si>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</si>
  <si>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</si>
  <si>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</si>
  <si>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</si>
  <si>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</si>
  <si>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</si>
  <si>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</si>
  <si>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</si>
  <si>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</si>
  <si>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</si>
  <si>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</si>
  <si>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</si>
  <si>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</si>
  <si>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</si>
  <si>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</si>
  <si>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</si>
  <si>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</si>
  <si>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</si>
  <si>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</si>
  <si>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</si>
  <si>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</si>
  <si>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</si>
  <si>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</si>
  <si>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</si>
  <si>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</si>
  <si>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</si>
  <si>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</si>
  <si>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</si>
  <si>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</si>
  <si>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</si>
  <si>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</si>
  <si>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</si>
  <si>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</si>
  <si>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</si>
  <si>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</si>
  <si>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</si>
  <si>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</si>
  <si>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</si>
  <si>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</si>
  <si>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</si>
  <si>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</si>
  <si>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</si>
  <si>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</si>
  <si>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</si>
  <si>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</si>
  <si>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</si>
  <si>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</si>
  <si>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</si>
  <si>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</si>
  <si>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</si>
  <si>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</si>
  <si>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</si>
  <si>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</si>
  <si>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</si>
  <si>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</si>
  <si>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</si>
  <si>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</si>
  <si>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</si>
  <si>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</si>
  <si>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</si>
  <si>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</si>
  <si>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</si>
  <si>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</si>
  <si>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</si>
  <si>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</si>
  <si>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</si>
  <si>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</si>
  <si>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</si>
  <si>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</si>
  <si>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</si>
  <si>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</si>
  <si>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</si>
  <si>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</si>
  <si>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</si>
  <si>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</si>
  <si>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</si>
  <si>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</si>
  <si>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</si>
  <si>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</si>
  <si>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</si>
  <si>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</si>
  <si>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</si>
  <si>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</si>
  <si>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</si>
  <si>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</si>
  <si>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</si>
  <si>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</si>
  <si>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</si>
  <si>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</si>
  <si>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</si>
  <si>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</si>
  <si>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</si>
  <si>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</si>
  <si>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</si>
  <si>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</si>
  <si>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</si>
  <si>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</si>
  <si>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</si>
  <si>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</si>
  <si>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</si>
  <si>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</si>
  <si>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</si>
  <si>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</si>
  <si>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</si>
  <si>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</si>
  <si>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</si>
  <si>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</si>
  <si>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</si>
  <si>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</si>
  <si>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</si>
  <si>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</si>
  <si>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</si>
  <si>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</si>
  <si>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</si>
  <si>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</si>
  <si>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</si>
  <si>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</si>
  <si>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</si>
  <si>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</si>
  <si>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</si>
  <si>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</si>
  <si>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</si>
  <si>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</si>
  <si>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</si>
  <si>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</si>
  <si>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</si>
  <si>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</si>
  <si>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</si>
  <si>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</si>
  <si>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</si>
  <si>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</si>
  <si>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</si>
  <si>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</si>
  <si>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</si>
  <si>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</si>
  <si>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</si>
  <si>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</si>
  <si>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</si>
  <si>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</si>
  <si>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</si>
  <si>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</si>
  <si>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</si>
  <si>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</si>
  <si>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</si>
  <si>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</si>
  <si>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</si>
  <si>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</si>
  <si>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</si>
  <si>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</si>
  <si>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</si>
  <si>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</si>
  <si>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</si>
  <si>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</si>
  <si>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</si>
  <si>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</si>
  <si>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</si>
  <si>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</si>
  <si>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</si>
  <si>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</si>
  <si>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</si>
  <si>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</si>
  <si>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</si>
  <si>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</si>
  <si>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</si>
  <si>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</si>
  <si>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</si>
  <si>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</si>
  <si>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</si>
  <si>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</si>
  <si>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</si>
  <si>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</si>
  <si>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</si>
  <si>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</si>
  <si>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</si>
  <si>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</si>
  <si>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</si>
  <si>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</si>
  <si>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</si>
  <si>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</si>
  <si>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</si>
  <si>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</si>
  <si>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</si>
  <si>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</si>
  <si>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</si>
  <si>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</si>
  <si>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</si>
  <si>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</si>
  <si>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</si>
  <si>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</si>
  <si>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</si>
  <si>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</si>
  <si>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</si>
  <si>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</si>
  <si>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</si>
  <si>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</si>
  <si>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</si>
  <si>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</si>
  <si>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</si>
  <si>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</si>
  <si>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</si>
  <si>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</si>
  <si>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</si>
  <si>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</si>
  <si>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</si>
  <si>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</si>
  <si>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</si>
  <si>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</si>
  <si>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</si>
  <si>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</si>
  <si>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</si>
  <si>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</si>
  <si>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</si>
  <si>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</si>
  <si>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</si>
  <si>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</si>
  <si>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</si>
  <si>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</si>
  <si>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</si>
  <si>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</si>
  <si>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</si>
  <si>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</si>
  <si>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</si>
  <si>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</si>
  <si>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</si>
  <si>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</si>
  <si>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</si>
  <si>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</si>
  <si>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</si>
  <si>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</si>
  <si>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</si>
  <si>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</si>
  <si>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</si>
  <si>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</si>
  <si>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</si>
  <si>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</si>
  <si>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</si>
  <si>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</si>
  <si>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</si>
  <si>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</si>
  <si>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</si>
  <si>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</si>
  <si>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</si>
  <si>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</si>
  <si>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</si>
  <si>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</si>
  <si>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</si>
  <si>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</si>
  <si>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</si>
  <si>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</si>
  <si>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</si>
  <si>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</si>
  <si>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</si>
  <si>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</si>
  <si>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</si>
  <si>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</si>
  <si>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</si>
  <si>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</si>
  <si>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</si>
  <si>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</si>
  <si>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</si>
  <si>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</si>
  <si>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</si>
  <si>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</si>
  <si>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</si>
  <si>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</si>
  <si>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</si>
  <si>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</si>
  <si>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</si>
  <si>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</si>
  <si>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</si>
  <si>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</si>
  <si>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</si>
  <si>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</si>
  <si>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</si>
  <si>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</si>
  <si>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</si>
  <si>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</si>
  <si>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</si>
  <si>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</si>
  <si>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</si>
  <si>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</si>
  <si>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</si>
  <si>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</si>
  <si>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</si>
  <si>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</si>
  <si>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</si>
  <si>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</si>
  <si>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</si>
  <si>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</si>
  <si>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</si>
  <si>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</si>
  <si>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</si>
  <si>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</si>
  <si>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</si>
  <si>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</si>
  <si>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</si>
  <si>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</si>
  <si>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</si>
  <si>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</si>
  <si>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</si>
  <si>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</si>
  <si>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</si>
  <si>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</si>
  <si>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</si>
  <si>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</si>
  <si>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</si>
  <si>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</si>
  <si>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</si>
  <si>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</si>
  <si>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</si>
  <si>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</si>
  <si>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</si>
  <si>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</si>
  <si>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</si>
  <si>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</si>
  <si>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</si>
  <si>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</si>
  <si>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</si>
  <si>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</si>
  <si>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</si>
  <si>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</si>
  <si>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</si>
  <si>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</si>
  <si>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</si>
  <si>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</si>
  <si>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</si>
  <si>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</si>
  <si>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</si>
  <si>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</si>
  <si>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</si>
  <si>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</si>
  <si>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</si>
  <si>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</si>
  <si>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</si>
  <si>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</si>
  <si>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</si>
  <si>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</si>
  <si>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</si>
  <si>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</si>
  <si>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</si>
  <si>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</si>
  <si>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</si>
  <si>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</si>
  <si>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</si>
  <si>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</si>
  <si>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</si>
  <si>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</si>
  <si>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</si>
  <si>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</si>
  <si>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</si>
  <si>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</si>
  <si>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</si>
  <si>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</si>
  <si>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</si>
  <si>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</si>
  <si>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</si>
  <si>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</si>
  <si>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</si>
  <si>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</si>
  <si>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</si>
  <si>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</si>
  <si>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</si>
  <si>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</si>
  <si>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</si>
  <si>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</si>
  <si>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</si>
  <si>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</si>
  <si>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</si>
  <si>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</si>
  <si>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</si>
  <si>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</si>
  <si>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</si>
  <si>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</si>
  <si>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</si>
  <si>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</si>
  <si>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</si>
  <si>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</si>
  <si>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</si>
  <si>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</si>
  <si>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</si>
  <si>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</si>
  <si>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</si>
  <si>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</si>
  <si>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</si>
  <si>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</si>
  <si>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</si>
  <si>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</si>
  <si>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</si>
  <si>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</si>
  <si>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</si>
  <si>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</si>
  <si>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</si>
  <si>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</si>
  <si>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</si>
  <si>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</si>
  <si>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</si>
  <si>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</si>
  <si>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</si>
  <si>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</si>
  <si>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</si>
  <si>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</si>
  <si>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</si>
  <si>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</si>
  <si>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</si>
  <si>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</si>
  <si>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</si>
  <si>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</si>
  <si>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</si>
  <si>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</si>
  <si>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</si>
  <si>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</si>
  <si>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</si>
  <si>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</si>
  <si>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</si>
  <si>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</si>
  <si>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</si>
  <si>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</si>
  <si>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</si>
  <si>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</si>
  <si>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</si>
  <si>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</si>
  <si>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</si>
  <si>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</si>
  <si>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</si>
  <si>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</si>
  <si>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</si>
  <si>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</si>
  <si>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</si>
  <si>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</si>
  <si>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</si>
  <si>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</si>
  <si>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</si>
  <si>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</si>
  <si>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</si>
  <si>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</si>
  <si>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</si>
  <si>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</si>
  <si>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</si>
  <si>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</si>
  <si>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</si>
  <si>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</si>
  <si>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</si>
  <si>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</si>
  <si>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</si>
  <si>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</si>
  <si>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</si>
  <si>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</si>
  <si>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</si>
  <si>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</si>
  <si>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</si>
  <si>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</si>
  <si>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</si>
  <si>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</si>
  <si>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</si>
  <si>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</si>
  <si>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</si>
  <si>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</si>
  <si>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</si>
  <si>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</si>
  <si>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</si>
  <si>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</si>
  <si>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</si>
  <si>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</si>
  <si>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</si>
  <si>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</si>
  <si>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</si>
  <si>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</si>
  <si>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</si>
  <si>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</si>
  <si>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</si>
  <si>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</si>
  <si>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</si>
  <si>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</si>
  <si>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</si>
  <si>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</si>
  <si>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</si>
  <si>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</si>
  <si>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</si>
  <si>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</si>
  <si>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</si>
  <si>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</si>
  <si>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</si>
  <si>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</si>
  <si>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</si>
  <si>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</si>
  <si>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</si>
  <si>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</si>
  <si>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</si>
  <si>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</si>
  <si>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</si>
  <si>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</si>
  <si>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</si>
  <si>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</si>
  <si>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</si>
  <si>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</si>
  <si>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</si>
  <si>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</si>
  <si>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</si>
  <si>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</si>
  <si>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</si>
  <si>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</si>
  <si>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</si>
  <si>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</si>
  <si>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</si>
  <si>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</si>
  <si>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</si>
  <si>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</si>
  <si>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</si>
  <si>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</si>
  <si>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</si>
  <si>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</si>
  <si>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</si>
  <si>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</si>
  <si>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</si>
  <si>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</si>
  <si>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</si>
  <si>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</si>
  <si>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</si>
  <si>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</si>
  <si>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</si>
  <si>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</si>
  <si>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</si>
  <si>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</si>
  <si>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</si>
  <si>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</si>
  <si>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</si>
  <si>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</si>
  <si>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</si>
  <si>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</si>
  <si>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</si>
  <si>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</si>
  <si>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</si>
  <si>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</si>
  <si>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</si>
  <si>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</si>
  <si>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</si>
  <si>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</si>
  <si>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</si>
  <si>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</si>
  <si>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</si>
  <si>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</si>
  <si>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</si>
  <si>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</si>
  <si>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</si>
  <si>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</si>
  <si>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</si>
  <si>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</si>
  <si>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</si>
  <si>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</si>
  <si>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</si>
  <si>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</si>
  <si>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</si>
  <si>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</si>
  <si>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</si>
  <si>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</si>
  <si>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</si>
  <si>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</si>
  <si>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</si>
  <si>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</si>
  <si>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</si>
  <si>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</si>
  <si>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</si>
  <si>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</si>
  <si>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</si>
  <si>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</si>
  <si>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</si>
  <si>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</si>
  <si>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</si>
  <si>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</si>
  <si>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</si>
  <si>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</si>
  <si>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</si>
  <si>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</si>
  <si>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</si>
  <si>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</si>
  <si>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</si>
  <si>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</si>
  <si>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</si>
  <si>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</si>
  <si>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</si>
  <si>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</si>
  <si>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</si>
  <si>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</si>
  <si>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</si>
  <si>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</si>
  <si>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</si>
  <si>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</si>
  <si>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</si>
  <si>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</si>
  <si>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</si>
  <si>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</si>
  <si>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</si>
  <si>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</si>
  <si>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</si>
  <si>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</si>
  <si>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</si>
  <si>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</si>
  <si>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</si>
  <si>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</si>
  <si>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</si>
  <si>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</si>
  <si>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</si>
  <si>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</si>
  <si>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</si>
  <si>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</si>
  <si>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</si>
  <si>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</si>
  <si>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</si>
  <si>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</si>
  <si>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</si>
  <si>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</si>
  <si>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</si>
  <si>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</si>
  <si>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</si>
  <si>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</si>
  <si>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</si>
  <si>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</si>
  <si>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</si>
  <si>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</si>
  <si>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</si>
  <si>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</si>
  <si>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</si>
  <si>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</si>
  <si>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</si>
  <si>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</si>
  <si>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</si>
  <si>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</si>
  <si>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</si>
  <si>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</si>
  <si>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</si>
  <si>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</si>
  <si>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</si>
  <si>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</si>
  <si>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</si>
  <si>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</si>
  <si>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</si>
  <si>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</si>
  <si>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</si>
  <si>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</si>
  <si>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</si>
  <si>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</si>
  <si>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</si>
  <si>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</si>
  <si>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</si>
  <si>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</si>
  <si>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</si>
  <si>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</si>
  <si>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</si>
  <si>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</si>
  <si>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</si>
  <si>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</si>
  <si>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</si>
  <si>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</si>
  <si>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</si>
  <si>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</si>
  <si>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</si>
  <si>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</si>
  <si>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</si>
  <si>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</si>
  <si>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</si>
  <si>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</si>
  <si>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</si>
  <si>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</si>
  <si>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</si>
  <si>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</si>
  <si>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</si>
  <si>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</si>
  <si>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</si>
  <si>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</si>
  <si>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</si>
  <si>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</si>
  <si>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</si>
  <si>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</si>
  <si>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</si>
  <si>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</si>
  <si>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</si>
  <si>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</si>
  <si>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</si>
  <si>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</si>
  <si>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</si>
  <si>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</si>
  <si>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</si>
  <si>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</si>
  <si>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</si>
  <si>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</si>
  <si>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</si>
  <si>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</si>
  <si>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</si>
  <si>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</si>
  <si>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</si>
  <si>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</si>
  <si>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</si>
  <si>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</si>
  <si>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</si>
  <si>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</si>
  <si>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</si>
  <si>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</si>
  <si>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</si>
  <si>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</si>
  <si>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</si>
  <si>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</si>
  <si>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</si>
  <si>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</si>
  <si>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</si>
  <si>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</si>
  <si>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</si>
  <si>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</si>
  <si>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</si>
  <si>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</si>
  <si>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</si>
  <si>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</si>
  <si>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</si>
  <si>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</si>
  <si>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</si>
  <si>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</si>
  <si>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</si>
  <si>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</si>
  <si>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</si>
  <si>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</si>
  <si>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</si>
  <si>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</si>
  <si>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</si>
  <si>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</si>
  <si>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</si>
  <si>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</si>
  <si>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</si>
  <si>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</si>
  <si>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</si>
  <si>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</si>
  <si>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</si>
  <si>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</si>
  <si>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</si>
  <si>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</si>
  <si>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</si>
  <si>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</si>
  <si>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</si>
  <si>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</si>
  <si>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</si>
  <si>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</si>
  <si>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</si>
  <si>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</si>
  <si>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</si>
  <si>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</si>
  <si>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</si>
  <si>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</si>
  <si>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</si>
  <si>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</si>
  <si>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</si>
  <si>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</si>
  <si>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</si>
  <si>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</si>
  <si>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</si>
  <si>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</si>
  <si>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</si>
  <si>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</si>
  <si>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</si>
  <si>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</si>
  <si>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</si>
  <si>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</si>
  <si>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</si>
  <si>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</si>
  <si>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</si>
  <si>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</si>
  <si>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</si>
  <si>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</si>
  <si>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</si>
  <si>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</si>
  <si>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</si>
  <si>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</si>
  <si>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</si>
  <si>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</si>
  <si>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</si>
  <si>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</si>
  <si>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</si>
  <si>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</si>
  <si>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</si>
  <si>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</si>
  <si>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</si>
  <si>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</si>
  <si>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</si>
  <si>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</si>
  <si>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</si>
  <si>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</si>
  <si>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</si>
  <si>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</si>
  <si>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</si>
  <si>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</si>
  <si>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</si>
  <si>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</si>
  <si>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</si>
  <si>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</si>
  <si>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</si>
  <si>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</si>
  <si>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</si>
  <si>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</si>
  <si>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</si>
  <si>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</si>
  <si>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</si>
  <si>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</si>
  <si>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</si>
  <si>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</si>
  <si>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</si>
  <si>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</si>
  <si>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</si>
  <si>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</si>
  <si>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</si>
  <si>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</si>
  <si>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</si>
  <si>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</si>
  <si>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</si>
  <si>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</si>
  <si>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</si>
  <si>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</si>
  <si>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</si>
  <si>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</si>
  <si>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</si>
  <si>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</si>
  <si>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</si>
  <si>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</si>
  <si>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</si>
  <si>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</si>
  <si>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</si>
  <si>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</si>
  <si>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</si>
  <si>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</si>
  <si>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</si>
  <si>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</si>
  <si>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</si>
  <si>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</si>
  <si>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</si>
  <si>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</si>
  <si>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</si>
  <si>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</si>
  <si>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</si>
  <si>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</si>
  <si>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</si>
  <si>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</si>
  <si>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</si>
  <si>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</si>
  <si>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</si>
  <si>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</si>
  <si>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</si>
  <si>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</si>
  <si>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</si>
  <si>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</si>
  <si>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</si>
  <si>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</si>
  <si>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</si>
  <si>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</si>
  <si>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</si>
  <si>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</si>
  <si>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</si>
  <si>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</si>
  <si>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</si>
  <si>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</si>
  <si>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</si>
  <si>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</si>
  <si>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</si>
  <si>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</si>
  <si>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</si>
  <si>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</si>
  <si>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</si>
  <si>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</si>
  <si>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</si>
  <si>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</si>
  <si>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</si>
  <si>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</si>
  <si>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</si>
  <si>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</si>
  <si>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</si>
  <si>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</si>
  <si>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</si>
  <si>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</si>
  <si>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</si>
  <si>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</si>
  <si>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</si>
  <si>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</si>
  <si>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</si>
  <si>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</si>
  <si>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</si>
  <si>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</si>
  <si>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</si>
  <si>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</si>
  <si>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</si>
  <si>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</si>
  <si>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</si>
  <si>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</si>
  <si>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</si>
  <si>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</si>
  <si>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</si>
  <si>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</si>
  <si>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</si>
  <si>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</si>
  <si>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</si>
  <si>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</si>
  <si>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</si>
  <si>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</si>
  <si>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</si>
  <si>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</si>
  <si>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</si>
  <si>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</si>
  <si>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</si>
  <si>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</si>
  <si>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</si>
  <si>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</si>
  <si>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</si>
  <si>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</si>
  <si>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</si>
  <si>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</si>
  <si>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</si>
  <si>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</si>
  <si>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</si>
  <si>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</si>
  <si>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</si>
  <si>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</si>
  <si>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</si>
  <si>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</si>
  <si>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</si>
  <si>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</si>
  <si>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</si>
  <si>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</si>
  <si>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</si>
  <si>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</si>
  <si>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</si>
  <si>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</si>
  <si>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</si>
  <si>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</si>
  <si>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</si>
  <si>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</si>
  <si>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</si>
  <si>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</si>
  <si>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</si>
  <si>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</si>
  <si>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</si>
  <si>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</si>
  <si>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</si>
  <si>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</si>
  <si>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</si>
  <si>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</si>
  <si>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</si>
  <si>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</si>
  <si>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</si>
  <si>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</si>
  <si>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</si>
  <si>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</si>
  <si>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</si>
  <si>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</si>
  <si>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</si>
  <si>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</si>
  <si>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</si>
  <si>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</si>
  <si>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</si>
  <si>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</si>
  <si>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</si>
  <si>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</si>
  <si>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</si>
  <si>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</si>
  <si>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</si>
  <si>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</si>
  <si>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</si>
  <si>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</si>
  <si>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</si>
  <si>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</si>
  <si>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</si>
  <si>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</si>
  <si>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</si>
  <si>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</si>
  <si>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</si>
  <si>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</si>
  <si>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</si>
  <si>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</si>
  <si>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</si>
  <si>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</si>
  <si>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</si>
  <si>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</si>
  <si>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Toplam 27.07</t>
  </si>
  <si>
    <t>Toplam 28.07</t>
  </si>
  <si>
    <t>Toplam 29.07</t>
  </si>
  <si>
    <t>Toplam 30.07</t>
  </si>
  <si>
    <t>Toplam 31.07</t>
  </si>
  <si>
    <t>27.Tem</t>
  </si>
  <si>
    <t>28.Tem</t>
  </si>
  <si>
    <t>29.Tem</t>
  </si>
  <si>
    <t>30.Tem</t>
  </si>
  <si>
    <t>31.Tem</t>
  </si>
  <si>
    <t>1.Ağu</t>
  </si>
  <si>
    <t>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</si>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</sst>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414.33429651033572</c:v>
                </c:pt>
                <c:pt idx="1">
                  <c:v>396.48229493500673</c:v>
                </c:pt>
                <c:pt idx="2">
                  <c:v>435.05695871799338</c:v>
                </c:pt>
                <c:pt idx="3">
                  <c:v>506.06184556977536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330.00856804302254</c:v>
                </c:pt>
                <c:pt idx="1">
                  <c:v>333.76698014629045</c:v>
                </c:pt>
                <c:pt idx="2">
                  <c:v>437.55713830126501</c:v>
                </c:pt>
                <c:pt idx="3">
                  <c:v>432.77864880273665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86.810580104548052</c:v>
                </c:pt>
                <c:pt idx="1">
                  <c:v>104.49409381180764</c:v>
                </c:pt>
                <c:pt idx="2">
                  <c:v>110.57793348825888</c:v>
                </c:pt>
                <c:pt idx="3">
                  <c:v>114.03877495418321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81.929788934347528</c:v>
                </c:pt>
                <c:pt idx="1">
                  <c:v>101.04244581720845</c:v>
                </c:pt>
                <c:pt idx="2">
                  <c:v>96.47941766638192</c:v>
                </c:pt>
                <c:pt idx="3">
                  <c:v>100.90138171078999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84.524966114735264</c:v>
                </c:pt>
                <c:pt idx="1">
                  <c:v>90.162911452064193</c:v>
                </c:pt>
                <c:pt idx="2">
                  <c:v>93.28373069504201</c:v>
                </c:pt>
                <c:pt idx="3">
                  <c:v>90.630432672845629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79.015391335683219</c:v>
                </c:pt>
                <c:pt idx="1">
                  <c:v>81.000975227608706</c:v>
                </c:pt>
                <c:pt idx="2">
                  <c:v>79.581505517120391</c:v>
                </c:pt>
                <c:pt idx="3">
                  <c:v>72.450799168713388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86.318463810930567</c:v>
                </c:pt>
                <c:pt idx="1">
                  <c:v>81.195652173913047</c:v>
                </c:pt>
                <c:pt idx="2">
                  <c:v>87.789247311827964</c:v>
                </c:pt>
                <c:pt idx="3">
                  <c:v>54.457452041318241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56.837106792226002</c:v>
                </c:pt>
                <c:pt idx="1">
                  <c:v>67.80879723447373</c:v>
                </c:pt>
                <c:pt idx="2">
                  <c:v>51.682145192936559</c:v>
                </c:pt>
                <c:pt idx="3">
                  <c:v>33.770074283692963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121.47036135999527</c:v>
                </c:pt>
                <c:pt idx="1">
                  <c:v>122.04229758478289</c:v>
                </c:pt>
                <c:pt idx="2">
                  <c:v>119.08009538504699</c:v>
                </c:pt>
                <c:pt idx="3">
                  <c:v>128.33128745757818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129.60719826248837</c:v>
                </c:pt>
                <c:pt idx="1">
                  <c:v>116</c:v>
                </c:pt>
                <c:pt idx="2">
                  <c:v>115.30762687836688</c:v>
                </c:pt>
                <c:pt idx="3">
                  <c:v>123.49198988195614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910.12346000912578</c:v>
                </c:pt>
                <c:pt idx="1">
                  <c:v>745.38175543179852</c:v>
                </c:pt>
                <c:pt idx="2">
                  <c:v>840.97790655559584</c:v>
                </c:pt>
                <c:pt idx="3">
                  <c:v>810.08236208236212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500.55560218212338</c:v>
                </c:pt>
                <c:pt idx="1">
                  <c:v>491.60145500553529</c:v>
                </c:pt>
                <c:pt idx="2">
                  <c:v>558.81739566361694</c:v>
                </c:pt>
                <c:pt idx="3">
                  <c:v>622.72162333544713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20.271988767425533</c:v>
                </c:pt>
                <c:pt idx="1">
                  <c:v>22.612023798952137</c:v>
                </c:pt>
                <c:pt idx="2">
                  <c:v>16.637306894166475</c:v>
                </c:pt>
                <c:pt idx="3">
                  <c:v>22.41268743788082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28.682012772826166</c:v>
                </c:pt>
                <c:pt idx="1">
                  <c:v>33.49978525411597</c:v>
                </c:pt>
                <c:pt idx="2">
                  <c:v>25.377364037236649</c:v>
                </c:pt>
                <c:pt idx="3">
                  <c:v>27.006839211479143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35.079841700337639</c:v>
                </c:pt>
                <c:pt idx="1">
                  <c:v>38.135557205222334</c:v>
                </c:pt>
                <c:pt idx="2">
                  <c:v>38.675318555037975</c:v>
                </c:pt>
                <c:pt idx="3">
                  <c:v>38.3251422219316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34</c:v>
                </c:pt>
                <c:pt idx="1">
                  <c:v>36.754240236583456</c:v>
                </c:pt>
                <c:pt idx="2">
                  <c:v>35.202278755254085</c:v>
                </c:pt>
                <c:pt idx="3">
                  <c:v>32.378857933214782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34.889850930824025</c:v>
                </c:pt>
                <c:pt idx="1">
                  <c:v>34.845882361643326</c:v>
                </c:pt>
                <c:pt idx="2">
                  <c:v>37.835577855996853</c:v>
                </c:pt>
                <c:pt idx="3">
                  <c:v>37.747422403862004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28. Hafta</c:v>
                </c:pt>
                <c:pt idx="1">
                  <c:v>29. Hafta</c:v>
                </c:pt>
                <c:pt idx="2">
                  <c:v>30. Hafta</c:v>
                </c:pt>
                <c:pt idx="3">
                  <c:v>31.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32.775259394824374</c:v>
                </c:pt>
                <c:pt idx="1">
                  <c:v>35.510458123908016</c:v>
                </c:pt>
                <c:pt idx="2">
                  <c:v>34.736173849188454</c:v>
                </c:pt>
                <c:pt idx="3">
                  <c:v>32.378857933214782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F11" sqref="F11"/>
    </sheetView>
  </sheetViews>
  <sheetFormatPr defaultRowHeight="14.4"/>
  <cols>
    <col min="5" max="6" width="24.33203125" bestFit="1" customWidth="1"/>
    <col min="7" max="7" width="38.21875" bestFit="1" customWidth="1"/>
  </cols>
  <sheetData>
    <row r="1" spans="1:9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autoFilter ref="A1:I812" xr:uid="{17599145-E3A9-4CD9-9ACB-8F89A5597CAC}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GU1" zoomScaleNormal="100" workbookViewId="0">
      <selection activeCell="HB12" sqref="HB12:HB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781401.35032785067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29131052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37.280524262950856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HH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</row>
    <row r="17" spans="4:19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9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</row>
    <row r="19" spans="4:197">
      <c r="P19" s="22"/>
      <c r="V19" s="7"/>
      <c r="Y19" s="21"/>
      <c r="EK19" s="7"/>
      <c r="GM19" s="31"/>
      <c r="GO19" s="20"/>
    </row>
    <row r="20" spans="4:197">
      <c r="P20" s="22"/>
      <c r="V20" s="7"/>
      <c r="Y20" s="21"/>
      <c r="GO20" s="20"/>
    </row>
    <row r="21" spans="4:197">
      <c r="P21" s="22"/>
      <c r="V21" s="7"/>
      <c r="Y21" s="21"/>
    </row>
    <row r="22" spans="4:197">
      <c r="P22" s="22"/>
      <c r="V22" s="7"/>
      <c r="Y22" s="21"/>
      <c r="GM22" s="31"/>
    </row>
    <row r="23" spans="4:197">
      <c r="P23" s="22"/>
      <c r="V23" s="7"/>
      <c r="Y23" s="21"/>
    </row>
    <row r="24" spans="4:197">
      <c r="P24" s="22"/>
      <c r="V24" s="7"/>
      <c r="Y24" s="21"/>
    </row>
    <row r="25" spans="4:197">
      <c r="P25" s="22"/>
      <c r="V25" s="7"/>
      <c r="Y25" s="21"/>
    </row>
    <row r="26" spans="4:19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GW1" zoomScaleNormal="100" workbookViewId="0">
      <selection activeCell="HB12" sqref="HB12:HB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762069.7037062021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27837976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36.529435384472748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HH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MU14" s="20"/>
      <c r="MV14" s="20"/>
      <c r="MW14" s="20"/>
      <c r="MX14" s="7"/>
    </row>
    <row r="15" spans="1:367">
      <c r="AG15" s="7"/>
      <c r="AX15" s="20"/>
      <c r="BY15" s="2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616"/>
  <sheetViews>
    <sheetView zoomScale="60" zoomScaleNormal="60" workbookViewId="0">
      <pane ySplit="1" topLeftCell="A568" activePane="bottomLeft" state="frozen"/>
      <selection activeCell="EH29" sqref="EH29"/>
      <selection pane="bottomLeft" activeCell="B593" sqref="B593:G593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39" t="s">
        <v>1958</v>
      </c>
      <c r="Z1" s="39" t="s">
        <v>1959</v>
      </c>
      <c r="AA1" s="105" t="s">
        <v>1960</v>
      </c>
      <c r="AB1" s="105" t="s">
        <v>1961</v>
      </c>
      <c r="AC1" s="105" t="s">
        <v>1962</v>
      </c>
      <c r="AD1" s="105" t="s">
        <v>1963</v>
      </c>
      <c r="AE1" s="105" t="s">
        <v>1964</v>
      </c>
      <c r="AF1" s="105" t="s">
        <v>1965</v>
      </c>
      <c r="AG1" s="105"/>
      <c r="AK1" s="8" t="s">
        <v>1969</v>
      </c>
      <c r="AL1" s="8" t="s">
        <v>1970</v>
      </c>
      <c r="AN1" s="8" t="s">
        <v>1971</v>
      </c>
      <c r="AO1" s="63" t="s">
        <v>1972</v>
      </c>
    </row>
    <row r="2" spans="1:42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60" si="194">+V496-U496-S496</f>
        <v>0</v>
      </c>
      <c r="X496" s="104">
        <f t="shared" ref="X496:X560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79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>
        <f t="shared" si="205"/>
        <v>0</v>
      </c>
      <c r="AC538" s="193"/>
      <c r="AD538" s="193"/>
      <c r="AE538" s="20"/>
      <c r="AF538" s="20"/>
      <c r="AG538" s="3"/>
    </row>
    <row r="539" spans="1:3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17.753794652578868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4182.912872014088</v>
      </c>
      <c r="Q539" s="7">
        <f t="shared" ref="Q539:Q545" si="231">+I539-AF539</f>
        <v>1584.1780433551728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f t="shared" si="205"/>
        <v>148356</v>
      </c>
      <c r="AC539" s="193">
        <f t="shared" ref="AC539:AC545" si="233">+(Y539/AA539*0.95)</f>
        <v>7.1696112827738211E-3</v>
      </c>
      <c r="AD539" s="193">
        <f t="shared" ref="AD539:AD545" si="234">+(Z539/AB539*0.6)</f>
        <v>4.3921378306236349E-3</v>
      </c>
      <c r="AE539" s="20">
        <f t="shared" ref="AE539:AE545" si="235">+AC539*K539</f>
        <v>10.765171341084892</v>
      </c>
      <c r="AF539" s="20">
        <f t="shared" ref="AF539:AF545" si="236">+AD539*I539</f>
        <v>6.9886233114939742</v>
      </c>
      <c r="AG539" s="3">
        <f t="shared" ref="AG539:AG545" si="237">+AA539-Y539</f>
        <v>142287</v>
      </c>
    </row>
    <row r="540" spans="1:3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65.260454608432383</v>
      </c>
      <c r="O540" s="7">
        <f t="shared" si="229"/>
        <v>4464</v>
      </c>
      <c r="P540" s="7">
        <f t="shared" si="230"/>
        <v>4398.7395453915678</v>
      </c>
      <c r="Q540" s="7">
        <f t="shared" si="231"/>
        <v>1786.8661016949152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f t="shared" si="205"/>
        <v>179655</v>
      </c>
      <c r="AC540" s="193">
        <f t="shared" si="233"/>
        <v>2.406036570560512E-2</v>
      </c>
      <c r="AD540" s="193">
        <f t="shared" si="234"/>
        <v>1.3462469733656173E-2</v>
      </c>
      <c r="AE540" s="20">
        <f t="shared" si="235"/>
        <v>40.876556303347634</v>
      </c>
      <c r="AF540" s="20">
        <f t="shared" si="236"/>
        <v>24.383898305084745</v>
      </c>
      <c r="AG540" s="3">
        <f t="shared" si="237"/>
        <v>156553</v>
      </c>
    </row>
    <row r="541" spans="1:3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23.721902579357142</v>
      </c>
      <c r="O541" s="7">
        <f t="shared" si="229"/>
        <v>4374.416666666667</v>
      </c>
      <c r="P541" s="7">
        <f t="shared" si="230"/>
        <v>4350.6947640873095</v>
      </c>
      <c r="Q541" s="7">
        <f t="shared" si="231"/>
        <v>1787.4649473368545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f t="shared" si="205"/>
        <v>163397</v>
      </c>
      <c r="AC541" s="193">
        <f t="shared" si="233"/>
        <v>9.8886035661325897E-3</v>
      </c>
      <c r="AD541" s="193">
        <f t="shared" si="234"/>
        <v>5.3060949711439013E-3</v>
      </c>
      <c r="AE541" s="20">
        <f t="shared" si="235"/>
        <v>14.186849916211553</v>
      </c>
      <c r="AF541" s="20">
        <f t="shared" si="236"/>
        <v>9.5350526631455903</v>
      </c>
      <c r="AG541" s="3">
        <f t="shared" si="237"/>
        <v>136806</v>
      </c>
    </row>
    <row r="542" spans="1:3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101.25985490086676</v>
      </c>
      <c r="O542" s="7">
        <f t="shared" si="229"/>
        <v>4474.5000000000009</v>
      </c>
      <c r="P542" s="7">
        <f t="shared" si="230"/>
        <v>4373.2401450991338</v>
      </c>
      <c r="Q542" s="7">
        <f t="shared" si="231"/>
        <v>1733.2583798062813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f t="shared" si="205"/>
        <v>170350</v>
      </c>
      <c r="AC542" s="193">
        <f t="shared" si="233"/>
        <v>5.8112837785195881E-2</v>
      </c>
      <c r="AD542" s="193">
        <f t="shared" si="234"/>
        <v>1.0038156736131493E-3</v>
      </c>
      <c r="AE542" s="20">
        <f t="shared" si="235"/>
        <v>99.51823470714794</v>
      </c>
      <c r="AF542" s="20">
        <f t="shared" si="236"/>
        <v>1.741620193718814</v>
      </c>
      <c r="AG542" s="3">
        <f t="shared" si="237"/>
        <v>156652</v>
      </c>
    </row>
    <row r="543" spans="1:3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87.239346339079347</v>
      </c>
      <c r="O543" s="7">
        <f t="shared" si="229"/>
        <v>4376.5</v>
      </c>
      <c r="P543" s="7">
        <f t="shared" si="230"/>
        <v>4289.260653660921</v>
      </c>
      <c r="Q543" s="7">
        <f t="shared" si="231"/>
        <v>1630.6618451113015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f t="shared" si="205"/>
        <v>155389</v>
      </c>
      <c r="AC543" s="193">
        <f t="shared" si="233"/>
        <v>5.1157574592993589E-2</v>
      </c>
      <c r="AD543" s="193">
        <f t="shared" si="234"/>
        <v>5.4057880544954918E-5</v>
      </c>
      <c r="AE543" s="20">
        <f t="shared" si="235"/>
        <v>87.151191450380665</v>
      </c>
      <c r="AF543" s="20">
        <f t="shared" si="236"/>
        <v>8.8154888698685249E-2</v>
      </c>
      <c r="AG543" s="3">
        <f t="shared" si="237"/>
        <v>142792</v>
      </c>
    </row>
    <row r="544" spans="1:3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65.524003552563073</v>
      </c>
      <c r="O544" s="7">
        <f t="shared" si="229"/>
        <v>4115.2499999999991</v>
      </c>
      <c r="P544" s="7">
        <f t="shared" si="230"/>
        <v>4049.7259964474365</v>
      </c>
      <c r="Q544" s="7">
        <f t="shared" si="231"/>
        <v>1516.0939109655721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f t="shared" si="205"/>
        <v>169485</v>
      </c>
      <c r="AC544" s="193">
        <f t="shared" si="233"/>
        <v>2.7428010815166926E-2</v>
      </c>
      <c r="AD544" s="193">
        <f t="shared" si="234"/>
        <v>1.2638286574033099E-2</v>
      </c>
      <c r="AE544" s="20">
        <f t="shared" si="235"/>
        <v>46.117914518135244</v>
      </c>
      <c r="AF544" s="20">
        <f t="shared" si="236"/>
        <v>19.406089034427822</v>
      </c>
      <c r="AG544" s="3">
        <f t="shared" si="237"/>
        <v>166297</v>
      </c>
    </row>
    <row r="545" spans="1:3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4.1002356222167862</v>
      </c>
      <c r="O545" s="7">
        <f t="shared" si="229"/>
        <v>3194.916666666667</v>
      </c>
      <c r="P545" s="7">
        <f t="shared" si="230"/>
        <v>3190.8164310444499</v>
      </c>
      <c r="Q545" s="7">
        <f t="shared" si="231"/>
        <v>1361.4967455843421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f t="shared" si="205"/>
        <v>150959</v>
      </c>
      <c r="AC545" s="193">
        <f t="shared" si="233"/>
        <v>3.5841475278094994E-3</v>
      </c>
      <c r="AD545" s="193">
        <f t="shared" si="234"/>
        <v>6.3593426029584196E-5</v>
      </c>
      <c r="AE545" s="20">
        <f t="shared" si="235"/>
        <v>4.013647873225338</v>
      </c>
      <c r="AF545" s="20">
        <f t="shared" si="236"/>
        <v>8.6587748991448027E-2</v>
      </c>
      <c r="AG545" s="3">
        <f t="shared" si="237"/>
        <v>117769</v>
      </c>
    </row>
    <row r="546" spans="1:33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8">+AF546+AE546</f>
        <v>152.42771377542269</v>
      </c>
      <c r="O546" s="7">
        <f t="shared" ref="O546:O551" si="239">+B546+C546+D546+F546+I546+K546+J546</f>
        <v>4242.25</v>
      </c>
      <c r="P546" s="7">
        <f t="shared" ref="P546:P551" si="240">+B546+C546+D546+F546+J546+Q546+R546</f>
        <v>4089.8222862245775</v>
      </c>
      <c r="Q546" s="7">
        <f t="shared" ref="Q546:Q551" si="241">+I546-AF546</f>
        <v>1850.8333333333333</v>
      </c>
      <c r="R546" s="7">
        <f t="shared" ref="R546:R551" si="242">+K546-AE546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4"/>
        <v>157394</v>
      </c>
      <c r="X546" s="104">
        <f>+V546+Z546</f>
        <v>161920</v>
      </c>
      <c r="Y546" s="2">
        <v>16413</v>
      </c>
      <c r="Z546" s="104"/>
      <c r="AA546" s="78">
        <v>169091</v>
      </c>
      <c r="AB546" s="104">
        <f t="shared" si="205"/>
        <v>161920</v>
      </c>
      <c r="AC546" s="193">
        <f t="shared" ref="AC546:AC551" si="243">+(Y546/AA546*0.95)</f>
        <v>9.2212773003885473E-2</v>
      </c>
      <c r="AD546" s="193">
        <f t="shared" ref="AD546:AD551" si="244">+(Z546/AB546*0.6)</f>
        <v>0</v>
      </c>
      <c r="AE546" s="20">
        <f t="shared" ref="AE546:AE551" si="245">+AC546*K546</f>
        <v>152.42771377542269</v>
      </c>
      <c r="AF546" s="20">
        <f t="shared" ref="AF546:AF551" si="246">+AD546*I546</f>
        <v>0</v>
      </c>
      <c r="AG546" s="3">
        <f t="shared" ref="AG546:AG550" si="247">+AA546-Y546</f>
        <v>152678</v>
      </c>
    </row>
    <row r="547" spans="1:33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8"/>
        <v>266.04536512855833</v>
      </c>
      <c r="O547" s="7">
        <f t="shared" si="239"/>
        <v>4267.666666666667</v>
      </c>
      <c r="P547" s="7">
        <f t="shared" si="240"/>
        <v>4001.621301538109</v>
      </c>
      <c r="Q547" s="7">
        <f t="shared" si="241"/>
        <v>1645.2801925089595</v>
      </c>
      <c r="R547" s="7">
        <f t="shared" si="242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4"/>
        <v>154601</v>
      </c>
      <c r="X547" s="104">
        <f t="shared" si="195"/>
        <v>189186</v>
      </c>
      <c r="Y547" s="2">
        <v>10858</v>
      </c>
      <c r="Z547" s="104">
        <v>28840</v>
      </c>
      <c r="AA547" s="78">
        <v>153968</v>
      </c>
      <c r="AB547" s="104">
        <f t="shared" si="205"/>
        <v>189186</v>
      </c>
      <c r="AC547" s="193">
        <f t="shared" si="243"/>
        <v>6.6995089888808063E-2</v>
      </c>
      <c r="AD547" s="193">
        <f t="shared" si="244"/>
        <v>9.1465541847705431E-2</v>
      </c>
      <c r="AE547" s="20">
        <f t="shared" si="245"/>
        <v>100.4088909708511</v>
      </c>
      <c r="AF547" s="20">
        <f t="shared" si="246"/>
        <v>165.63647415770723</v>
      </c>
      <c r="AG547" s="3">
        <f t="shared" si="247"/>
        <v>143110</v>
      </c>
    </row>
    <row r="548" spans="1:33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8"/>
        <v>173.95356346725359</v>
      </c>
      <c r="O548" s="7">
        <f t="shared" si="239"/>
        <v>4361.6666666666661</v>
      </c>
      <c r="P548" s="7">
        <f t="shared" si="240"/>
        <v>4187.7131031994131</v>
      </c>
      <c r="Q548" s="7">
        <f t="shared" si="241"/>
        <v>1775.7937120106628</v>
      </c>
      <c r="R548" s="7">
        <f t="shared" si="242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4"/>
        <v>160310</v>
      </c>
      <c r="X548" s="104">
        <f t="shared" si="195"/>
        <v>174062</v>
      </c>
      <c r="Y548" s="2">
        <v>11836</v>
      </c>
      <c r="Z548" s="104">
        <v>9704</v>
      </c>
      <c r="AA548" s="78">
        <v>144429</v>
      </c>
      <c r="AB548" s="104">
        <f t="shared" si="205"/>
        <v>174062</v>
      </c>
      <c r="AC548" s="193">
        <f t="shared" si="243"/>
        <v>7.7852785797866073E-2</v>
      </c>
      <c r="AD548" s="193">
        <f t="shared" si="244"/>
        <v>3.3450149946570758E-2</v>
      </c>
      <c r="AE548" s="20">
        <f t="shared" si="245"/>
        <v>112.49727547791646</v>
      </c>
      <c r="AF548" s="20">
        <f t="shared" si="246"/>
        <v>61.456287989337127</v>
      </c>
      <c r="AG548" s="3">
        <f t="shared" si="247"/>
        <v>132593</v>
      </c>
    </row>
    <row r="549" spans="1:33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8"/>
        <v>128.52626392132672</v>
      </c>
      <c r="O549" s="7">
        <f t="shared" si="239"/>
        <v>4539</v>
      </c>
      <c r="P549" s="7">
        <f t="shared" si="240"/>
        <v>4410.473736078673</v>
      </c>
      <c r="Q549" s="7">
        <f t="shared" si="241"/>
        <v>1837.5</v>
      </c>
      <c r="R549" s="7">
        <f t="shared" si="242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4"/>
        <v>150825</v>
      </c>
      <c r="X549" s="104">
        <f t="shared" si="195"/>
        <v>154137</v>
      </c>
      <c r="Y549" s="2">
        <v>12112</v>
      </c>
      <c r="Z549" s="104"/>
      <c r="AA549" s="78">
        <v>144293</v>
      </c>
      <c r="AB549" s="104">
        <f t="shared" si="205"/>
        <v>154137</v>
      </c>
      <c r="AC549" s="193">
        <f t="shared" si="243"/>
        <v>7.9743300090787492E-2</v>
      </c>
      <c r="AD549" s="193">
        <f t="shared" si="244"/>
        <v>0</v>
      </c>
      <c r="AE549" s="20">
        <f t="shared" si="245"/>
        <v>128.52626392132672</v>
      </c>
      <c r="AF549" s="20">
        <f t="shared" si="246"/>
        <v>0</v>
      </c>
      <c r="AG549" s="3">
        <f t="shared" si="247"/>
        <v>132181</v>
      </c>
    </row>
    <row r="550" spans="1:33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8"/>
        <v>315.43556755733528</v>
      </c>
      <c r="O550" s="7">
        <f t="shared" si="239"/>
        <v>4403.5833333333339</v>
      </c>
      <c r="P550" s="7">
        <f t="shared" si="240"/>
        <v>4088.1477657759979</v>
      </c>
      <c r="Q550" s="7">
        <f t="shared" si="241"/>
        <v>1615.9867416051591</v>
      </c>
      <c r="R550" s="7">
        <f t="shared" si="242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4"/>
        <v>119403</v>
      </c>
      <c r="X550" s="104">
        <f t="shared" si="195"/>
        <v>138736</v>
      </c>
      <c r="Y550" s="2">
        <v>17667</v>
      </c>
      <c r="Z550" s="104">
        <v>16305</v>
      </c>
      <c r="AA550" s="78">
        <v>142403</v>
      </c>
      <c r="AB550" s="104">
        <f t="shared" si="205"/>
        <v>138736</v>
      </c>
      <c r="AC550" s="193">
        <f t="shared" si="243"/>
        <v>0.11786022766374303</v>
      </c>
      <c r="AD550" s="193">
        <f t="shared" si="244"/>
        <v>7.0515223157651935E-2</v>
      </c>
      <c r="AE550" s="20">
        <f t="shared" si="245"/>
        <v>192.83897582916089</v>
      </c>
      <c r="AF550" s="20">
        <f t="shared" si="246"/>
        <v>122.59659172817437</v>
      </c>
      <c r="AG550" s="3">
        <f t="shared" si="247"/>
        <v>124736</v>
      </c>
    </row>
    <row r="551" spans="1:33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8"/>
        <v>198.52258177934752</v>
      </c>
      <c r="O551" s="7">
        <f t="shared" si="239"/>
        <v>4091.0833333333339</v>
      </c>
      <c r="P551" s="7">
        <f t="shared" si="240"/>
        <v>3892.5607515539859</v>
      </c>
      <c r="Q551" s="7">
        <f t="shared" si="241"/>
        <v>1534.1508254269236</v>
      </c>
      <c r="R551" s="7">
        <f t="shared" si="242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4"/>
        <v>129207</v>
      </c>
      <c r="X551" s="104">
        <f t="shared" si="195"/>
        <v>146611</v>
      </c>
      <c r="Y551" s="2">
        <v>9124</v>
      </c>
      <c r="Z551" s="104">
        <v>15585</v>
      </c>
      <c r="AA551" s="78">
        <v>136631</v>
      </c>
      <c r="AB551" s="104">
        <f t="shared" si="205"/>
        <v>146611</v>
      </c>
      <c r="AC551" s="193">
        <f t="shared" si="243"/>
        <v>6.3439482987023441E-2</v>
      </c>
      <c r="AD551" s="193">
        <f t="shared" si="244"/>
        <v>6.3781025980315251E-2</v>
      </c>
      <c r="AE551" s="20">
        <f t="shared" si="245"/>
        <v>94.006740539604252</v>
      </c>
      <c r="AF551" s="20">
        <f t="shared" si="246"/>
        <v>104.51584123974327</v>
      </c>
      <c r="AG551" s="3">
        <f>+AA551-Y551</f>
        <v>127507</v>
      </c>
    </row>
    <row r="552" spans="1:33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8">+AF552+AE552</f>
        <v>0</v>
      </c>
      <c r="O552" s="7">
        <f t="shared" ref="O552:O566" si="249">+B552+C552+D552+F552+I552+K552+J552</f>
        <v>0</v>
      </c>
      <c r="P552" s="7">
        <f t="shared" ref="P552:P566" si="250">+B552+C552+D552+F552+J552+Q552+R552</f>
        <v>0</v>
      </c>
      <c r="Q552" s="7">
        <f t="shared" ref="Q552:Q566" si="251">+I552-AF552</f>
        <v>0</v>
      </c>
      <c r="R552" s="7">
        <f t="shared" ref="R552:R566" si="252">+K552-AE552</f>
        <v>0</v>
      </c>
      <c r="T552" s="7"/>
      <c r="U552" s="7">
        <v>0</v>
      </c>
      <c r="V552" s="104"/>
      <c r="W552" s="7"/>
      <c r="X552" s="104"/>
      <c r="Y552" s="2"/>
      <c r="Z552" s="104"/>
      <c r="AA552" s="78"/>
      <c r="AB552" s="104"/>
      <c r="AC552" s="193"/>
      <c r="AD552" s="193"/>
      <c r="AE552" s="20"/>
      <c r="AF552" s="20"/>
      <c r="AG552" s="3"/>
    </row>
    <row r="553" spans="1:33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8"/>
        <v>149.70823934256214</v>
      </c>
      <c r="O553" s="7">
        <f t="shared" si="249"/>
        <v>4140.416666666667</v>
      </c>
      <c r="P553" s="7">
        <f t="shared" si="250"/>
        <v>3990.7084273241044</v>
      </c>
      <c r="Q553" s="7">
        <f t="shared" si="251"/>
        <v>1552.2561924838856</v>
      </c>
      <c r="R553" s="7">
        <f t="shared" si="252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4"/>
        <v>124874</v>
      </c>
      <c r="X553" s="104">
        <f t="shared" si="195"/>
        <v>148002</v>
      </c>
      <c r="Y553" s="2">
        <v>1663</v>
      </c>
      <c r="Z553" s="104">
        <v>19500</v>
      </c>
      <c r="AA553" s="78">
        <v>137480</v>
      </c>
      <c r="AB553" s="104">
        <f t="shared" si="205"/>
        <v>148002</v>
      </c>
      <c r="AC553" s="193">
        <f t="shared" ref="AC553:AC559" si="253">+(Y553/AA553*0.95)</f>
        <v>1.1491489671224904E-2</v>
      </c>
      <c r="AD553" s="193">
        <f t="shared" ref="AD553:AD559" si="254">+(Z553/AB553*0.6)</f>
        <v>7.9052985770462561E-2</v>
      </c>
      <c r="AE553" s="20">
        <f t="shared" ref="AE553:AE559" si="255">+AC553*K553</f>
        <v>16.46443182644748</v>
      </c>
      <c r="AF553" s="20">
        <f t="shared" ref="AF553:AF559" si="256">+AD553*I553</f>
        <v>133.24380751611466</v>
      </c>
      <c r="AG553" s="3">
        <f t="shared" ref="AG553:AG565" si="257">+AA553-Y553</f>
        <v>135817</v>
      </c>
    </row>
    <row r="554" spans="1:33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8"/>
        <v>111.10415711477526</v>
      </c>
      <c r="O554" s="7">
        <f t="shared" si="249"/>
        <v>4631.3333333333339</v>
      </c>
      <c r="P554" s="7">
        <f t="shared" si="250"/>
        <v>4520.2291762185578</v>
      </c>
      <c r="Q554" s="7">
        <f t="shared" si="251"/>
        <v>1802.0122691935389</v>
      </c>
      <c r="R554" s="7">
        <f t="shared" si="252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4"/>
        <v>157042</v>
      </c>
      <c r="X554" s="104">
        <f t="shared" si="195"/>
        <v>164947</v>
      </c>
      <c r="Y554" s="2">
        <v>8730</v>
      </c>
      <c r="Z554" s="104">
        <v>176</v>
      </c>
      <c r="AA554" s="78">
        <v>137295</v>
      </c>
      <c r="AB554" s="104">
        <f t="shared" si="205"/>
        <v>164947</v>
      </c>
      <c r="AC554" s="193">
        <f t="shared" si="253"/>
        <v>6.0406424123238274E-2</v>
      </c>
      <c r="AD554" s="193">
        <f t="shared" si="254"/>
        <v>6.4020564181221842E-4</v>
      </c>
      <c r="AE554" s="20">
        <f t="shared" si="255"/>
        <v>109.94975964164753</v>
      </c>
      <c r="AF554" s="20">
        <f t="shared" si="256"/>
        <v>1.154397473127732</v>
      </c>
      <c r="AG554" s="3">
        <f t="shared" si="257"/>
        <v>128565</v>
      </c>
    </row>
    <row r="555" spans="1:33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8"/>
        <v>440.44396208881255</v>
      </c>
      <c r="O555" s="7">
        <f t="shared" si="249"/>
        <v>4707.9166666666661</v>
      </c>
      <c r="P555" s="7">
        <f t="shared" si="250"/>
        <v>4267.4727045778536</v>
      </c>
      <c r="Q555" s="7">
        <f t="shared" si="251"/>
        <v>1680.9217164620518</v>
      </c>
      <c r="R555" s="7">
        <f t="shared" si="252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4"/>
        <v>101884</v>
      </c>
      <c r="X555" s="104">
        <f t="shared" si="195"/>
        <v>124543</v>
      </c>
      <c r="Y555" s="2">
        <v>22263</v>
      </c>
      <c r="Z555" s="104">
        <v>18545</v>
      </c>
      <c r="AA555" s="78">
        <v>142991</v>
      </c>
      <c r="AB555" s="104">
        <f t="shared" si="205"/>
        <v>124543</v>
      </c>
      <c r="AC555" s="193">
        <f t="shared" si="253"/>
        <v>0.14791035799455909</v>
      </c>
      <c r="AD555" s="193">
        <f t="shared" si="254"/>
        <v>8.9342636679700993E-2</v>
      </c>
      <c r="AE555" s="20">
        <f t="shared" si="255"/>
        <v>275.53234521753114</v>
      </c>
      <c r="AF555" s="20">
        <f t="shared" si="256"/>
        <v>164.91161687128141</v>
      </c>
      <c r="AG555" s="3">
        <f t="shared" si="257"/>
        <v>120728</v>
      </c>
    </row>
    <row r="556" spans="1:33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8"/>
        <v>388.8665016217094</v>
      </c>
      <c r="O556" s="7">
        <f t="shared" si="249"/>
        <v>4668.166666666667</v>
      </c>
      <c r="P556" s="7">
        <f t="shared" si="250"/>
        <v>4279.3001650449578</v>
      </c>
      <c r="Q556" s="7">
        <f t="shared" si="251"/>
        <v>1755.6192336039094</v>
      </c>
      <c r="R556" s="7">
        <f t="shared" si="252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4"/>
        <v>119682</v>
      </c>
      <c r="X556" s="104">
        <f t="shared" si="195"/>
        <v>132064</v>
      </c>
      <c r="Y556" s="2">
        <v>25995</v>
      </c>
      <c r="Z556" s="104">
        <v>8532</v>
      </c>
      <c r="AA556" s="78">
        <v>143125</v>
      </c>
      <c r="AB556" s="104">
        <f t="shared" si="205"/>
        <v>132064</v>
      </c>
      <c r="AC556" s="193">
        <f t="shared" si="253"/>
        <v>0.17254323144104802</v>
      </c>
      <c r="AD556" s="193">
        <f t="shared" si="254"/>
        <v>3.8763023988369269E-2</v>
      </c>
      <c r="AE556" s="20">
        <f t="shared" si="255"/>
        <v>318.06906855895198</v>
      </c>
      <c r="AF556" s="20">
        <f t="shared" si="256"/>
        <v>70.797433062757449</v>
      </c>
      <c r="AG556" s="3">
        <f t="shared" si="257"/>
        <v>117130</v>
      </c>
    </row>
    <row r="557" spans="1:33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8"/>
        <v>532.91361996524438</v>
      </c>
      <c r="O557" s="7">
        <f t="shared" si="249"/>
        <v>4529.583333333333</v>
      </c>
      <c r="P557" s="7">
        <f t="shared" si="250"/>
        <v>3996.6697133680887</v>
      </c>
      <c r="Q557" s="7">
        <f t="shared" si="251"/>
        <v>1586.1983652346598</v>
      </c>
      <c r="R557" s="7">
        <f t="shared" si="252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4"/>
        <v>136897</v>
      </c>
      <c r="X557" s="104">
        <f t="shared" si="195"/>
        <v>175907</v>
      </c>
      <c r="Y557" s="2">
        <v>27941</v>
      </c>
      <c r="Z557" s="104">
        <v>35420</v>
      </c>
      <c r="AA557" s="78">
        <v>153490</v>
      </c>
      <c r="AB557" s="104">
        <f t="shared" si="205"/>
        <v>175907</v>
      </c>
      <c r="AC557" s="193">
        <f t="shared" si="253"/>
        <v>0.17293602189067692</v>
      </c>
      <c r="AD557" s="193">
        <f t="shared" si="254"/>
        <v>0.12081383913090439</v>
      </c>
      <c r="AE557" s="20">
        <f t="shared" si="255"/>
        <v>314.94531853323775</v>
      </c>
      <c r="AF557" s="20">
        <f t="shared" si="256"/>
        <v>217.96830143200665</v>
      </c>
      <c r="AG557" s="3">
        <f t="shared" si="257"/>
        <v>125549</v>
      </c>
    </row>
    <row r="558" spans="1:33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8"/>
        <v>174.54120177421595</v>
      </c>
      <c r="O558" s="7">
        <f t="shared" si="249"/>
        <v>4054.833333333333</v>
      </c>
      <c r="P558" s="7">
        <f t="shared" si="250"/>
        <v>3880.2921315591175</v>
      </c>
      <c r="Q558" s="7">
        <f t="shared" si="251"/>
        <v>1615.5268798617112</v>
      </c>
      <c r="R558" s="7">
        <f t="shared" si="252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4"/>
        <v>139376</v>
      </c>
      <c r="X558" s="104">
        <f t="shared" si="195"/>
        <v>143468</v>
      </c>
      <c r="Y558" s="2">
        <v>14908</v>
      </c>
      <c r="Z558" s="2">
        <v>2884</v>
      </c>
      <c r="AA558" s="78">
        <v>149591</v>
      </c>
      <c r="AB558" s="104">
        <f t="shared" si="205"/>
        <v>143468</v>
      </c>
      <c r="AC558" s="193">
        <f t="shared" si="253"/>
        <v>9.467548181374548E-2</v>
      </c>
      <c r="AD558" s="193">
        <f t="shared" si="254"/>
        <v>1.2061226196782557E-2</v>
      </c>
      <c r="AE558" s="20">
        <f t="shared" si="255"/>
        <v>154.81808163592729</v>
      </c>
      <c r="AF558" s="20">
        <f t="shared" si="256"/>
        <v>19.723120138288674</v>
      </c>
      <c r="AG558" s="3">
        <f t="shared" si="257"/>
        <v>134683</v>
      </c>
    </row>
    <row r="559" spans="1:33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8"/>
        <v>0.39239130434782599</v>
      </c>
      <c r="O559" s="7">
        <f t="shared" si="249"/>
        <v>3522.9166666666661</v>
      </c>
      <c r="P559" s="7">
        <f t="shared" si="250"/>
        <v>3522.5242753623183</v>
      </c>
      <c r="Q559" s="7">
        <f t="shared" si="251"/>
        <v>1459.4999999999998</v>
      </c>
      <c r="R559" s="7">
        <f t="shared" si="252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4"/>
        <v>125132</v>
      </c>
      <c r="X559" s="104">
        <f t="shared" si="195"/>
        <v>128818</v>
      </c>
      <c r="Y559" s="2">
        <v>32</v>
      </c>
      <c r="Z559" s="2"/>
      <c r="AA559" s="78">
        <v>114816</v>
      </c>
      <c r="AB559" s="104">
        <f t="shared" si="205"/>
        <v>128818</v>
      </c>
      <c r="AC559" s="193">
        <f t="shared" si="253"/>
        <v>2.6477146042363429E-4</v>
      </c>
      <c r="AD559" s="193">
        <f t="shared" si="254"/>
        <v>0</v>
      </c>
      <c r="AE559" s="20">
        <f t="shared" si="255"/>
        <v>0.39239130434782599</v>
      </c>
      <c r="AF559" s="20">
        <f t="shared" si="256"/>
        <v>0</v>
      </c>
      <c r="AG559" s="3">
        <f t="shared" si="257"/>
        <v>114784</v>
      </c>
    </row>
    <row r="560" spans="1:33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8"/>
        <v>271.13501570107815</v>
      </c>
      <c r="O560" s="7">
        <f t="shared" si="249"/>
        <v>3992.333333333333</v>
      </c>
      <c r="P560" s="7">
        <f t="shared" si="250"/>
        <v>3721.1983176322551</v>
      </c>
      <c r="Q560" s="7">
        <f t="shared" si="251"/>
        <v>1550.2325656260557</v>
      </c>
      <c r="R560" s="7">
        <f t="shared" si="252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4"/>
        <v>122991</v>
      </c>
      <c r="X560" s="104">
        <f t="shared" si="195"/>
        <v>150969</v>
      </c>
      <c r="Y560" s="2">
        <v>11906</v>
      </c>
      <c r="Z560" s="2">
        <v>23753</v>
      </c>
      <c r="AA560" s="78">
        <v>162164</v>
      </c>
      <c r="AB560" s="104">
        <f t="shared" si="205"/>
        <v>150969</v>
      </c>
      <c r="AC560" s="193">
        <f t="shared" ref="AC560:AC565" si="258">+(Y560/AA560*0.95)</f>
        <v>6.9748526183369922E-2</v>
      </c>
      <c r="AD560" s="193">
        <f t="shared" ref="AD560:AD565" si="259">+(Z560/AB560*0.6)</f>
        <v>9.4402162033265111E-2</v>
      </c>
      <c r="AE560" s="20">
        <f t="shared" ref="AE560:AE565" si="260">+AC560*K560</f>
        <v>109.53424799380052</v>
      </c>
      <c r="AF560" s="20">
        <f t="shared" ref="AF560:AF565" si="261">+AD560*I560</f>
        <v>161.60076770727764</v>
      </c>
      <c r="AG560" s="3">
        <f t="shared" si="257"/>
        <v>150258</v>
      </c>
    </row>
    <row r="561" spans="1:33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8"/>
        <v>367.72314394684213</v>
      </c>
      <c r="O561" s="7">
        <f t="shared" si="249"/>
        <v>3854.5</v>
      </c>
      <c r="P561" s="7">
        <f t="shared" si="250"/>
        <v>3486.7768560531576</v>
      </c>
      <c r="Q561" s="7">
        <f t="shared" si="251"/>
        <v>1524.2224253117977</v>
      </c>
      <c r="R561" s="7">
        <f t="shared" si="252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ref="W561:W579" si="262">+V561-U561-S561</f>
        <v>116526</v>
      </c>
      <c r="X561" s="104">
        <f t="shared" ref="X561:X562" si="263">+V561+Z561</f>
        <v>132618</v>
      </c>
      <c r="Y561" s="2">
        <v>23026</v>
      </c>
      <c r="Z561" s="2">
        <v>14259</v>
      </c>
      <c r="AA561" s="78">
        <v>107640</v>
      </c>
      <c r="AB561" s="104">
        <f t="shared" si="205"/>
        <v>132618</v>
      </c>
      <c r="AC561" s="193">
        <f t="shared" si="258"/>
        <v>0.20322092159048682</v>
      </c>
      <c r="AD561" s="193">
        <f t="shared" si="259"/>
        <v>6.4511604759534907E-2</v>
      </c>
      <c r="AE561" s="20">
        <f t="shared" si="260"/>
        <v>262.61223592530661</v>
      </c>
      <c r="AF561" s="20">
        <f t="shared" si="261"/>
        <v>105.11090802153554</v>
      </c>
      <c r="AG561" s="3">
        <f>+AA561-Y561</f>
        <v>84614</v>
      </c>
    </row>
    <row r="562" spans="1:33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8"/>
        <v>8.587544304043977</v>
      </c>
      <c r="O562" s="7">
        <f t="shared" si="249"/>
        <v>3695.6666666666661</v>
      </c>
      <c r="P562" s="7">
        <f t="shared" si="250"/>
        <v>3687.079122362622</v>
      </c>
      <c r="Q562" s="7">
        <f t="shared" si="251"/>
        <v>1709.1666666666665</v>
      </c>
      <c r="R562" s="7">
        <f t="shared" si="252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262"/>
        <v>137733</v>
      </c>
      <c r="X562" s="104">
        <f t="shared" si="263"/>
        <v>142055</v>
      </c>
      <c r="Y562" s="2">
        <v>950</v>
      </c>
      <c r="Z562" s="2"/>
      <c r="AA562" s="78">
        <v>119816</v>
      </c>
      <c r="AB562" s="104">
        <f t="shared" si="205"/>
        <v>142055</v>
      </c>
      <c r="AC562" s="193">
        <f t="shared" si="258"/>
        <v>7.5323829872471111E-3</v>
      </c>
      <c r="AD562" s="193">
        <f t="shared" si="259"/>
        <v>0</v>
      </c>
      <c r="AE562" s="20">
        <f t="shared" si="260"/>
        <v>8.587544304043977</v>
      </c>
      <c r="AF562" s="20">
        <f t="shared" si="261"/>
        <v>0</v>
      </c>
      <c r="AG562" s="3">
        <f t="shared" si="257"/>
        <v>118866</v>
      </c>
    </row>
    <row r="563" spans="1:33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8"/>
        <v>0</v>
      </c>
      <c r="O563" s="7">
        <f t="shared" si="249"/>
        <v>3932.3333333333335</v>
      </c>
      <c r="P563" s="7">
        <f t="shared" si="250"/>
        <v>3932.3333333333335</v>
      </c>
      <c r="Q563" s="7">
        <f t="shared" si="251"/>
        <v>1655.9166666666667</v>
      </c>
      <c r="R563" s="7">
        <f t="shared" si="252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>+V563-U563-S563</f>
        <v>139145</v>
      </c>
      <c r="X563" s="104">
        <f>+V563+Z563</f>
        <v>143815</v>
      </c>
      <c r="Y563" s="2"/>
      <c r="Z563" s="2"/>
      <c r="AA563" s="78">
        <v>145486</v>
      </c>
      <c r="AB563" s="104">
        <f t="shared" si="205"/>
        <v>143815</v>
      </c>
      <c r="AC563" s="193">
        <f t="shared" si="258"/>
        <v>0</v>
      </c>
      <c r="AD563" s="193">
        <f t="shared" si="259"/>
        <v>0</v>
      </c>
      <c r="AE563" s="20">
        <f t="shared" si="260"/>
        <v>0</v>
      </c>
      <c r="AF563" s="20">
        <f t="shared" si="261"/>
        <v>0</v>
      </c>
      <c r="AG563" s="3">
        <f t="shared" si="257"/>
        <v>145486</v>
      </c>
    </row>
    <row r="564" spans="1:33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8"/>
        <v>122.79144719101123</v>
      </c>
      <c r="O564" s="7">
        <f t="shared" si="249"/>
        <v>3982.3333333333335</v>
      </c>
      <c r="P564" s="7">
        <f t="shared" si="250"/>
        <v>3859.5418861423223</v>
      </c>
      <c r="Q564" s="7">
        <f t="shared" si="251"/>
        <v>1527.1252194756555</v>
      </c>
      <c r="R564" s="7">
        <f t="shared" si="252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262"/>
        <v>122538</v>
      </c>
      <c r="X564" s="104">
        <f t="shared" ref="X564:X579" si="264">+V564+Z564</f>
        <v>144625</v>
      </c>
      <c r="Y564" s="2"/>
      <c r="Z564" s="2">
        <v>17939</v>
      </c>
      <c r="AA564" s="78">
        <v>143490</v>
      </c>
      <c r="AB564" s="104">
        <f t="shared" si="205"/>
        <v>144625</v>
      </c>
      <c r="AC564" s="193">
        <f t="shared" si="258"/>
        <v>0</v>
      </c>
      <c r="AD564" s="193">
        <f t="shared" si="259"/>
        <v>7.4422817631806387E-2</v>
      </c>
      <c r="AE564" s="20">
        <f t="shared" si="260"/>
        <v>0</v>
      </c>
      <c r="AF564" s="20">
        <f t="shared" si="261"/>
        <v>122.79144719101123</v>
      </c>
      <c r="AG564" s="3">
        <f t="shared" si="257"/>
        <v>143490</v>
      </c>
    </row>
    <row r="565" spans="1:33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8"/>
        <v>0</v>
      </c>
      <c r="O565" s="7">
        <f t="shared" si="249"/>
        <v>3536.833333333333</v>
      </c>
      <c r="P565" s="7">
        <f t="shared" si="250"/>
        <v>3536.833333333333</v>
      </c>
      <c r="Q565" s="7">
        <f t="shared" si="251"/>
        <v>1521.3333333333333</v>
      </c>
      <c r="R565" s="7">
        <f t="shared" si="252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262"/>
        <v>129604</v>
      </c>
      <c r="X565" s="104">
        <f t="shared" si="264"/>
        <v>131045</v>
      </c>
      <c r="Y565" s="2"/>
      <c r="Z565" s="2"/>
      <c r="AA565" s="78">
        <v>125126</v>
      </c>
      <c r="AB565" s="104">
        <f t="shared" si="205"/>
        <v>131045</v>
      </c>
      <c r="AC565" s="193">
        <f t="shared" si="258"/>
        <v>0</v>
      </c>
      <c r="AD565" s="193">
        <f t="shared" si="259"/>
        <v>0</v>
      </c>
      <c r="AE565" s="20">
        <f t="shared" si="260"/>
        <v>0</v>
      </c>
      <c r="AF565" s="20">
        <f t="shared" si="261"/>
        <v>0</v>
      </c>
      <c r="AG565" s="3">
        <f t="shared" si="257"/>
        <v>125126</v>
      </c>
    </row>
    <row r="566" spans="1:33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8"/>
        <v>0</v>
      </c>
      <c r="O566" s="7">
        <f t="shared" si="249"/>
        <v>0</v>
      </c>
      <c r="P566" s="7">
        <f t="shared" si="250"/>
        <v>0</v>
      </c>
      <c r="Q566" s="7">
        <f t="shared" si="251"/>
        <v>0</v>
      </c>
      <c r="R566" s="7">
        <f t="shared" si="252"/>
        <v>0</v>
      </c>
      <c r="T566" s="7"/>
      <c r="U566" s="7">
        <v>0</v>
      </c>
      <c r="V566" s="104"/>
      <c r="W566" s="7">
        <f t="shared" si="262"/>
        <v>0</v>
      </c>
      <c r="X566" s="104">
        <f t="shared" si="264"/>
        <v>0</v>
      </c>
      <c r="Y566" s="2"/>
      <c r="Z566" s="2"/>
      <c r="AB566" s="104"/>
      <c r="AC566" s="193"/>
      <c r="AD566" s="193"/>
      <c r="AE566" s="20"/>
      <c r="AF566" s="20"/>
      <c r="AG566" s="3"/>
    </row>
    <row r="567" spans="1:33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65">+AF567+AE567</f>
        <v>236.26944204728176</v>
      </c>
      <c r="O567" s="7">
        <f t="shared" ref="O567:O573" si="266">+B567+C567+D567+F567+I567+K567+J567</f>
        <v>4075.5</v>
      </c>
      <c r="P567" s="7">
        <f t="shared" ref="P567:P573" si="267">+B567+C567+D567+F567+J567+Q567+R567</f>
        <v>3839.2305579527183</v>
      </c>
      <c r="Q567" s="7">
        <f t="shared" ref="Q567:Q573" si="268">+I567-AF567</f>
        <v>1628.746854148975</v>
      </c>
      <c r="R567" s="7">
        <f t="shared" ref="R567:R573" si="269">+K567-AE567</f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262"/>
        <v>113603</v>
      </c>
      <c r="X567" s="104">
        <f>+V567+Z567</f>
        <v>131888</v>
      </c>
      <c r="Y567" s="2">
        <v>13539</v>
      </c>
      <c r="Z567" s="2">
        <v>13134</v>
      </c>
      <c r="AA567" s="78">
        <v>125876</v>
      </c>
      <c r="AB567" s="104">
        <f t="shared" si="205"/>
        <v>131888</v>
      </c>
      <c r="AC567" s="193">
        <f t="shared" ref="AC567:AC573" si="270">+(Y567/AA567*0.95)</f>
        <v>0.10218032031523086</v>
      </c>
      <c r="AD567" s="193">
        <f t="shared" ref="AD567:AD573" si="271">+(Z567/AB567*0.6)</f>
        <v>5.9750697561567388E-2</v>
      </c>
      <c r="AE567" s="20">
        <f t="shared" ref="AE567:AE573" si="272">+AC567*K567</f>
        <v>132.76629619625663</v>
      </c>
      <c r="AF567" s="20">
        <f t="shared" ref="AF567:AF573" si="273">+AD567*I567</f>
        <v>103.50314585102511</v>
      </c>
      <c r="AG567" s="3">
        <f t="shared" ref="AG567:AG573" si="274">+AA567-Y567</f>
        <v>112337</v>
      </c>
    </row>
    <row r="568" spans="1:33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65"/>
        <v>0</v>
      </c>
      <c r="O568" s="7">
        <f t="shared" si="266"/>
        <v>4075.583333333333</v>
      </c>
      <c r="P568" s="7">
        <f t="shared" si="267"/>
        <v>4075.5833333333335</v>
      </c>
      <c r="Q568" s="7">
        <f t="shared" si="268"/>
        <v>1680.0833333333333</v>
      </c>
      <c r="R568" s="7">
        <f t="shared" si="269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262"/>
        <v>127640</v>
      </c>
      <c r="X568" s="104">
        <f t="shared" si="264"/>
        <v>133648</v>
      </c>
      <c r="Y568" s="2"/>
      <c r="Z568" s="2"/>
      <c r="AA568" s="78">
        <v>115263</v>
      </c>
      <c r="AB568" s="104">
        <f t="shared" si="205"/>
        <v>133648</v>
      </c>
      <c r="AC568" s="193">
        <f t="shared" si="270"/>
        <v>0</v>
      </c>
      <c r="AD568" s="193">
        <f t="shared" si="271"/>
        <v>0</v>
      </c>
      <c r="AE568" s="20">
        <f t="shared" si="272"/>
        <v>0</v>
      </c>
      <c r="AF568" s="20">
        <f t="shared" si="273"/>
        <v>0</v>
      </c>
      <c r="AG568" s="3">
        <f t="shared" si="274"/>
        <v>115263</v>
      </c>
    </row>
    <row r="569" spans="1:33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65"/>
        <v>93.60105523907005</v>
      </c>
      <c r="O569" s="7">
        <f t="shared" si="266"/>
        <v>4074.8333333333335</v>
      </c>
      <c r="P569" s="7">
        <f t="shared" si="267"/>
        <v>3981.2322780942632</v>
      </c>
      <c r="Q569" s="7">
        <f t="shared" si="268"/>
        <v>1722.6666666666665</v>
      </c>
      <c r="R569" s="7">
        <f t="shared" si="269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262"/>
        <v>143939</v>
      </c>
      <c r="X569" s="104">
        <f t="shared" si="264"/>
        <v>147108</v>
      </c>
      <c r="Y569" s="2">
        <v>8922</v>
      </c>
      <c r="Z569" s="2"/>
      <c r="AA569" s="78">
        <v>119191</v>
      </c>
      <c r="AB569" s="104">
        <f t="shared" si="205"/>
        <v>147108</v>
      </c>
      <c r="AC569" s="193">
        <f t="shared" si="270"/>
        <v>7.1111912812208966E-2</v>
      </c>
      <c r="AD569" s="193">
        <f t="shared" si="271"/>
        <v>0</v>
      </c>
      <c r="AE569" s="20">
        <f t="shared" si="272"/>
        <v>93.60105523907005</v>
      </c>
      <c r="AF569" s="20">
        <f t="shared" si="273"/>
        <v>0</v>
      </c>
      <c r="AG569" s="3">
        <f t="shared" si="274"/>
        <v>110269</v>
      </c>
    </row>
    <row r="570" spans="1:33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65"/>
        <v>243.00165280144364</v>
      </c>
      <c r="O570" s="7">
        <f t="shared" si="266"/>
        <v>4095.4166666666665</v>
      </c>
      <c r="P570" s="7">
        <f t="shared" si="267"/>
        <v>3852.415013865223</v>
      </c>
      <c r="Q570" s="7">
        <f t="shared" si="268"/>
        <v>1600.2007169654735</v>
      </c>
      <c r="R570" s="7">
        <f t="shared" si="269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262"/>
        <v>132463</v>
      </c>
      <c r="X570" s="104">
        <f t="shared" si="264"/>
        <v>155842</v>
      </c>
      <c r="Y570" s="2">
        <v>12146</v>
      </c>
      <c r="Z570" s="2">
        <v>19638</v>
      </c>
      <c r="AA570" s="78">
        <v>138892</v>
      </c>
      <c r="AB570" s="104">
        <f t="shared" si="205"/>
        <v>155842</v>
      </c>
      <c r="AC570" s="193">
        <f t="shared" si="270"/>
        <v>8.3076779080148599E-2</v>
      </c>
      <c r="AD570" s="193">
        <f t="shared" si="271"/>
        <v>7.5607345901618314E-2</v>
      </c>
      <c r="AE570" s="20">
        <f t="shared" si="272"/>
        <v>112.11903643358389</v>
      </c>
      <c r="AF570" s="20">
        <f t="shared" si="273"/>
        <v>130.88261636785975</v>
      </c>
      <c r="AG570" s="3">
        <f t="shared" si="274"/>
        <v>126746</v>
      </c>
    </row>
    <row r="571" spans="1:33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65"/>
        <v>0</v>
      </c>
      <c r="O571" s="7">
        <f t="shared" si="266"/>
        <v>4170.333333333333</v>
      </c>
      <c r="P571" s="7">
        <f t="shared" si="267"/>
        <v>4170.333333333333</v>
      </c>
      <c r="Q571" s="7">
        <f t="shared" si="268"/>
        <v>1792.4166666666667</v>
      </c>
      <c r="R571" s="7">
        <f t="shared" si="269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262"/>
        <v>137233</v>
      </c>
      <c r="X571" s="104">
        <f t="shared" si="264"/>
        <v>140157</v>
      </c>
      <c r="Y571" s="2"/>
      <c r="Z571" s="2"/>
      <c r="AA571" s="78">
        <v>133621</v>
      </c>
      <c r="AB571" s="104">
        <f t="shared" si="205"/>
        <v>140157</v>
      </c>
      <c r="AC571" s="193">
        <f t="shared" si="270"/>
        <v>0</v>
      </c>
      <c r="AD571" s="193">
        <f t="shared" si="271"/>
        <v>0</v>
      </c>
      <c r="AE571" s="20">
        <f t="shared" si="272"/>
        <v>0</v>
      </c>
      <c r="AF571" s="20">
        <f t="shared" si="273"/>
        <v>0</v>
      </c>
      <c r="AG571" s="3">
        <f t="shared" si="274"/>
        <v>133621</v>
      </c>
    </row>
    <row r="572" spans="1:33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65"/>
        <v>0</v>
      </c>
      <c r="O572" s="7">
        <f t="shared" si="266"/>
        <v>3876.916666666667</v>
      </c>
      <c r="P572" s="7">
        <f t="shared" si="267"/>
        <v>3876.916666666667</v>
      </c>
      <c r="Q572" s="7">
        <f t="shared" si="268"/>
        <v>1671.5</v>
      </c>
      <c r="R572" s="7">
        <f t="shared" si="269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262"/>
        <v>141765</v>
      </c>
      <c r="X572" s="104">
        <f t="shared" si="264"/>
        <v>144687</v>
      </c>
      <c r="Y572" s="2"/>
      <c r="Z572" s="2"/>
      <c r="AA572" s="78">
        <v>136059</v>
      </c>
      <c r="AB572" s="104">
        <f t="shared" si="205"/>
        <v>144687</v>
      </c>
      <c r="AC572" s="193">
        <f t="shared" si="270"/>
        <v>0</v>
      </c>
      <c r="AD572" s="193">
        <f t="shared" si="271"/>
        <v>0</v>
      </c>
      <c r="AE572" s="20">
        <f t="shared" si="272"/>
        <v>0</v>
      </c>
      <c r="AF572" s="20">
        <f t="shared" si="273"/>
        <v>0</v>
      </c>
      <c r="AG572" s="3">
        <f t="shared" si="274"/>
        <v>136059</v>
      </c>
    </row>
    <row r="573" spans="1:33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65"/>
        <v>0</v>
      </c>
      <c r="O573" s="7">
        <f t="shared" si="266"/>
        <v>3248.833333333333</v>
      </c>
      <c r="P573" s="7">
        <f t="shared" si="267"/>
        <v>3248.8333333333335</v>
      </c>
      <c r="Q573" s="7">
        <f t="shared" si="268"/>
        <v>1390.3333333333333</v>
      </c>
      <c r="R573" s="7">
        <f t="shared" si="269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262"/>
        <v>117426</v>
      </c>
      <c r="X573" s="104">
        <f t="shared" si="264"/>
        <v>118866</v>
      </c>
      <c r="Y573" s="2"/>
      <c r="Z573" s="2"/>
      <c r="AA573" s="78">
        <v>106235</v>
      </c>
      <c r="AB573" s="104">
        <f t="shared" si="205"/>
        <v>118866</v>
      </c>
      <c r="AC573" s="193">
        <f t="shared" si="270"/>
        <v>0</v>
      </c>
      <c r="AD573" s="193">
        <f t="shared" si="271"/>
        <v>0</v>
      </c>
      <c r="AE573" s="20">
        <f t="shared" si="272"/>
        <v>0</v>
      </c>
      <c r="AF573" s="20">
        <f t="shared" si="273"/>
        <v>0</v>
      </c>
      <c r="AG573" s="3">
        <f t="shared" si="274"/>
        <v>106235</v>
      </c>
    </row>
    <row r="574" spans="1:33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79" si="275">+AF574+AE574</f>
        <v>0</v>
      </c>
      <c r="O574" s="7">
        <f t="shared" ref="O574:O579" si="276">+B574+C574+D574+F574+I574+K574+J574</f>
        <v>3986.333333333333</v>
      </c>
      <c r="P574" s="7">
        <f t="shared" ref="P574:P579" si="277">+B574+C574+D574+F574+J574+Q574+R574</f>
        <v>3986.333333333333</v>
      </c>
      <c r="Q574" s="7">
        <f t="shared" ref="Q574:Q579" si="278">+I574-AF574</f>
        <v>1765.6666666666665</v>
      </c>
      <c r="R574" s="7">
        <f t="shared" ref="R574:R579" si="279">+K574-AE574</f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262"/>
        <v>135230</v>
      </c>
      <c r="X574" s="104">
        <f t="shared" si="264"/>
        <v>136140</v>
      </c>
      <c r="Y574" s="2"/>
      <c r="Z574" s="2"/>
      <c r="AA574" s="78">
        <v>147358</v>
      </c>
      <c r="AB574" s="104">
        <f t="shared" si="205"/>
        <v>136140</v>
      </c>
      <c r="AC574" s="193">
        <f t="shared" ref="AC574:AC579" si="280">+(Y574/AA574*0.95)</f>
        <v>0</v>
      </c>
      <c r="AD574" s="193">
        <f t="shared" ref="AD574:AD579" si="281">+(Z574/AB574*0.6)</f>
        <v>0</v>
      </c>
      <c r="AE574" s="20">
        <f t="shared" ref="AE574:AE579" si="282">+AC574*K574</f>
        <v>0</v>
      </c>
      <c r="AF574" s="20">
        <f t="shared" ref="AF574:AF579" si="283">+AD574*I574</f>
        <v>0</v>
      </c>
      <c r="AG574" s="3">
        <f t="shared" ref="AG574:AG579" si="284">+AA574-Y574</f>
        <v>147358</v>
      </c>
    </row>
    <row r="575" spans="1:33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75"/>
        <v>0</v>
      </c>
      <c r="O575" s="7">
        <f t="shared" si="276"/>
        <v>4195.5</v>
      </c>
      <c r="P575" s="7">
        <f t="shared" si="277"/>
        <v>4195.5</v>
      </c>
      <c r="Q575" s="7">
        <f t="shared" si="278"/>
        <v>1812.75</v>
      </c>
      <c r="R575" s="7">
        <f t="shared" si="279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262"/>
        <v>123906</v>
      </c>
      <c r="X575" s="104">
        <f t="shared" si="264"/>
        <v>129830</v>
      </c>
      <c r="Y575" s="2"/>
      <c r="Z575" s="2"/>
      <c r="AA575" s="78">
        <v>137554</v>
      </c>
      <c r="AB575" s="104">
        <f t="shared" si="205"/>
        <v>129830</v>
      </c>
      <c r="AC575" s="193">
        <f t="shared" si="280"/>
        <v>0</v>
      </c>
      <c r="AD575" s="193">
        <f t="shared" si="281"/>
        <v>0</v>
      </c>
      <c r="AE575" s="20">
        <f t="shared" si="282"/>
        <v>0</v>
      </c>
      <c r="AF575" s="20">
        <f t="shared" si="283"/>
        <v>0</v>
      </c>
      <c r="AG575" s="3">
        <f t="shared" si="284"/>
        <v>137554</v>
      </c>
    </row>
    <row r="576" spans="1:33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75"/>
        <v>0</v>
      </c>
      <c r="O576" s="7">
        <f t="shared" si="276"/>
        <v>4133.6666666666661</v>
      </c>
      <c r="P576" s="7">
        <f t="shared" si="277"/>
        <v>4133.6666666666661</v>
      </c>
      <c r="Q576" s="7">
        <f t="shared" si="278"/>
        <v>1833.25</v>
      </c>
      <c r="R576" s="7">
        <f t="shared" si="279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262"/>
        <v>143739</v>
      </c>
      <c r="X576" s="104">
        <f t="shared" si="264"/>
        <v>146201</v>
      </c>
      <c r="Y576" s="2"/>
      <c r="Z576" s="2"/>
      <c r="AA576" s="78">
        <v>133519</v>
      </c>
      <c r="AB576" s="104">
        <f t="shared" si="205"/>
        <v>146201</v>
      </c>
      <c r="AC576" s="193">
        <f t="shared" si="280"/>
        <v>0</v>
      </c>
      <c r="AD576" s="193">
        <f t="shared" si="281"/>
        <v>0</v>
      </c>
      <c r="AE576" s="20">
        <f t="shared" si="282"/>
        <v>0</v>
      </c>
      <c r="AF576" s="20">
        <f t="shared" si="283"/>
        <v>0</v>
      </c>
      <c r="AG576" s="3">
        <f t="shared" si="284"/>
        <v>133519</v>
      </c>
    </row>
    <row r="577" spans="1:33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75"/>
        <v>0</v>
      </c>
      <c r="O577" s="7">
        <f t="shared" si="276"/>
        <v>4335.833333333333</v>
      </c>
      <c r="P577" s="7">
        <f t="shared" si="277"/>
        <v>4335.8333333333339</v>
      </c>
      <c r="Q577" s="7">
        <f t="shared" si="278"/>
        <v>1874.7499999999998</v>
      </c>
      <c r="R577" s="7">
        <f t="shared" si="279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262"/>
        <v>132228</v>
      </c>
      <c r="X577" s="104">
        <f t="shared" si="264"/>
        <v>136909</v>
      </c>
      <c r="Y577" s="2"/>
      <c r="Z577" s="2"/>
      <c r="AA577" s="78">
        <v>139467</v>
      </c>
      <c r="AB577" s="104">
        <f t="shared" si="205"/>
        <v>136909</v>
      </c>
      <c r="AC577" s="193">
        <f t="shared" si="280"/>
        <v>0</v>
      </c>
      <c r="AD577" s="193">
        <f t="shared" si="281"/>
        <v>0</v>
      </c>
      <c r="AE577" s="20">
        <f t="shared" si="282"/>
        <v>0</v>
      </c>
      <c r="AF577" s="20">
        <f t="shared" si="283"/>
        <v>0</v>
      </c>
      <c r="AG577" s="3">
        <f t="shared" si="284"/>
        <v>139467</v>
      </c>
    </row>
    <row r="578" spans="1:33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75"/>
        <v>0</v>
      </c>
      <c r="O578" s="7">
        <f t="shared" si="276"/>
        <v>4404</v>
      </c>
      <c r="P578" s="7">
        <f t="shared" si="277"/>
        <v>4404</v>
      </c>
      <c r="Q578" s="7">
        <f t="shared" si="278"/>
        <v>1930.0833333333333</v>
      </c>
      <c r="R578" s="7">
        <f t="shared" si="279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262"/>
        <v>135113</v>
      </c>
      <c r="X578" s="104">
        <f t="shared" si="264"/>
        <v>139121</v>
      </c>
      <c r="Y578" s="2"/>
      <c r="Z578" s="2"/>
      <c r="AA578" s="78">
        <v>142653</v>
      </c>
      <c r="AB578" s="104">
        <f t="shared" si="205"/>
        <v>139121</v>
      </c>
      <c r="AC578" s="193">
        <f t="shared" si="280"/>
        <v>0</v>
      </c>
      <c r="AD578" s="193">
        <f t="shared" si="281"/>
        <v>0</v>
      </c>
      <c r="AE578" s="20">
        <f t="shared" si="282"/>
        <v>0</v>
      </c>
      <c r="AF578" s="20">
        <f t="shared" si="283"/>
        <v>0</v>
      </c>
      <c r="AG578" s="3">
        <f t="shared" si="284"/>
        <v>142653</v>
      </c>
    </row>
    <row r="579" spans="1:33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75"/>
        <v>0</v>
      </c>
      <c r="O579" s="7">
        <f t="shared" si="276"/>
        <v>4249.6666666666661</v>
      </c>
      <c r="P579" s="7">
        <f t="shared" si="277"/>
        <v>4249.6666666666661</v>
      </c>
      <c r="Q579" s="7">
        <f t="shared" si="278"/>
        <v>1810.5833333333333</v>
      </c>
      <c r="R579" s="7">
        <f t="shared" si="279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si="262"/>
        <v>128705</v>
      </c>
      <c r="X579" s="104">
        <f t="shared" si="264"/>
        <v>131146</v>
      </c>
      <c r="Y579" s="165"/>
      <c r="Z579" s="2"/>
      <c r="AA579" s="78">
        <v>96654</v>
      </c>
      <c r="AB579" s="104">
        <f t="shared" si="205"/>
        <v>131146</v>
      </c>
      <c r="AC579" s="193">
        <f t="shared" si="280"/>
        <v>0</v>
      </c>
      <c r="AD579" s="193">
        <f t="shared" si="281"/>
        <v>0</v>
      </c>
      <c r="AE579" s="20">
        <f t="shared" si="282"/>
        <v>0</v>
      </c>
      <c r="AF579" s="20">
        <f t="shared" si="283"/>
        <v>0</v>
      </c>
      <c r="AG579" s="3">
        <f t="shared" si="284"/>
        <v>96654</v>
      </c>
    </row>
    <row r="580" spans="1:33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 s="223"/>
      <c r="R580" s="166"/>
      <c r="T580" s="7"/>
      <c r="U580" s="74"/>
      <c r="V580" s="104"/>
      <c r="W580" s="191"/>
      <c r="X580" s="165"/>
      <c r="Y580" s="165"/>
      <c r="Z580" s="2"/>
    </row>
    <row r="581" spans="1:33" ht="16.8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 s="223"/>
      <c r="R581" s="166"/>
      <c r="S581" s="219"/>
      <c r="T581" s="74"/>
      <c r="U581" s="74"/>
      <c r="V581" s="104"/>
      <c r="W581" s="191"/>
      <c r="X581" s="165"/>
      <c r="Y581" s="165"/>
      <c r="Z581" s="2"/>
    </row>
    <row r="582" spans="1:33" ht="16.8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 s="223"/>
      <c r="R582" s="166"/>
      <c r="S582" s="219"/>
      <c r="T582" s="74"/>
      <c r="U582" s="74"/>
      <c r="V582" s="74"/>
      <c r="W582" s="191"/>
      <c r="X582" s="165"/>
      <c r="Y582" s="165"/>
      <c r="Z582" s="2"/>
    </row>
    <row r="583" spans="1:33" ht="16.8">
      <c r="A583"/>
      <c r="B583" s="3"/>
      <c r="C583" s="3"/>
      <c r="D583" s="3"/>
      <c r="E583" s="3"/>
      <c r="F583" s="3"/>
      <c r="G583" s="3"/>
      <c r="H583"/>
      <c r="I583"/>
      <c r="J583"/>
      <c r="K583"/>
      <c r="L583"/>
      <c r="M583"/>
      <c r="N583"/>
      <c r="O583"/>
      <c r="P583"/>
      <c r="Q583" s="223"/>
      <c r="R583" s="166"/>
      <c r="S583" s="219"/>
      <c r="T583" s="74"/>
      <c r="U583" s="74"/>
      <c r="V583" s="74"/>
      <c r="W583" s="191"/>
      <c r="X583"/>
      <c r="Y583"/>
      <c r="Z583" s="2"/>
    </row>
    <row r="584" spans="1:33" ht="16.8">
      <c r="A584" t="s">
        <v>1493</v>
      </c>
      <c r="B584" t="s">
        <v>2574</v>
      </c>
      <c r="C584" t="s">
        <v>2575</v>
      </c>
      <c r="D584" t="s">
        <v>2576</v>
      </c>
      <c r="E584" t="s">
        <v>2577</v>
      </c>
      <c r="F584" t="s">
        <v>2578</v>
      </c>
      <c r="G584" s="1">
        <v>46235</v>
      </c>
      <c r="H584"/>
      <c r="I584"/>
      <c r="J584"/>
      <c r="K584"/>
      <c r="L584"/>
      <c r="M584"/>
      <c r="N584"/>
      <c r="O584"/>
      <c r="P584"/>
      <c r="Q584"/>
      <c r="R584" s="165"/>
      <c r="S584" s="219"/>
      <c r="T584" s="74"/>
      <c r="U584" s="74"/>
      <c r="V584" s="74"/>
      <c r="W584" s="191"/>
      <c r="X584"/>
      <c r="Y584"/>
      <c r="Z584" s="2"/>
    </row>
    <row r="585" spans="1:33">
      <c r="A585" t="s">
        <v>58</v>
      </c>
      <c r="B585" s="2">
        <v>225</v>
      </c>
      <c r="C585" s="2">
        <v>202.5</v>
      </c>
      <c r="D585" s="2">
        <v>135</v>
      </c>
      <c r="E585" s="2">
        <v>212.91666666666669</v>
      </c>
      <c r="F585" s="2">
        <v>139.91666666666666</v>
      </c>
      <c r="G585" s="2">
        <v>135.99999999999997</v>
      </c>
      <c r="H585"/>
      <c r="I585"/>
      <c r="J585"/>
      <c r="K585"/>
      <c r="L585"/>
      <c r="M585"/>
      <c r="N585"/>
      <c r="R585"/>
      <c r="S585" s="219"/>
      <c r="T585" s="74"/>
      <c r="U585" s="74"/>
      <c r="V585" s="74"/>
      <c r="W585" s="191"/>
      <c r="X585"/>
      <c r="Y585"/>
      <c r="Z585" s="2"/>
    </row>
    <row r="586" spans="1:33">
      <c r="A586" t="s">
        <v>59</v>
      </c>
      <c r="B586" s="2">
        <v>222</v>
      </c>
      <c r="C586" s="2">
        <v>343.75</v>
      </c>
      <c r="D586" s="2">
        <v>390.08333333333331</v>
      </c>
      <c r="E586" s="2">
        <v>365.66666666666669</v>
      </c>
      <c r="F586" s="2">
        <v>435.08333333333331</v>
      </c>
      <c r="G586" s="2">
        <v>582.08333333333337</v>
      </c>
      <c r="H586"/>
      <c r="I586"/>
      <c r="J586"/>
      <c r="K586"/>
      <c r="L586"/>
      <c r="M586"/>
      <c r="N586"/>
      <c r="R586" s="164"/>
      <c r="S586" s="219"/>
      <c r="T586" s="74"/>
      <c r="U586" s="74"/>
      <c r="V586" s="74"/>
      <c r="W586" s="191"/>
      <c r="X586"/>
      <c r="Y586"/>
      <c r="Z586" s="2"/>
    </row>
    <row r="587" spans="1:33">
      <c r="A587" t="s">
        <v>60</v>
      </c>
      <c r="B587" s="2">
        <v>82.5</v>
      </c>
      <c r="C587" s="2">
        <v>82.5</v>
      </c>
      <c r="D587" s="2">
        <v>87</v>
      </c>
      <c r="E587" s="2">
        <v>90</v>
      </c>
      <c r="F587" s="2">
        <v>67.5</v>
      </c>
      <c r="G587" s="2">
        <v>67.5</v>
      </c>
      <c r="H587"/>
      <c r="I587"/>
      <c r="J587"/>
      <c r="K587"/>
      <c r="L587"/>
      <c r="M587"/>
      <c r="N587"/>
      <c r="R587" s="163"/>
      <c r="S587" s="74"/>
      <c r="T587" s="74"/>
      <c r="U587" s="74"/>
      <c r="V587" s="74"/>
      <c r="W587" s="191"/>
      <c r="Z587" s="2"/>
    </row>
    <row r="588" spans="1:33">
      <c r="A588" t="s">
        <v>61</v>
      </c>
      <c r="B588" s="2">
        <v>455.1666666666668</v>
      </c>
      <c r="C588" s="2">
        <v>434.4166666666668</v>
      </c>
      <c r="D588" s="2">
        <v>444.25000000000006</v>
      </c>
      <c r="E588" s="2">
        <v>430.1666666666668</v>
      </c>
      <c r="F588" s="2">
        <v>437.41666666666674</v>
      </c>
      <c r="G588" s="2">
        <v>284.25</v>
      </c>
      <c r="H588"/>
      <c r="I588"/>
      <c r="J588"/>
      <c r="K588"/>
      <c r="L588"/>
      <c r="M588"/>
      <c r="N588"/>
      <c r="R588" s="163"/>
      <c r="S588"/>
      <c r="T588"/>
      <c r="U588"/>
      <c r="V588"/>
      <c r="Z588" s="2"/>
    </row>
    <row r="589" spans="1:33">
      <c r="A589" t="s">
        <v>62</v>
      </c>
      <c r="B589" s="2">
        <v>260.25</v>
      </c>
      <c r="C589" s="2">
        <v>286</v>
      </c>
      <c r="D589" s="2">
        <v>279.83333333333337</v>
      </c>
      <c r="E589" s="2">
        <v>267</v>
      </c>
      <c r="F589" s="2">
        <v>270.75</v>
      </c>
      <c r="G589" s="2">
        <v>217.5</v>
      </c>
      <c r="H589"/>
      <c r="I589"/>
      <c r="J589"/>
      <c r="K589"/>
      <c r="L589"/>
      <c r="M589"/>
      <c r="N589"/>
      <c r="Q589" s="164"/>
      <c r="R589"/>
      <c r="S589"/>
      <c r="T589"/>
      <c r="U589"/>
      <c r="Z589" s="2"/>
    </row>
    <row r="590" spans="1:33">
      <c r="A590" t="s">
        <v>63</v>
      </c>
      <c r="B590" s="2">
        <v>136.5</v>
      </c>
      <c r="C590" s="2">
        <v>136.25</v>
      </c>
      <c r="D590" s="2">
        <v>144.5</v>
      </c>
      <c r="E590" s="2">
        <v>137.25</v>
      </c>
      <c r="F590" s="2">
        <v>147.91666666666669</v>
      </c>
      <c r="G590" s="2">
        <v>0</v>
      </c>
      <c r="H590"/>
      <c r="I590"/>
      <c r="J590"/>
      <c r="K590"/>
      <c r="L590"/>
      <c r="M590"/>
      <c r="N590"/>
      <c r="Q590"/>
      <c r="R590"/>
      <c r="S590"/>
      <c r="T590"/>
      <c r="U590"/>
      <c r="Z590" s="2"/>
    </row>
    <row r="591" spans="1:33" ht="16.8">
      <c r="A591" t="s">
        <v>64</v>
      </c>
      <c r="B591" s="2">
        <v>47</v>
      </c>
      <c r="C591" s="2">
        <v>47</v>
      </c>
      <c r="D591" s="2">
        <v>39.5</v>
      </c>
      <c r="E591" s="2">
        <v>39.5</v>
      </c>
      <c r="F591" s="2">
        <v>24.5</v>
      </c>
      <c r="G591" s="2">
        <v>15</v>
      </c>
      <c r="H591"/>
      <c r="I591"/>
      <c r="J591"/>
      <c r="K591"/>
      <c r="L591"/>
      <c r="M591"/>
      <c r="N591"/>
      <c r="Q591" s="165"/>
      <c r="R591" s="165"/>
      <c r="S591" s="165"/>
      <c r="T591" s="165"/>
      <c r="U591" s="165"/>
      <c r="Z591" s="2"/>
    </row>
    <row r="592" spans="1:33" ht="16.8">
      <c r="A592" t="s">
        <v>65</v>
      </c>
      <c r="B592" s="2">
        <v>1765.6666666666665</v>
      </c>
      <c r="C592" s="2">
        <v>1812.75</v>
      </c>
      <c r="D592" s="2">
        <v>1833.25</v>
      </c>
      <c r="E592" s="2">
        <v>1874.7499999999998</v>
      </c>
      <c r="F592" s="2">
        <v>1930.0833333333333</v>
      </c>
      <c r="G592" s="2">
        <v>1810.5833333333333</v>
      </c>
      <c r="H592"/>
      <c r="I592"/>
      <c r="J592"/>
      <c r="K592"/>
      <c r="L592"/>
      <c r="M592"/>
      <c r="N592"/>
      <c r="Q592" s="166"/>
      <c r="R592" s="165"/>
      <c r="S592" s="165"/>
      <c r="T592" s="165"/>
      <c r="U592" s="81"/>
      <c r="Z592" s="2"/>
    </row>
    <row r="593" spans="1:26" ht="16.8">
      <c r="A593" t="s">
        <v>66</v>
      </c>
      <c r="B593" s="2">
        <v>107.5</v>
      </c>
      <c r="C593" s="2">
        <v>118</v>
      </c>
      <c r="D593" s="2">
        <v>114.58333333333333</v>
      </c>
      <c r="E593" s="2">
        <v>129.16666666666669</v>
      </c>
      <c r="F593" s="2">
        <v>133</v>
      </c>
      <c r="G593" s="2">
        <v>104.49999999999999</v>
      </c>
      <c r="H593"/>
      <c r="I593"/>
      <c r="J593"/>
      <c r="K593"/>
      <c r="L593"/>
      <c r="M593"/>
      <c r="N593"/>
      <c r="Q593" s="166"/>
      <c r="R593" s="165"/>
      <c r="S593" s="165"/>
      <c r="T593" s="165"/>
      <c r="U593" s="81"/>
      <c r="Z593" s="2"/>
    </row>
    <row r="594" spans="1:26" ht="16.8">
      <c r="A594" t="s">
        <v>67</v>
      </c>
      <c r="B594" s="2">
        <v>1323.4166666666667</v>
      </c>
      <c r="C594" s="2">
        <v>1350</v>
      </c>
      <c r="D594" s="2">
        <v>1293.9166666666665</v>
      </c>
      <c r="E594" s="2">
        <v>1396.3333333333335</v>
      </c>
      <c r="F594" s="2">
        <v>1427.6666666666665</v>
      </c>
      <c r="G594" s="2">
        <v>1331.5</v>
      </c>
      <c r="H594"/>
      <c r="I594"/>
      <c r="J594"/>
      <c r="K594"/>
      <c r="L594"/>
      <c r="M594"/>
      <c r="N594"/>
      <c r="Q594" s="166"/>
      <c r="R594" s="165"/>
      <c r="S594" s="165"/>
      <c r="T594" s="165"/>
      <c r="U594" s="81"/>
      <c r="Z594" s="2"/>
    </row>
    <row r="595" spans="1:26" ht="16.8">
      <c r="A595" t="s">
        <v>68</v>
      </c>
      <c r="B595" s="2">
        <v>92.833333333333329</v>
      </c>
      <c r="C595" s="2">
        <v>69.083333333333343</v>
      </c>
      <c r="D595" s="2">
        <v>63</v>
      </c>
      <c r="E595" s="2">
        <v>74.5</v>
      </c>
      <c r="F595" s="2">
        <v>59.75</v>
      </c>
      <c r="G595" s="2">
        <v>59.75</v>
      </c>
      <c r="H595"/>
      <c r="I595"/>
      <c r="J595"/>
      <c r="K595"/>
      <c r="L595"/>
      <c r="M595"/>
      <c r="N595"/>
      <c r="Q595" s="166"/>
      <c r="R595" s="165"/>
      <c r="S595" s="165"/>
      <c r="T595" s="165"/>
      <c r="U595" s="81"/>
      <c r="Z595" s="2"/>
    </row>
    <row r="596" spans="1:26" ht="16.8">
      <c r="A596" t="s">
        <v>1941</v>
      </c>
      <c r="B596" s="2">
        <v>295.5</v>
      </c>
      <c r="C596" s="2">
        <v>297.91666666666669</v>
      </c>
      <c r="D596" s="2">
        <v>297.75</v>
      </c>
      <c r="E596" s="2">
        <v>288.66666666666663</v>
      </c>
      <c r="F596" s="2">
        <v>302.16666666666663</v>
      </c>
      <c r="G596" s="2">
        <v>271.33333333333337</v>
      </c>
      <c r="H596"/>
      <c r="I596"/>
      <c r="J596"/>
      <c r="K596"/>
      <c r="L596"/>
      <c r="M596"/>
      <c r="N596"/>
      <c r="Q596" s="166"/>
      <c r="R596" s="165"/>
      <c r="S596" s="165"/>
      <c r="T596" s="165"/>
      <c r="U596" s="81"/>
      <c r="Z596" s="2"/>
    </row>
    <row r="597" spans="1:26" ht="16.8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Q597" s="166"/>
      <c r="R597" s="165"/>
      <c r="S597" s="165"/>
      <c r="T597" s="165"/>
      <c r="U597" s="81"/>
      <c r="Z597" s="2"/>
    </row>
    <row r="598" spans="1:26" ht="16.8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  <c r="Q598" s="165"/>
      <c r="R598" s="165"/>
      <c r="S598" s="165"/>
      <c r="T598" s="165"/>
      <c r="U598" s="81"/>
      <c r="Z598" s="2"/>
    </row>
    <row r="599" spans="1:26">
      <c r="A599" s="230" t="s">
        <v>2586</v>
      </c>
      <c r="B599" s="231" t="s">
        <v>2579</v>
      </c>
      <c r="C599" s="231" t="s">
        <v>2580</v>
      </c>
      <c r="D599" s="231" t="s">
        <v>2581</v>
      </c>
      <c r="E599" s="231" t="s">
        <v>2582</v>
      </c>
      <c r="F599" s="231" t="s">
        <v>2583</v>
      </c>
      <c r="G599" s="231" t="s">
        <v>2584</v>
      </c>
      <c r="H599"/>
      <c r="I599"/>
      <c r="J599"/>
      <c r="K599"/>
      <c r="L599"/>
      <c r="M599"/>
      <c r="N599"/>
      <c r="Q599"/>
      <c r="R599"/>
      <c r="S599"/>
      <c r="T599"/>
      <c r="U599"/>
      <c r="Z599" s="2"/>
    </row>
    <row r="600" spans="1:26">
      <c r="A600" s="48" t="s">
        <v>58</v>
      </c>
      <c r="B600"/>
      <c r="C600"/>
      <c r="D600">
        <v>82.5</v>
      </c>
      <c r="E600"/>
      <c r="F600">
        <v>75</v>
      </c>
      <c r="G600">
        <v>40</v>
      </c>
      <c r="H600"/>
      <c r="I600"/>
      <c r="J600"/>
      <c r="K600"/>
      <c r="L600"/>
      <c r="M600"/>
      <c r="N600"/>
      <c r="Q600" s="164"/>
      <c r="R600"/>
      <c r="S600"/>
      <c r="T600"/>
      <c r="U600"/>
      <c r="Z600" s="2"/>
    </row>
    <row r="601" spans="1:26">
      <c r="A601" s="48" t="s">
        <v>59</v>
      </c>
      <c r="B601">
        <v>145.5</v>
      </c>
      <c r="C601"/>
      <c r="D601">
        <v>22.5</v>
      </c>
      <c r="E601"/>
      <c r="F601"/>
      <c r="G601"/>
      <c r="H601"/>
      <c r="I601"/>
      <c r="J601"/>
      <c r="K601"/>
      <c r="L601"/>
      <c r="M601"/>
      <c r="N601"/>
      <c r="Q601" s="163"/>
      <c r="R601"/>
      <c r="S601"/>
      <c r="T601"/>
      <c r="U601"/>
      <c r="Z601" s="2"/>
    </row>
    <row r="602" spans="1:26">
      <c r="A602" s="48" t="s">
        <v>2585</v>
      </c>
      <c r="B602">
        <v>17</v>
      </c>
      <c r="C602">
        <v>47</v>
      </c>
      <c r="D602">
        <v>81.5</v>
      </c>
      <c r="E602">
        <v>159.5</v>
      </c>
      <c r="F602">
        <v>188</v>
      </c>
      <c r="G602">
        <v>97.5</v>
      </c>
      <c r="H602"/>
      <c r="I602"/>
      <c r="J602"/>
      <c r="K602"/>
      <c r="L602"/>
      <c r="M602"/>
      <c r="N602"/>
      <c r="Q602" s="163"/>
      <c r="R602"/>
      <c r="S602"/>
      <c r="T602"/>
      <c r="U602"/>
      <c r="Z602" s="2"/>
    </row>
    <row r="603" spans="1:26">
      <c r="A603" s="48" t="s">
        <v>61</v>
      </c>
      <c r="B603"/>
      <c r="C603">
        <v>7.5</v>
      </c>
      <c r="D603"/>
      <c r="E603">
        <v>15</v>
      </c>
      <c r="F603">
        <v>7.5</v>
      </c>
      <c r="G603"/>
      <c r="H603"/>
      <c r="I603"/>
      <c r="J603"/>
      <c r="K603"/>
      <c r="L603"/>
      <c r="M603"/>
      <c r="N603"/>
      <c r="Z603" s="2"/>
    </row>
    <row r="604" spans="1:26">
      <c r="A604" s="48" t="s">
        <v>65</v>
      </c>
      <c r="B604"/>
      <c r="C604"/>
      <c r="D604"/>
      <c r="E604"/>
      <c r="F604"/>
      <c r="G604">
        <v>7.5</v>
      </c>
      <c r="H604"/>
      <c r="I604"/>
      <c r="J604"/>
      <c r="K604"/>
      <c r="L604"/>
      <c r="M604"/>
      <c r="N604"/>
    </row>
    <row r="605" spans="1:26">
      <c r="A605" s="48" t="s">
        <v>1941</v>
      </c>
      <c r="B605"/>
      <c r="C605"/>
      <c r="D605"/>
      <c r="E605"/>
      <c r="F605"/>
      <c r="G605">
        <v>15</v>
      </c>
      <c r="H605"/>
      <c r="I605"/>
      <c r="J605"/>
      <c r="K605"/>
      <c r="L605"/>
      <c r="M605"/>
      <c r="N605"/>
    </row>
    <row r="606" spans="1:26">
      <c r="A606" s="48" t="s">
        <v>67</v>
      </c>
      <c r="B606">
        <v>6</v>
      </c>
      <c r="C606"/>
      <c r="D606"/>
      <c r="E606"/>
      <c r="F606"/>
      <c r="G606">
        <v>352.5</v>
      </c>
      <c r="H606"/>
      <c r="I606"/>
      <c r="J606"/>
      <c r="K606"/>
      <c r="L606"/>
      <c r="M606"/>
      <c r="N606"/>
    </row>
    <row r="607" spans="1:26">
      <c r="A607" s="48" t="s">
        <v>68</v>
      </c>
      <c r="B607"/>
      <c r="C607">
        <v>15</v>
      </c>
      <c r="D607">
        <v>22.5</v>
      </c>
      <c r="E607">
        <v>22.5</v>
      </c>
      <c r="F607">
        <v>30</v>
      </c>
      <c r="G607"/>
      <c r="H607"/>
      <c r="I607"/>
      <c r="J607"/>
      <c r="K607"/>
      <c r="L607"/>
      <c r="M607"/>
      <c r="N607"/>
    </row>
    <row r="608" spans="1:26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</row>
    <row r="609" spans="1:14">
      <c r="A609" s="230" t="s">
        <v>2592</v>
      </c>
      <c r="B609" s="231" t="s">
        <v>2579</v>
      </c>
      <c r="C609" s="231" t="s">
        <v>2580</v>
      </c>
      <c r="D609" s="231" t="s">
        <v>2581</v>
      </c>
      <c r="E609" s="231" t="s">
        <v>2582</v>
      </c>
      <c r="F609" s="231" t="s">
        <v>2583</v>
      </c>
      <c r="G609" s="231" t="s">
        <v>2584</v>
      </c>
      <c r="H609"/>
      <c r="I609"/>
      <c r="J609"/>
      <c r="K609"/>
      <c r="L609"/>
      <c r="M609"/>
      <c r="N609"/>
    </row>
    <row r="610" spans="1:14">
      <c r="A610" s="48" t="s">
        <v>2587</v>
      </c>
      <c r="B610"/>
      <c r="C610">
        <v>30</v>
      </c>
      <c r="D610">
        <v>27</v>
      </c>
      <c r="E610">
        <v>30</v>
      </c>
      <c r="F610">
        <v>21</v>
      </c>
      <c r="G610">
        <v>22.5</v>
      </c>
      <c r="H610"/>
      <c r="I610"/>
      <c r="J610"/>
      <c r="K610"/>
      <c r="L610"/>
      <c r="M610"/>
      <c r="N610"/>
    </row>
    <row r="611" spans="1:14">
      <c r="A611" s="48" t="s">
        <v>2588</v>
      </c>
      <c r="B611">
        <v>7.5</v>
      </c>
      <c r="C611"/>
      <c r="D611"/>
      <c r="E611"/>
      <c r="F611">
        <v>7.5</v>
      </c>
      <c r="G611"/>
      <c r="H611"/>
      <c r="I611"/>
      <c r="J611"/>
      <c r="K611"/>
      <c r="L611"/>
      <c r="M611"/>
      <c r="N611"/>
    </row>
    <row r="612" spans="1:14">
      <c r="A612" s="48" t="s">
        <v>2589</v>
      </c>
      <c r="B612">
        <v>32</v>
      </c>
      <c r="C612">
        <v>39.5</v>
      </c>
      <c r="D612">
        <v>99.5</v>
      </c>
      <c r="E612">
        <v>159.5</v>
      </c>
      <c r="F612">
        <v>189.5</v>
      </c>
      <c r="G612">
        <v>255</v>
      </c>
      <c r="H612"/>
      <c r="I612"/>
      <c r="J612"/>
      <c r="K612"/>
      <c r="L612"/>
      <c r="M612"/>
      <c r="N612"/>
    </row>
    <row r="613" spans="1:14">
      <c r="A613" s="48" t="s">
        <v>2590</v>
      </c>
      <c r="B613">
        <v>129</v>
      </c>
      <c r="C613"/>
      <c r="D613"/>
      <c r="E613"/>
      <c r="F613"/>
      <c r="G613">
        <v>7.5</v>
      </c>
      <c r="H613"/>
      <c r="I613"/>
      <c r="J613"/>
      <c r="K613"/>
      <c r="L613"/>
      <c r="M613"/>
      <c r="N613"/>
    </row>
    <row r="614" spans="1:14">
      <c r="A614" s="48" t="s">
        <v>2591</v>
      </c>
      <c r="B614"/>
      <c r="C614"/>
      <c r="D614">
        <v>82.5</v>
      </c>
      <c r="E614">
        <v>7.5</v>
      </c>
      <c r="F614">
        <v>82.5</v>
      </c>
      <c r="G614">
        <v>227.5</v>
      </c>
      <c r="H614"/>
      <c r="I614"/>
      <c r="J614"/>
      <c r="K614"/>
      <c r="L614"/>
      <c r="M614"/>
      <c r="N614"/>
    </row>
    <row r="615" spans="1:14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</row>
    <row r="616" spans="1:14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tabSelected="1" workbookViewId="0">
      <selection activeCell="J24" sqref="J24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7" activePane="bottomLeft" state="frozen"/>
      <selection pane="bottomLeft" activeCell="AC32" sqref="AC32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T34" sqref="T34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6" t="s">
        <v>59</v>
      </c>
      <c r="C1" s="226"/>
      <c r="D1" s="226"/>
      <c r="F1" s="226" t="s">
        <v>67</v>
      </c>
      <c r="G1" s="226"/>
      <c r="H1" s="226"/>
      <c r="J1" s="226" t="s">
        <v>65</v>
      </c>
      <c r="K1" s="226"/>
      <c r="L1" s="226"/>
      <c r="N1" s="226" t="s">
        <v>454</v>
      </c>
      <c r="O1" s="226"/>
      <c r="P1" s="226"/>
      <c r="R1" s="226" t="s">
        <v>62</v>
      </c>
      <c r="S1" s="226"/>
      <c r="T1" s="226"/>
      <c r="V1" s="226" t="s">
        <v>58</v>
      </c>
      <c r="W1" s="226"/>
      <c r="X1" s="226"/>
      <c r="Z1" s="226" t="s">
        <v>2358</v>
      </c>
      <c r="AA1" s="226"/>
      <c r="AB1" s="226"/>
      <c r="AD1" s="226" t="s">
        <v>428</v>
      </c>
      <c r="AE1" s="226"/>
      <c r="AF1" s="226"/>
      <c r="AH1" s="226" t="s">
        <v>2359</v>
      </c>
      <c r="AI1" s="226"/>
      <c r="AJ1" s="226"/>
    </row>
    <row r="2" spans="1:36">
      <c r="A2" t="s">
        <v>32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28. Hafta</v>
      </c>
      <c r="C3" s="2">
        <f>+VLOOKUP(B3,'Haftalık Genel'!A:AA,2,0)</f>
        <v>414.33429651033572</v>
      </c>
      <c r="D3" s="2">
        <f>+VLOOKUP(B3,'Haftalık Genel'!A:C,3,0)</f>
        <v>330.00856804302254</v>
      </c>
      <c r="F3" t="str">
        <f t="shared" ref="F3:F4" si="1">+LEFT(F4,2)-1&amp;". Hafta"</f>
        <v>28. Hafta</v>
      </c>
      <c r="G3" s="2">
        <f>+VLOOKUP(F3,'Haftalık Genel'!D:F,2,0)</f>
        <v>86.810580104548052</v>
      </c>
      <c r="H3" s="2">
        <f>+VLOOKUP(F3,'Haftalık Genel'!D:F,3,0)</f>
        <v>81.929788934347528</v>
      </c>
      <c r="J3" t="str">
        <f t="shared" ref="J3:J4" si="2">+LEFT(J4,2)-1&amp;". Hafta"</f>
        <v>28. Hafta</v>
      </c>
      <c r="K3" s="2">
        <f>+VLOOKUP(J3,'Haftalık Genel'!G:I,2,0)</f>
        <v>84.524966114735264</v>
      </c>
      <c r="L3" s="2">
        <f>+VLOOKUP(J3,'Haftalık Genel'!G:I,3,0)</f>
        <v>79.015391335683219</v>
      </c>
      <c r="N3" t="str">
        <f t="shared" ref="N3:N4" si="3">+LEFT(N4,2)-1&amp;". Hafta"</f>
        <v>28. Hafta</v>
      </c>
      <c r="O3" s="2">
        <f>+VLOOKUP(N3,'Haftalık Genel'!J:L,2,0)</f>
        <v>86.318463810930567</v>
      </c>
      <c r="P3" s="2">
        <f>+VLOOKUP(N3,'Haftalık Genel'!J:L,3,0)</f>
        <v>56.837106792226002</v>
      </c>
      <c r="R3" t="str">
        <f t="shared" ref="R3:R4" si="4">+LEFT(R4,2)-1&amp;". Hafta"</f>
        <v>28. Hafta</v>
      </c>
      <c r="S3" s="2">
        <f>+VLOOKUP(R3,'Haftalık Genel'!M:O,2,0)</f>
        <v>121.47036135999527</v>
      </c>
      <c r="T3" s="2">
        <f>+VLOOKUP(R3,'Haftalık Genel'!M:O,3,0)</f>
        <v>129.60719826248837</v>
      </c>
      <c r="V3" t="str">
        <f t="shared" ref="V3:V4" si="5">+LEFT(V4,2)-1&amp;". Hafta"</f>
        <v>28. Hafta</v>
      </c>
      <c r="W3" s="2">
        <f>+VLOOKUP(V3,'Haftalık Genel'!P:R,2,0)</f>
        <v>910.12346000912578</v>
      </c>
      <c r="X3" s="2">
        <f>+VLOOKUP(V3,'Haftalık Genel'!P:R,3,0)</f>
        <v>500.55560218212338</v>
      </c>
      <c r="Z3" t="str">
        <f t="shared" ref="Z3:Z4" si="6">+LEFT(Z4,2)-1&amp;". Hafta"</f>
        <v>28. Hafta</v>
      </c>
      <c r="AA3" s="2">
        <f>+VLOOKUP(Z3,'Haftalık Genel'!S:U,2,0)</f>
        <v>20.271988767425533</v>
      </c>
      <c r="AB3" s="2">
        <f>+VLOOKUP(Z3,'Haftalık Genel'!S:U,3,0)</f>
        <v>28.682012772826166</v>
      </c>
      <c r="AD3" t="str">
        <f t="shared" ref="AD3:AD4" si="7">+LEFT(AD4,2)-1&amp;". Hafta"</f>
        <v>28. Hafta</v>
      </c>
      <c r="AE3" s="2">
        <f>+VLOOKUP(AD3,'Haftalık Genel'!V:X,2,0)</f>
        <v>35.079841700337639</v>
      </c>
      <c r="AF3" s="2">
        <f>+VLOOKUP(AD3,'Haftalık Genel'!V:X,3,0)</f>
        <v>34</v>
      </c>
      <c r="AH3" t="str">
        <f t="shared" ref="AH3:AH4" si="8">+LEFT(AH4,2)-1&amp;". Hafta"</f>
        <v>28. Hafta</v>
      </c>
      <c r="AI3" s="2">
        <f>+VLOOKUP(AH3,'Haftalık Genel'!Y:AA,2,0)</f>
        <v>34.889850930824025</v>
      </c>
      <c r="AJ3" s="2">
        <f>+VLOOKUP(AH3,'Haftalık Genel'!Y:AA,3,0)</f>
        <v>32.775259394824374</v>
      </c>
    </row>
    <row r="4" spans="1:36">
      <c r="B4" t="str">
        <f t="shared" si="0"/>
        <v>29. Hafta</v>
      </c>
      <c r="C4" s="2">
        <f>+VLOOKUP(B4,'Haftalık Genel'!A:AA,2,0)</f>
        <v>396.48229493500673</v>
      </c>
      <c r="D4" s="2">
        <f>+VLOOKUP(B4,'Haftalık Genel'!A:C,3,0)</f>
        <v>333.76698014629045</v>
      </c>
      <c r="F4" t="str">
        <f t="shared" si="1"/>
        <v>29. Hafta</v>
      </c>
      <c r="G4" s="2">
        <f>+VLOOKUP(F4,'Haftalık Genel'!D:F,2,0)</f>
        <v>104.49409381180764</v>
      </c>
      <c r="H4" s="2">
        <f>+VLOOKUP(F4,'Haftalık Genel'!D:F,3,0)</f>
        <v>101.04244581720845</v>
      </c>
      <c r="J4" t="str">
        <f t="shared" si="2"/>
        <v>29. Hafta</v>
      </c>
      <c r="K4" s="2">
        <f>+VLOOKUP(J4,'Haftalık Genel'!G:I,2,0)</f>
        <v>90.162911452064193</v>
      </c>
      <c r="L4" s="2">
        <f>+VLOOKUP(J4,'Haftalık Genel'!G:I,3,0)</f>
        <v>81.000975227608706</v>
      </c>
      <c r="N4" t="str">
        <f t="shared" si="3"/>
        <v>29. Hafta</v>
      </c>
      <c r="O4" s="2">
        <f>+VLOOKUP(N4,'Haftalık Genel'!J:L,2,0)</f>
        <v>81.195652173913047</v>
      </c>
      <c r="P4" s="2">
        <f>+VLOOKUP(N4,'Haftalık Genel'!J:L,3,0)</f>
        <v>67.80879723447373</v>
      </c>
      <c r="R4" t="str">
        <f t="shared" si="4"/>
        <v>29. Hafta</v>
      </c>
      <c r="S4" s="2">
        <f>+VLOOKUP(R4,'Haftalık Genel'!M:O,2,0)</f>
        <v>122.04229758478289</v>
      </c>
      <c r="T4" s="2">
        <f>+VLOOKUP(R4,'Haftalık Genel'!M:O,3,0)</f>
        <v>116</v>
      </c>
      <c r="V4" t="str">
        <f t="shared" si="5"/>
        <v>29. Hafta</v>
      </c>
      <c r="W4" s="2">
        <f>+VLOOKUP(V4,'Haftalık Genel'!P:R,2,0)</f>
        <v>745.38175543179852</v>
      </c>
      <c r="X4" s="2">
        <f>+VLOOKUP(V4,'Haftalık Genel'!P:R,3,0)</f>
        <v>491.60145500553529</v>
      </c>
      <c r="Z4" t="str">
        <f t="shared" si="6"/>
        <v>29. Hafta</v>
      </c>
      <c r="AA4" s="2">
        <f>+VLOOKUP(Z4,'Haftalık Genel'!S:U,2,0)</f>
        <v>22.612023798952137</v>
      </c>
      <c r="AB4" s="2">
        <f>+VLOOKUP(Z4,'Haftalık Genel'!S:U,3,0)</f>
        <v>33.49978525411597</v>
      </c>
      <c r="AD4" t="str">
        <f t="shared" si="7"/>
        <v>29. Hafta</v>
      </c>
      <c r="AE4" s="2">
        <f>+VLOOKUP(AD4,'Haftalık Genel'!V:X,2,0)</f>
        <v>38.135557205222334</v>
      </c>
      <c r="AF4" s="2">
        <f>+VLOOKUP(AD4,'Haftalık Genel'!V:X,3,0)</f>
        <v>36.754240236583456</v>
      </c>
      <c r="AH4" t="str">
        <f t="shared" si="8"/>
        <v>29. Hafta</v>
      </c>
      <c r="AI4" s="2">
        <f>+VLOOKUP(AH4,'Haftalık Genel'!Y:AA,2,0)</f>
        <v>34.845882361643326</v>
      </c>
      <c r="AJ4" s="2">
        <f>+VLOOKUP(AH4,'Haftalık Genel'!Y:AA,3,0)</f>
        <v>35.510458123908016</v>
      </c>
    </row>
    <row r="5" spans="1:36">
      <c r="B5" t="str">
        <f>+LEFT(B6,2)-1&amp;". Hafta"</f>
        <v>30. Hafta</v>
      </c>
      <c r="C5" s="2">
        <f>+VLOOKUP(B5,'Haftalık Genel'!A:AA,2,0)</f>
        <v>435.05695871799338</v>
      </c>
      <c r="D5" s="2">
        <f>+VLOOKUP(B5,'Haftalık Genel'!A:C,3,0)</f>
        <v>437.55713830126501</v>
      </c>
      <c r="F5" t="str">
        <f>+LEFT(F6,2)-1&amp;". Hafta"</f>
        <v>30. Hafta</v>
      </c>
      <c r="G5" s="2">
        <f>+VLOOKUP(F5,'Haftalık Genel'!D:F,2,0)</f>
        <v>110.57793348825888</v>
      </c>
      <c r="H5" s="2">
        <f>+VLOOKUP(F5,'Haftalık Genel'!D:F,3,0)</f>
        <v>96.47941766638192</v>
      </c>
      <c r="J5" t="str">
        <f>+LEFT(J6,2)-1&amp;". Hafta"</f>
        <v>30. Hafta</v>
      </c>
      <c r="K5" s="2">
        <f>+VLOOKUP(J5,'Haftalık Genel'!G:I,2,0)</f>
        <v>93.28373069504201</v>
      </c>
      <c r="L5" s="2">
        <f>+VLOOKUP(J5,'Haftalık Genel'!G:I,3,0)</f>
        <v>79.581505517120391</v>
      </c>
      <c r="N5" t="str">
        <f>+LEFT(N6,2)-1&amp;". Hafta"</f>
        <v>30. Hafta</v>
      </c>
      <c r="O5" s="2">
        <f>+VLOOKUP(N5,'Haftalık Genel'!J:L,2,0)</f>
        <v>87.789247311827964</v>
      </c>
      <c r="P5" s="2">
        <f>+VLOOKUP(N5,'Haftalık Genel'!J:L,3,0)</f>
        <v>51.682145192936559</v>
      </c>
      <c r="R5" t="str">
        <f>+LEFT(R6,2)-1&amp;". Hafta"</f>
        <v>30. Hafta</v>
      </c>
      <c r="S5" s="2">
        <f>+VLOOKUP(R5,'Haftalık Genel'!M:O,2,0)</f>
        <v>119.08009538504699</v>
      </c>
      <c r="T5" s="2">
        <f>+VLOOKUP(R5,'Haftalık Genel'!M:O,3,0)</f>
        <v>115.30762687836688</v>
      </c>
      <c r="V5" t="str">
        <f>+LEFT(V6,2)-1&amp;". Hafta"</f>
        <v>30. Hafta</v>
      </c>
      <c r="W5" s="2">
        <f>+VLOOKUP(V5,'Haftalık Genel'!P:R,2,0)</f>
        <v>840.97790655559584</v>
      </c>
      <c r="X5" s="2">
        <f>+VLOOKUP(V5,'Haftalık Genel'!P:R,3,0)</f>
        <v>558.81739566361694</v>
      </c>
      <c r="Z5" t="str">
        <f>+LEFT(Z6,2)-1&amp;". Hafta"</f>
        <v>30. Hafta</v>
      </c>
      <c r="AA5" s="2">
        <f>+VLOOKUP(Z5,'Haftalık Genel'!S:U,2,0)</f>
        <v>16.637306894166475</v>
      </c>
      <c r="AB5" s="2">
        <f>+VLOOKUP(Z5,'Haftalık Genel'!S:U,3,0)</f>
        <v>25.377364037236649</v>
      </c>
      <c r="AD5" t="str">
        <f>+LEFT(AD6,2)-1&amp;". Hafta"</f>
        <v>30. Hafta</v>
      </c>
      <c r="AE5" s="2">
        <f>+VLOOKUP(AD5,'Haftalık Genel'!V:X,2,0)</f>
        <v>38.675318555037975</v>
      </c>
      <c r="AF5" s="2">
        <f>+VLOOKUP(AD5,'Haftalık Genel'!V:X,3,0)</f>
        <v>35.202278755254085</v>
      </c>
      <c r="AH5" t="str">
        <f>+LEFT(AH6,2)-1&amp;". Hafta"</f>
        <v>30. Hafta</v>
      </c>
      <c r="AI5" s="2">
        <f>+VLOOKUP(AH5,'Haftalık Genel'!Y:AA,2,0)</f>
        <v>37.835577855996853</v>
      </c>
      <c r="AJ5" s="2">
        <f>+VLOOKUP(AH5,'Haftalık Genel'!Y:AA,3,0)</f>
        <v>34.736173849188454</v>
      </c>
    </row>
    <row r="6" spans="1:36">
      <c r="B6" t="str">
        <f>+$A$2</f>
        <v>31. Hafta</v>
      </c>
      <c r="C6" s="2">
        <f>+VLOOKUP(B6,'Haftalık Genel'!A:AA,2,0)</f>
        <v>506.06184556977536</v>
      </c>
      <c r="D6" s="2">
        <f>+VLOOKUP(B6,'Haftalık Genel'!A:C,3,0)</f>
        <v>432.77864880273665</v>
      </c>
      <c r="F6" t="str">
        <f>+$A$2</f>
        <v>31. Hafta</v>
      </c>
      <c r="G6" s="2">
        <f>+VLOOKUP(F6,'Haftalık Genel'!D:F,2,0)</f>
        <v>114.03877495418321</v>
      </c>
      <c r="H6" s="2">
        <f>+VLOOKUP(F6,'Haftalık Genel'!D:F,3,0)</f>
        <v>100.90138171078999</v>
      </c>
      <c r="J6" t="str">
        <f>+$A$2</f>
        <v>31. Hafta</v>
      </c>
      <c r="K6" s="2">
        <f>+VLOOKUP(J6,'Haftalık Genel'!G:I,2,0)</f>
        <v>90.630432672845629</v>
      </c>
      <c r="L6" s="2">
        <f>+VLOOKUP(J6,'Haftalık Genel'!G:I,3,0)</f>
        <v>72.450799168713388</v>
      </c>
      <c r="N6" t="str">
        <f>+$A$2</f>
        <v>31. Hafta</v>
      </c>
      <c r="O6" s="2">
        <f>+VLOOKUP(N6,'Haftalık Genel'!J:L,2,0)</f>
        <v>54.457452041318241</v>
      </c>
      <c r="P6" s="2">
        <f>+VLOOKUP(N6,'Haftalık Genel'!J:L,3,0)</f>
        <v>33.770074283692963</v>
      </c>
      <c r="R6" t="str">
        <f>+$A$2</f>
        <v>31. Hafta</v>
      </c>
      <c r="S6" s="2">
        <f>+VLOOKUP(R6,'Haftalık Genel'!M:O,2,0)</f>
        <v>128.33128745757818</v>
      </c>
      <c r="T6" s="2">
        <f>+VLOOKUP(R6,'Haftalık Genel'!M:O,3,0)</f>
        <v>123.49198988195614</v>
      </c>
      <c r="V6" t="str">
        <f>+$A$2</f>
        <v>31. Hafta</v>
      </c>
      <c r="W6" s="2">
        <f>+VLOOKUP(V6,'Haftalık Genel'!P:R,2,0)</f>
        <v>810.08236208236212</v>
      </c>
      <c r="X6" s="2">
        <f>+VLOOKUP(V6,'Haftalık Genel'!P:R,3,0)</f>
        <v>622.72162333544713</v>
      </c>
      <c r="Z6" t="str">
        <f>+$A$2</f>
        <v>31. Hafta</v>
      </c>
      <c r="AA6" s="2">
        <f>+VLOOKUP(Z6,'Haftalık Genel'!S:U,2,0)</f>
        <v>22.41268743788082</v>
      </c>
      <c r="AB6" s="2">
        <f>+VLOOKUP(Z6,'Haftalık Genel'!S:U,3,0)</f>
        <v>27.006839211479143</v>
      </c>
      <c r="AD6" t="str">
        <f>+$A$2</f>
        <v>31. Hafta</v>
      </c>
      <c r="AE6" s="2">
        <f>+VLOOKUP(AD6,'Haftalık Genel'!V:X,2,0)</f>
        <v>38.3251422219316</v>
      </c>
      <c r="AF6" s="2">
        <f>+VLOOKUP(AD6,'Haftalık Genel'!V:X,3,0)</f>
        <v>32.378857933214782</v>
      </c>
      <c r="AH6" t="str">
        <f>+$A$2</f>
        <v>31. Hafta</v>
      </c>
      <c r="AI6" s="2">
        <f>+VLOOKUP(AH6,'Haftalık Genel'!Y:AA,2,0)</f>
        <v>37.747422403862004</v>
      </c>
      <c r="AJ6" s="2">
        <f>+VLOOKUP(AH6,'Haftalık Genel'!Y:AA,3,0)</f>
        <v>32.378857933214782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GT1" workbookViewId="0">
      <selection activeCell="HB12" sqref="HB12:HB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81941.708333333387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28891197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352.58231232466551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HH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 t="str">
        <f t="shared" ref="HI11:IZ11" si="19">+IFERROR(HI10/HI9,"")</f>
        <v/>
      </c>
      <c r="HJ11" s="2" t="str">
        <f t="shared" si="19"/>
        <v/>
      </c>
      <c r="HK11" s="2" t="str">
        <f t="shared" si="19"/>
        <v/>
      </c>
      <c r="HL11" s="2" t="str">
        <f t="shared" si="19"/>
        <v/>
      </c>
      <c r="HM11" s="2" t="str">
        <f t="shared" si="19"/>
        <v/>
      </c>
      <c r="HN11" s="2" t="str">
        <f t="shared" si="19"/>
        <v/>
      </c>
      <c r="HO11" s="2" t="str">
        <f t="shared" si="19"/>
        <v/>
      </c>
      <c r="HP11" s="2" t="str">
        <f t="shared" si="19"/>
        <v/>
      </c>
      <c r="HQ11" s="2" t="str">
        <f t="shared" si="19"/>
        <v/>
      </c>
      <c r="HR11" s="2" t="str">
        <f t="shared" si="19"/>
        <v/>
      </c>
      <c r="HS11" s="2" t="str">
        <f t="shared" si="19"/>
        <v/>
      </c>
      <c r="HT11" s="2" t="str">
        <f t="shared" si="19"/>
        <v/>
      </c>
      <c r="HU11" s="2" t="str">
        <f t="shared" si="19"/>
        <v/>
      </c>
      <c r="HV11" s="2" t="str">
        <f t="shared" si="19"/>
        <v/>
      </c>
      <c r="HW11" s="2" t="str">
        <f t="shared" si="19"/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GU1" workbookViewId="0">
      <selection activeCell="HB12" sqref="HB12:HB14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229104.41163778439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24124119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105.29748784646013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HH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GX1" workbookViewId="0">
      <selection activeCell="HB12" sqref="HB12:HB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329924.0842071576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26434458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80.122850271827815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H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1945</v>
      </c>
      <c r="B21" s="1">
        <v>46005</v>
      </c>
      <c r="E21" t="s">
        <v>452</v>
      </c>
    </row>
    <row r="22" spans="1:5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GS1" workbookViewId="0">
      <selection activeCell="HB12" sqref="HB12:HB14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25679.166666666661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1817887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70.792289469414257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HH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GU4" zoomScaleNormal="100" workbookViewId="0">
      <selection activeCell="HC31" sqref="HC31:HC33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50267.499999999985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6802163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135.31930173571396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HH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GW1" workbookViewId="0">
      <selection activeCell="HB12" sqref="HB12:HB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29927.666666666661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17607773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588.34433021841562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HH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7"/>
      <c r="DN12" s="227"/>
      <c r="DO12" s="20"/>
      <c r="DV12" s="20"/>
      <c r="EC12" s="20"/>
      <c r="EF12" s="227"/>
      <c r="EG12" s="227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7"/>
      <c r="DT13" s="227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workbookViewId="0">
      <selection activeCell="HB12" sqref="HB12:HB14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67421.666666666657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1766707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26.203846439077452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HH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9"/>
      <c r="EF12" s="229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8"/>
      <c r="DT13" s="228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IR23" s="24"/>
      <c r="IS23" s="94"/>
      <c r="IT23" s="94"/>
      <c r="IU23" s="25"/>
      <c r="MM23" s="57"/>
      <c r="MN23" s="8"/>
    </row>
    <row r="24" spans="6:352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>
      <c r="J26" s="163"/>
      <c r="K26"/>
      <c r="ED26" s="77"/>
      <c r="EE26" s="191"/>
      <c r="IR26" s="24"/>
      <c r="IS26" s="94"/>
      <c r="IT26" s="94"/>
      <c r="IU26" s="26"/>
    </row>
    <row r="27" spans="6:352">
      <c r="J27" s="163"/>
      <c r="K27"/>
      <c r="IU27" s="38"/>
    </row>
    <row r="28" spans="6:352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2026-08-04T18:43:07Z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